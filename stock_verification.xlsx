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curement-n-Inventory\Inventory\00. Inventory Issue\"/>
    </mc:Choice>
  </mc:AlternateContent>
  <xr:revisionPtr revIDLastSave="0" documentId="13_ncr:1_{F00E789A-96F4-49A7-A09F-19FB554BA497}" xr6:coauthVersionLast="47" xr6:coauthVersionMax="47" xr10:uidLastSave="{00000000-0000-0000-0000-000000000000}"/>
  <bookViews>
    <workbookView xWindow="-120" yWindow="-120" windowWidth="20730" windowHeight="11040" xr2:uid="{8C8D2DAA-50F1-41A8-9609-4F4D3B522761}"/>
  </bookViews>
  <sheets>
    <sheet name="Stock Verification" sheetId="12" r:id="rId1"/>
    <sheet name="Stock -Copy 27.7.26" sheetId="10" r:id="rId2"/>
    <sheet name="Colour code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92" i="12" l="1"/>
  <c r="P1292" i="12" s="1"/>
  <c r="S1292" i="12" s="1"/>
  <c r="N1293" i="12"/>
  <c r="P1293" i="12" s="1"/>
  <c r="S1293" i="12" s="1"/>
  <c r="J1292" i="12"/>
  <c r="N1282" i="12"/>
  <c r="P1282" i="12" s="1"/>
  <c r="S1282" i="12" s="1"/>
  <c r="N1283" i="12"/>
  <c r="P1283" i="12" s="1"/>
  <c r="N1284" i="12"/>
  <c r="P1284" i="12" s="1"/>
  <c r="S1284" i="12" s="1"/>
  <c r="N1285" i="12"/>
  <c r="N1286" i="12"/>
  <c r="P1286" i="12" s="1"/>
  <c r="N1287" i="12"/>
  <c r="P1287" i="12" s="1"/>
  <c r="N1288" i="12"/>
  <c r="P1288" i="12" s="1"/>
  <c r="N1289" i="12"/>
  <c r="P1289" i="12" s="1"/>
  <c r="N1290" i="12"/>
  <c r="P1290" i="12" s="1"/>
  <c r="S1290" i="12" s="1"/>
  <c r="N1291" i="12"/>
  <c r="P1291" i="12" s="1"/>
  <c r="S1291" i="12" s="1"/>
  <c r="J1287" i="12"/>
  <c r="J1288" i="12"/>
  <c r="J1289" i="12"/>
  <c r="J1290" i="12"/>
  <c r="J1291" i="12"/>
  <c r="P1285" i="12" l="1"/>
  <c r="S1285" i="12" s="1"/>
  <c r="S1289" i="12"/>
  <c r="S1288" i="12"/>
  <c r="S1287" i="12"/>
  <c r="S1286" i="12"/>
  <c r="S1283" i="12"/>
  <c r="J1282" i="12" l="1"/>
  <c r="J1284" i="12"/>
  <c r="J1285" i="12"/>
  <c r="J1286" i="12"/>
  <c r="N1277" i="12"/>
  <c r="N1278" i="12"/>
  <c r="P1278" i="12" s="1"/>
  <c r="N1279" i="12"/>
  <c r="P1279" i="12" s="1"/>
  <c r="S1279" i="12" s="1"/>
  <c r="P1277" i="12" l="1"/>
  <c r="S1277" i="12" s="1"/>
  <c r="S1278" i="12"/>
  <c r="J1273" i="12" l="1"/>
  <c r="J1277" i="12" l="1"/>
  <c r="J1278" i="12"/>
  <c r="J1279" i="12"/>
  <c r="J1283" i="12"/>
  <c r="N1280" i="12"/>
  <c r="N1281" i="12"/>
  <c r="P1281" i="12" s="1"/>
  <c r="S1281" i="12" s="1"/>
  <c r="J1281" i="12"/>
  <c r="J1280" i="12"/>
  <c r="P1280" i="12" l="1"/>
  <c r="S1280" i="12" s="1"/>
  <c r="J1228" i="12" l="1"/>
  <c r="J1229" i="12"/>
  <c r="J1098" i="12"/>
  <c r="K941" i="12"/>
  <c r="P237" i="12"/>
  <c r="S237" i="12" s="1"/>
  <c r="N1276" i="12" l="1"/>
  <c r="P1276" i="12" s="1"/>
  <c r="S1276" i="12" s="1"/>
  <c r="J1276" i="12"/>
  <c r="N1274" i="12"/>
  <c r="P1274" i="12" s="1"/>
  <c r="S1274" i="12" s="1"/>
  <c r="N1275" i="12"/>
  <c r="P1275" i="12" s="1"/>
  <c r="J1275" i="12"/>
  <c r="J1274" i="12"/>
  <c r="S1275" i="12" l="1"/>
  <c r="N1271" i="12"/>
  <c r="N1272" i="12"/>
  <c r="J1271" i="12"/>
  <c r="J1272" i="12"/>
  <c r="P1272" i="12" l="1"/>
  <c r="S1272" i="12" s="1"/>
  <c r="P1271" i="12"/>
  <c r="S1271" i="12" s="1"/>
  <c r="N1136" i="12" l="1"/>
  <c r="S1136" i="12" s="1"/>
  <c r="J1136" i="12"/>
  <c r="N1259" i="12" l="1"/>
  <c r="J1259" i="12"/>
  <c r="P1259" i="12" l="1"/>
  <c r="S1259" i="12" s="1"/>
  <c r="N1269" i="12" l="1"/>
  <c r="N1270" i="12"/>
  <c r="J1270" i="12"/>
  <c r="J1269" i="12"/>
  <c r="P1270" i="12" l="1"/>
  <c r="S1270" i="12" s="1"/>
  <c r="P1269" i="12"/>
  <c r="S1269" i="12" s="1"/>
  <c r="N1258" i="12"/>
  <c r="J1258" i="12"/>
  <c r="N1265" i="12"/>
  <c r="N1264" i="12"/>
  <c r="N1266" i="12"/>
  <c r="N1268" i="12"/>
  <c r="P1268" i="12" s="1"/>
  <c r="S1268" i="12" s="1"/>
  <c r="N1267" i="12"/>
  <c r="J1265" i="12"/>
  <c r="J1264" i="12"/>
  <c r="J1266" i="12"/>
  <c r="J1268" i="12"/>
  <c r="J1267" i="12"/>
  <c r="N1244" i="12"/>
  <c r="J1244" i="12"/>
  <c r="P1258" i="12" l="1"/>
  <c r="S1258" i="12" s="1"/>
  <c r="P1267" i="12"/>
  <c r="S1267" i="12" s="1"/>
  <c r="P1266" i="12"/>
  <c r="S1266" i="12" s="1"/>
  <c r="P1265" i="12"/>
  <c r="S1265" i="12" s="1"/>
  <c r="P1264" i="12"/>
  <c r="S1264" i="12" s="1"/>
  <c r="P1244" i="12"/>
  <c r="S1244" i="12" s="1"/>
  <c r="N1255" i="12"/>
  <c r="N1256" i="12"/>
  <c r="P1256" i="12" s="1"/>
  <c r="N1257" i="12"/>
  <c r="N1260" i="12"/>
  <c r="P1260" i="12" s="1"/>
  <c r="N1263" i="12"/>
  <c r="P1263" i="12" s="1"/>
  <c r="S1263" i="12" s="1"/>
  <c r="N1261" i="12"/>
  <c r="P1261" i="12" s="1"/>
  <c r="N1262" i="12"/>
  <c r="P1262" i="12" s="1"/>
  <c r="S1262" i="12" s="1"/>
  <c r="J1255" i="12"/>
  <c r="J1256" i="12"/>
  <c r="J1257" i="12"/>
  <c r="J1260" i="12"/>
  <c r="J1263" i="12"/>
  <c r="J1261" i="12"/>
  <c r="J1262" i="12"/>
  <c r="S1256" i="12" l="1"/>
  <c r="P1257" i="12"/>
  <c r="S1257" i="12" s="1"/>
  <c r="P1255" i="12"/>
  <c r="S1255" i="12" s="1"/>
  <c r="S1261" i="12"/>
  <c r="S1260" i="12"/>
  <c r="N1234" i="12" l="1"/>
  <c r="J1234" i="12"/>
  <c r="P1234" i="12" l="1"/>
  <c r="S1234" i="12" s="1"/>
  <c r="J1230" i="12" l="1"/>
  <c r="N1254" i="12" l="1"/>
  <c r="J1254" i="12"/>
  <c r="N1245" i="12"/>
  <c r="N1246" i="12"/>
  <c r="N1248" i="12"/>
  <c r="P1248" i="12" s="1"/>
  <c r="N1247" i="12"/>
  <c r="P1247" i="12" s="1"/>
  <c r="N1249" i="12"/>
  <c r="P1249" i="12" s="1"/>
  <c r="N1250" i="12"/>
  <c r="P1250" i="12" s="1"/>
  <c r="N1251" i="12"/>
  <c r="P1251" i="12" s="1"/>
  <c r="N1252" i="12"/>
  <c r="P1252" i="12" s="1"/>
  <c r="S1252" i="12" s="1"/>
  <c r="N1253" i="12"/>
  <c r="P1253" i="12" s="1"/>
  <c r="S1253" i="12" s="1"/>
  <c r="J1251" i="12"/>
  <c r="J1253" i="12"/>
  <c r="J1252" i="12"/>
  <c r="J1250" i="12"/>
  <c r="J1249" i="12"/>
  <c r="J1247" i="12"/>
  <c r="J1248" i="12"/>
  <c r="J1246" i="12"/>
  <c r="J1245" i="12"/>
  <c r="J1239" i="12"/>
  <c r="J1240" i="12"/>
  <c r="J1243" i="12"/>
  <c r="J1241" i="12"/>
  <c r="J1032" i="12"/>
  <c r="J949" i="12"/>
  <c r="P1246" i="12" l="1"/>
  <c r="S1246" i="12" s="1"/>
  <c r="P1245" i="12"/>
  <c r="S1245" i="12" s="1"/>
  <c r="P1254" i="12"/>
  <c r="S1254" i="12" s="1"/>
  <c r="S1251" i="12"/>
  <c r="S1250" i="12"/>
  <c r="S1249" i="12"/>
  <c r="S1247" i="12"/>
  <c r="S1248" i="12"/>
  <c r="J682" i="12"/>
  <c r="J585" i="12"/>
  <c r="J575" i="12"/>
  <c r="J553" i="12"/>
  <c r="J550" i="12"/>
  <c r="J535" i="12"/>
  <c r="J414" i="12"/>
  <c r="J408" i="12"/>
  <c r="J392" i="12"/>
  <c r="J359" i="12"/>
  <c r="J1231" i="12" l="1"/>
  <c r="J1004" i="12" l="1"/>
  <c r="N1222" i="12"/>
  <c r="J1222" i="12"/>
  <c r="N1229" i="12"/>
  <c r="P1229" i="12" s="1"/>
  <c r="S1229" i="12" l="1"/>
  <c r="P1222" i="12"/>
  <c r="S1222" i="12" s="1"/>
  <c r="J1224" i="12" l="1"/>
  <c r="J1203" i="12"/>
  <c r="J1192" i="12"/>
  <c r="N1235" i="12"/>
  <c r="N1236" i="12"/>
  <c r="P1236" i="12" s="1"/>
  <c r="N1237" i="12"/>
  <c r="N1238" i="12"/>
  <c r="N1239" i="12"/>
  <c r="P1239" i="12" s="1"/>
  <c r="N1240" i="12"/>
  <c r="N1242" i="12"/>
  <c r="N1243" i="12"/>
  <c r="N1241" i="12"/>
  <c r="P1238" i="12" l="1"/>
  <c r="S1238" i="12" s="1"/>
  <c r="S1239" i="12"/>
  <c r="S1236" i="12"/>
  <c r="P1240" i="12"/>
  <c r="S1240" i="12" s="1"/>
  <c r="P1237" i="12"/>
  <c r="S1237" i="12" s="1"/>
  <c r="P1235" i="12"/>
  <c r="S1235" i="12" s="1"/>
  <c r="P1241" i="12"/>
  <c r="S1241" i="12" s="1"/>
  <c r="N1208" i="12" l="1"/>
  <c r="J1204" i="12"/>
  <c r="J1202" i="12"/>
  <c r="J1021" i="12"/>
  <c r="J77" i="12"/>
  <c r="J26" i="12"/>
  <c r="J211" i="12"/>
  <c r="J596" i="12"/>
  <c r="J595" i="12"/>
  <c r="J587" i="12"/>
  <c r="J1076" i="12"/>
  <c r="J1040" i="12"/>
  <c r="J897" i="12"/>
  <c r="J732" i="12"/>
  <c r="J457" i="12"/>
  <c r="J416" i="12"/>
  <c r="J407" i="12"/>
  <c r="J342" i="12"/>
  <c r="J76" i="12"/>
  <c r="J224" i="12"/>
  <c r="J223" i="12"/>
  <c r="J22" i="12"/>
  <c r="J21" i="12"/>
  <c r="J997" i="12"/>
  <c r="J995" i="12"/>
  <c r="J146" i="12"/>
  <c r="J729" i="12"/>
  <c r="J1071" i="12"/>
  <c r="J994" i="12"/>
  <c r="J471" i="12"/>
  <c r="J315" i="12"/>
  <c r="J993" i="12"/>
  <c r="J946" i="12"/>
  <c r="J695" i="12"/>
  <c r="J910" i="12"/>
  <c r="J1165" i="12"/>
  <c r="J1164" i="12"/>
  <c r="J51" i="12"/>
  <c r="J339" i="12"/>
  <c r="J324" i="12"/>
  <c r="J115" i="12"/>
  <c r="J365" i="12"/>
  <c r="J364" i="12"/>
  <c r="J363" i="12"/>
  <c r="J746" i="12"/>
  <c r="J1193" i="12"/>
  <c r="J177" i="12"/>
  <c r="J73" i="12"/>
  <c r="J148" i="12"/>
  <c r="J106" i="12"/>
  <c r="J915" i="12"/>
  <c r="J171" i="12"/>
  <c r="J170" i="12"/>
  <c r="J357" i="12"/>
  <c r="J50" i="12"/>
  <c r="J909" i="12"/>
  <c r="J90" i="12"/>
  <c r="J1223" i="12"/>
  <c r="J270" i="12"/>
  <c r="J930" i="12"/>
  <c r="J351" i="12"/>
  <c r="J928" i="12"/>
  <c r="J349" i="12"/>
  <c r="J230" i="12"/>
  <c r="J229" i="12"/>
  <c r="J953" i="12"/>
  <c r="J1069" i="12"/>
  <c r="J199" i="12"/>
  <c r="J111" i="12"/>
  <c r="J850" i="12"/>
  <c r="J1233" i="12"/>
  <c r="J1191" i="12"/>
  <c r="J1190" i="12"/>
  <c r="J283" i="12"/>
  <c r="J242" i="12"/>
  <c r="J1135" i="12"/>
  <c r="J1134" i="12"/>
  <c r="J1133" i="12"/>
  <c r="J1060" i="12"/>
  <c r="J1132" i="12"/>
  <c r="J1131" i="12"/>
  <c r="J1130" i="12"/>
  <c r="J1129" i="12"/>
  <c r="J1128" i="12"/>
  <c r="J1127" i="12"/>
  <c r="J1126" i="12"/>
  <c r="J1125" i="12"/>
  <c r="J1124" i="12"/>
  <c r="J1123" i="12"/>
  <c r="J1162" i="12"/>
  <c r="J1122" i="12"/>
  <c r="J1121" i="12"/>
  <c r="J1120" i="12"/>
  <c r="J1119" i="12"/>
  <c r="J1118" i="12"/>
  <c r="J1059" i="12"/>
  <c r="J1117" i="12"/>
  <c r="J1116" i="12"/>
  <c r="J1115" i="12"/>
  <c r="J1114" i="12"/>
  <c r="J17" i="12"/>
  <c r="J202" i="12"/>
  <c r="J13" i="12"/>
  <c r="J12" i="12"/>
  <c r="J1113" i="12"/>
  <c r="J1112" i="12"/>
  <c r="J11" i="12"/>
  <c r="J379" i="12"/>
  <c r="J1189" i="12"/>
  <c r="J1158" i="12"/>
  <c r="J970" i="12"/>
  <c r="J659" i="12"/>
  <c r="J113" i="12"/>
  <c r="J577" i="12"/>
  <c r="J461" i="12"/>
  <c r="J49" i="12"/>
  <c r="J48" i="12"/>
  <c r="J47" i="12"/>
  <c r="J46" i="12"/>
  <c r="J45" i="12"/>
  <c r="J252" i="12"/>
  <c r="J1188" i="12"/>
  <c r="J1046" i="12"/>
  <c r="J798" i="12"/>
  <c r="J1187" i="12"/>
  <c r="J797" i="12"/>
  <c r="J470" i="12"/>
  <c r="J44" i="12"/>
  <c r="J292" i="12"/>
  <c r="J456" i="12"/>
  <c r="J398" i="12"/>
  <c r="J745" i="12"/>
  <c r="J744" i="12"/>
  <c r="J903" i="12"/>
  <c r="J1068" i="12"/>
  <c r="J43" i="12"/>
  <c r="J528" i="12"/>
  <c r="J378" i="12"/>
  <c r="J377" i="12"/>
  <c r="J376" i="12"/>
  <c r="J375" i="12"/>
  <c r="J1167" i="12"/>
  <c r="J613" i="12"/>
  <c r="J196" i="12"/>
  <c r="J612" i="12"/>
  <c r="J195" i="12"/>
  <c r="J441" i="12"/>
  <c r="J244" i="12"/>
  <c r="J440" i="12"/>
  <c r="J243" i="12"/>
  <c r="J514" i="12"/>
  <c r="J513" i="12"/>
  <c r="J356" i="12"/>
  <c r="J355" i="12"/>
  <c r="J269" i="12"/>
  <c r="J268" i="12"/>
  <c r="J267" i="12"/>
  <c r="J266" i="12"/>
  <c r="J265" i="12"/>
  <c r="J1147" i="12"/>
  <c r="J1146" i="12"/>
  <c r="J1145" i="12"/>
  <c r="J760" i="12"/>
  <c r="J759" i="12"/>
  <c r="J1144" i="12"/>
  <c r="J1143" i="12"/>
  <c r="J758" i="12"/>
  <c r="J1142" i="12"/>
  <c r="J757" i="12"/>
  <c r="J1148" i="12"/>
  <c r="J769" i="12"/>
  <c r="J756" i="12"/>
  <c r="J768" i="12"/>
  <c r="J767" i="12"/>
  <c r="J1238" i="12"/>
  <c r="J755" i="12"/>
  <c r="J1141" i="12"/>
  <c r="J1237" i="12"/>
  <c r="J1236" i="12"/>
  <c r="J348" i="12"/>
  <c r="J347" i="12"/>
  <c r="J346" i="12"/>
  <c r="J345" i="12"/>
  <c r="J102" i="12"/>
  <c r="J5" i="12"/>
  <c r="J10" i="12"/>
  <c r="J1242" i="12"/>
  <c r="J804" i="12"/>
  <c r="J40" i="12"/>
  <c r="J722" i="12"/>
  <c r="J374" i="12"/>
  <c r="J945" i="12"/>
  <c r="J469" i="12"/>
  <c r="J468" i="12"/>
  <c r="J1185" i="12"/>
  <c r="J963" i="12"/>
  <c r="J796" i="12"/>
  <c r="J1184" i="12"/>
  <c r="J962" i="12"/>
  <c r="J795" i="12"/>
  <c r="J1183" i="12"/>
  <c r="J961" i="12"/>
  <c r="J794" i="12"/>
  <c r="J467" i="12"/>
  <c r="J1182" i="12"/>
  <c r="J969" i="12"/>
  <c r="J960" i="12"/>
  <c r="J876" i="12"/>
  <c r="J1181" i="12"/>
  <c r="J959" i="12"/>
  <c r="J793" i="12"/>
  <c r="J1180" i="12"/>
  <c r="J958" i="12"/>
  <c r="J792" i="12"/>
  <c r="J466" i="12"/>
  <c r="J1166" i="12"/>
  <c r="J1011" i="12"/>
  <c r="J39" i="12"/>
  <c r="J411" i="12"/>
  <c r="J317" i="12"/>
  <c r="J101" i="12"/>
  <c r="J192" i="12"/>
  <c r="J180" i="12"/>
  <c r="J38" i="12"/>
  <c r="J991" i="12"/>
  <c r="J426" i="12"/>
  <c r="J35" i="12"/>
  <c r="J1232" i="12"/>
  <c r="J241" i="12"/>
  <c r="J1235" i="12"/>
  <c r="J23" i="12"/>
  <c r="J184" i="12"/>
  <c r="J168" i="12"/>
  <c r="J644" i="12"/>
  <c r="P1242" i="12" l="1"/>
  <c r="S1242" i="12" s="1"/>
  <c r="P1243" i="12"/>
  <c r="S1243" i="12" s="1"/>
  <c r="J287" i="12"/>
  <c r="J1163" i="12"/>
  <c r="K1243" i="10"/>
  <c r="I1243" i="10"/>
  <c r="K1242" i="10"/>
  <c r="M1242" i="10" s="1"/>
  <c r="I1242" i="10"/>
  <c r="K1241" i="10"/>
  <c r="I1241" i="10"/>
  <c r="K1240" i="10"/>
  <c r="I1240" i="10"/>
  <c r="K1239" i="10"/>
  <c r="M1239" i="10" s="1"/>
  <c r="I1239" i="10"/>
  <c r="K1238" i="10"/>
  <c r="I1238" i="10"/>
  <c r="K1237" i="10"/>
  <c r="I1237" i="10"/>
  <c r="K1236" i="10"/>
  <c r="I1236" i="10"/>
  <c r="K1235" i="10"/>
  <c r="M1235" i="10" s="1"/>
  <c r="I1235" i="10"/>
  <c r="K1234" i="10"/>
  <c r="I1234" i="10"/>
  <c r="N1233" i="10"/>
  <c r="K1233" i="10"/>
  <c r="M1233" i="10" s="1"/>
  <c r="P1233" i="10" s="1"/>
  <c r="I1233" i="10"/>
  <c r="K1232" i="10"/>
  <c r="M1232" i="10" s="1"/>
  <c r="P1232" i="10" s="1"/>
  <c r="I1232" i="10"/>
  <c r="K1231" i="10"/>
  <c r="I1231" i="10"/>
  <c r="K1230" i="10"/>
  <c r="M1230" i="10" s="1"/>
  <c r="I1230" i="10"/>
  <c r="M1229" i="10"/>
  <c r="P1229" i="10" s="1"/>
  <c r="K1229" i="10"/>
  <c r="I1229" i="10"/>
  <c r="K1228" i="10"/>
  <c r="M1228" i="10" s="1"/>
  <c r="I1228" i="10"/>
  <c r="K1227" i="10"/>
  <c r="M1227" i="10" s="1"/>
  <c r="I1227" i="10"/>
  <c r="K1226" i="10"/>
  <c r="M1226" i="10" s="1"/>
  <c r="P1226" i="10" s="1"/>
  <c r="I1226" i="10"/>
  <c r="K1225" i="10"/>
  <c r="I1225" i="10"/>
  <c r="K1224" i="10"/>
  <c r="M1224" i="10" s="1"/>
  <c r="I1224" i="10"/>
  <c r="H1224" i="10"/>
  <c r="P1223" i="10"/>
  <c r="K1223" i="10"/>
  <c r="M1223" i="10" s="1"/>
  <c r="I1223" i="10"/>
  <c r="K1222" i="10"/>
  <c r="I1222" i="10"/>
  <c r="K1221" i="10"/>
  <c r="I1221" i="10"/>
  <c r="K1220" i="10"/>
  <c r="M1220" i="10" s="1"/>
  <c r="P1220" i="10" s="1"/>
  <c r="I1220" i="10"/>
  <c r="K1219" i="10"/>
  <c r="I1219" i="10"/>
  <c r="K1218" i="10"/>
  <c r="I1218" i="10"/>
  <c r="K1217" i="10"/>
  <c r="M1217" i="10" s="1"/>
  <c r="I1217" i="10"/>
  <c r="K1216" i="10"/>
  <c r="I1216" i="10"/>
  <c r="P1215" i="10"/>
  <c r="M1215" i="10"/>
  <c r="K1215" i="10"/>
  <c r="I1215" i="10"/>
  <c r="Y1214" i="10"/>
  <c r="K1214" i="10"/>
  <c r="M1214" i="10" s="1"/>
  <c r="P1214" i="10" s="1"/>
  <c r="I1214" i="10"/>
  <c r="K1213" i="10"/>
  <c r="M1213" i="10" s="1"/>
  <c r="P1213" i="10" s="1"/>
  <c r="I1213" i="10"/>
  <c r="K1212" i="10"/>
  <c r="M1212" i="10" s="1"/>
  <c r="I1212" i="10"/>
  <c r="K1211" i="10"/>
  <c r="M1211" i="10" s="1"/>
  <c r="P1211" i="10" s="1"/>
  <c r="I1211" i="10"/>
  <c r="K1210" i="10"/>
  <c r="M1210" i="10" s="1"/>
  <c r="P1210" i="10" s="1"/>
  <c r="I1210" i="10"/>
  <c r="K1209" i="10"/>
  <c r="M1209" i="10" s="1"/>
  <c r="I1209" i="10"/>
  <c r="M1208" i="10"/>
  <c r="P1208" i="10" s="1"/>
  <c r="K1208" i="10"/>
  <c r="I1208" i="10"/>
  <c r="M1207" i="10"/>
  <c r="P1207" i="10" s="1"/>
  <c r="K1207" i="10"/>
  <c r="I1207" i="10"/>
  <c r="K1206" i="10"/>
  <c r="M1206" i="10" s="1"/>
  <c r="I1206" i="10"/>
  <c r="M1205" i="10"/>
  <c r="P1205" i="10" s="1"/>
  <c r="K1205" i="10"/>
  <c r="I1205" i="10"/>
  <c r="M1204" i="10"/>
  <c r="P1204" i="10" s="1"/>
  <c r="K1204" i="10"/>
  <c r="I1204" i="10"/>
  <c r="K1203" i="10"/>
  <c r="M1203" i="10" s="1"/>
  <c r="I1203" i="10"/>
  <c r="K1202" i="10"/>
  <c r="M1202" i="10" s="1"/>
  <c r="P1202" i="10" s="1"/>
  <c r="I1202" i="10"/>
  <c r="K1201" i="10"/>
  <c r="M1201" i="10" s="1"/>
  <c r="P1201" i="10" s="1"/>
  <c r="I1201" i="10"/>
  <c r="K1200" i="10"/>
  <c r="M1200" i="10" s="1"/>
  <c r="I1200" i="10"/>
  <c r="K1199" i="10"/>
  <c r="M1199" i="10" s="1"/>
  <c r="P1199" i="10" s="1"/>
  <c r="I1199" i="10"/>
  <c r="K1198" i="10"/>
  <c r="M1198" i="10" s="1"/>
  <c r="P1198" i="10" s="1"/>
  <c r="I1198" i="10"/>
  <c r="K1197" i="10"/>
  <c r="I1197" i="10"/>
  <c r="K1196" i="10"/>
  <c r="I1196" i="10"/>
  <c r="K1195" i="10"/>
  <c r="M1195" i="10" s="1"/>
  <c r="P1195" i="10" s="1"/>
  <c r="I1195" i="10"/>
  <c r="K1194" i="10"/>
  <c r="I1194" i="10"/>
  <c r="K1193" i="10"/>
  <c r="M1193" i="10" s="1"/>
  <c r="I1193" i="10"/>
  <c r="K1192" i="10"/>
  <c r="M1192" i="10" s="1"/>
  <c r="P1192" i="10" s="1"/>
  <c r="I1192" i="10"/>
  <c r="K1191" i="10"/>
  <c r="M1191" i="10" s="1"/>
  <c r="I1191" i="10"/>
  <c r="K1190" i="10"/>
  <c r="I1190" i="10"/>
  <c r="K1189" i="10"/>
  <c r="I1189" i="10"/>
  <c r="K1188" i="10"/>
  <c r="M1188" i="10" s="1"/>
  <c r="I1188" i="10"/>
  <c r="K1187" i="10"/>
  <c r="I1187" i="10"/>
  <c r="K1186" i="10"/>
  <c r="I1186" i="10"/>
  <c r="K1185" i="10"/>
  <c r="M1185" i="10" s="1"/>
  <c r="I1185" i="10"/>
  <c r="K1184" i="10"/>
  <c r="I1184" i="10"/>
  <c r="K1183" i="10"/>
  <c r="M1183" i="10" s="1"/>
  <c r="P1183" i="10" s="1"/>
  <c r="I1183" i="10"/>
  <c r="K1182" i="10"/>
  <c r="M1182" i="10" s="1"/>
  <c r="I1182" i="10"/>
  <c r="K1181" i="10"/>
  <c r="I1181" i="10"/>
  <c r="K1180" i="10"/>
  <c r="M1180" i="10" s="1"/>
  <c r="P1180" i="10" s="1"/>
  <c r="I1180" i="10"/>
  <c r="K1179" i="10"/>
  <c r="M1179" i="10" s="1"/>
  <c r="I1179" i="10"/>
  <c r="Y1178" i="10"/>
  <c r="K1178" i="10"/>
  <c r="I1178" i="10"/>
  <c r="K1177" i="10"/>
  <c r="M1177" i="10" s="1"/>
  <c r="I1177" i="10"/>
  <c r="K1176" i="10"/>
  <c r="M1176" i="10" s="1"/>
  <c r="I1176" i="10"/>
  <c r="K1175" i="10"/>
  <c r="I1175" i="10"/>
  <c r="K1174" i="10"/>
  <c r="M1174" i="10" s="1"/>
  <c r="I1174" i="10"/>
  <c r="M1173" i="10"/>
  <c r="K1173" i="10"/>
  <c r="I1173" i="10"/>
  <c r="K1172" i="10"/>
  <c r="I1172" i="10"/>
  <c r="K1171" i="10"/>
  <c r="M1171" i="10" s="1"/>
  <c r="I1171" i="10"/>
  <c r="K1170" i="10"/>
  <c r="I1170" i="10"/>
  <c r="K1169" i="10"/>
  <c r="I1169" i="10"/>
  <c r="K1168" i="10"/>
  <c r="M1168" i="10" s="1"/>
  <c r="I1168" i="10"/>
  <c r="K1167" i="10"/>
  <c r="M1167" i="10" s="1"/>
  <c r="I1167" i="10"/>
  <c r="K1166" i="10"/>
  <c r="I1166" i="10"/>
  <c r="K1165" i="10"/>
  <c r="M1165" i="10" s="1"/>
  <c r="I1165" i="10"/>
  <c r="K1164" i="10"/>
  <c r="M1164" i="10" s="1"/>
  <c r="I1164" i="10"/>
  <c r="K1163" i="10"/>
  <c r="I1163" i="10"/>
  <c r="K1162" i="10"/>
  <c r="M1162" i="10" s="1"/>
  <c r="I1162" i="10"/>
  <c r="K1161" i="10"/>
  <c r="I1161" i="10"/>
  <c r="K1160" i="10"/>
  <c r="I1160" i="10"/>
  <c r="K1159" i="10"/>
  <c r="M1159" i="10" s="1"/>
  <c r="I1159" i="10"/>
  <c r="M1158" i="10"/>
  <c r="K1158" i="10"/>
  <c r="I1158" i="10"/>
  <c r="K1157" i="10"/>
  <c r="I1157" i="10"/>
  <c r="K1156" i="10"/>
  <c r="I1156" i="10"/>
  <c r="K1155" i="10"/>
  <c r="M1155" i="10" s="1"/>
  <c r="I1155" i="10"/>
  <c r="K1154" i="10"/>
  <c r="I1154" i="10"/>
  <c r="K1153" i="10"/>
  <c r="M1153" i="10" s="1"/>
  <c r="I1153" i="10"/>
  <c r="K1152" i="10"/>
  <c r="I1152" i="10"/>
  <c r="K1151" i="10"/>
  <c r="I1151" i="10"/>
  <c r="Y1150" i="10"/>
  <c r="K1150" i="10"/>
  <c r="M1150" i="10" s="1"/>
  <c r="I1150" i="10"/>
  <c r="K1149" i="10"/>
  <c r="M1149" i="10" s="1"/>
  <c r="P1149" i="10" s="1"/>
  <c r="I1149" i="10"/>
  <c r="K1148" i="10"/>
  <c r="I1148" i="10"/>
  <c r="M1147" i="10"/>
  <c r="K1147" i="10"/>
  <c r="I1147" i="10"/>
  <c r="K1146" i="10"/>
  <c r="M1146" i="10" s="1"/>
  <c r="P1146" i="10" s="1"/>
  <c r="I1146" i="10"/>
  <c r="K1145" i="10"/>
  <c r="I1145" i="10"/>
  <c r="K1144" i="10"/>
  <c r="I1144" i="10"/>
  <c r="K1143" i="10"/>
  <c r="M1143" i="10" s="1"/>
  <c r="P1143" i="10" s="1"/>
  <c r="I1143" i="10"/>
  <c r="K1142" i="10"/>
  <c r="I1142" i="10"/>
  <c r="K1141" i="10"/>
  <c r="I1141" i="10"/>
  <c r="K1140" i="10"/>
  <c r="I1140" i="10"/>
  <c r="K1139" i="10"/>
  <c r="I1139" i="10"/>
  <c r="K1138" i="10"/>
  <c r="M1138" i="10" s="1"/>
  <c r="I1138" i="10"/>
  <c r="K1137" i="10"/>
  <c r="M1137" i="10" s="1"/>
  <c r="P1137" i="10" s="1"/>
  <c r="I1137" i="10"/>
  <c r="K1136" i="10"/>
  <c r="I1136" i="10"/>
  <c r="K1135" i="10"/>
  <c r="M1135" i="10" s="1"/>
  <c r="I1135" i="10"/>
  <c r="K1134" i="10"/>
  <c r="M1134" i="10" s="1"/>
  <c r="P1134" i="10" s="1"/>
  <c r="I1134" i="10"/>
  <c r="K1133" i="10"/>
  <c r="M1133" i="10" s="1"/>
  <c r="I1133" i="10"/>
  <c r="K1132" i="10"/>
  <c r="M1132" i="10" s="1"/>
  <c r="I1132" i="10"/>
  <c r="K1131" i="10"/>
  <c r="M1131" i="10" s="1"/>
  <c r="P1131" i="10" s="1"/>
  <c r="I1131" i="10"/>
  <c r="K1130" i="10"/>
  <c r="I1130" i="10"/>
  <c r="K1129" i="10"/>
  <c r="M1129" i="10" s="1"/>
  <c r="I1129" i="10"/>
  <c r="K1128" i="10"/>
  <c r="M1128" i="10" s="1"/>
  <c r="P1128" i="10" s="1"/>
  <c r="I1128" i="10"/>
  <c r="K1127" i="10"/>
  <c r="I1127" i="10"/>
  <c r="K1126" i="10"/>
  <c r="M1126" i="10" s="1"/>
  <c r="I1126" i="10"/>
  <c r="K1125" i="10"/>
  <c r="M1125" i="10" s="1"/>
  <c r="P1125" i="10" s="1"/>
  <c r="I1125" i="10"/>
  <c r="K1124" i="10"/>
  <c r="I1124" i="10"/>
  <c r="K1123" i="10"/>
  <c r="I1123" i="10"/>
  <c r="K1122" i="10"/>
  <c r="I1122" i="10"/>
  <c r="K1121" i="10"/>
  <c r="I1121" i="10"/>
  <c r="K1120" i="10"/>
  <c r="M1120" i="10" s="1"/>
  <c r="I1120" i="10"/>
  <c r="K1119" i="10"/>
  <c r="I1119" i="10"/>
  <c r="K1118" i="10"/>
  <c r="I1118" i="10"/>
  <c r="M1117" i="10"/>
  <c r="K1117" i="10"/>
  <c r="I1117" i="10"/>
  <c r="M1116" i="10"/>
  <c r="P1116" i="10" s="1"/>
  <c r="K1116" i="10"/>
  <c r="I1116" i="10"/>
  <c r="K1115" i="10"/>
  <c r="M1115" i="10" s="1"/>
  <c r="I1115" i="10"/>
  <c r="K1114" i="10"/>
  <c r="M1114" i="10" s="1"/>
  <c r="I1114" i="10"/>
  <c r="K1113" i="10"/>
  <c r="M1113" i="10" s="1"/>
  <c r="P1113" i="10" s="1"/>
  <c r="I1113" i="10"/>
  <c r="K1112" i="10"/>
  <c r="I1112" i="10"/>
  <c r="K1111" i="10"/>
  <c r="M1111" i="10" s="1"/>
  <c r="I1111" i="10"/>
  <c r="K1110" i="10"/>
  <c r="M1110" i="10" s="1"/>
  <c r="P1110" i="10" s="1"/>
  <c r="I1110" i="10"/>
  <c r="K1109" i="10"/>
  <c r="I1109" i="10"/>
  <c r="K1108" i="10"/>
  <c r="M1108" i="10" s="1"/>
  <c r="I1108" i="10"/>
  <c r="K1107" i="10"/>
  <c r="M1107" i="10" s="1"/>
  <c r="P1107" i="10" s="1"/>
  <c r="I1107" i="10"/>
  <c r="K1106" i="10"/>
  <c r="I1106" i="10"/>
  <c r="K1105" i="10"/>
  <c r="I1105" i="10"/>
  <c r="K1104" i="10"/>
  <c r="I1104" i="10"/>
  <c r="K1103" i="10"/>
  <c r="I1103" i="10"/>
  <c r="K1102" i="10"/>
  <c r="M1102" i="10" s="1"/>
  <c r="I1102" i="10"/>
  <c r="K1101" i="10"/>
  <c r="M1101" i="10" s="1"/>
  <c r="P1101" i="10" s="1"/>
  <c r="I1101" i="10"/>
  <c r="K1100" i="10"/>
  <c r="I1100" i="10"/>
  <c r="K1099" i="10"/>
  <c r="M1099" i="10" s="1"/>
  <c r="I1099" i="10"/>
  <c r="K1098" i="10"/>
  <c r="M1098" i="10" s="1"/>
  <c r="P1098" i="10" s="1"/>
  <c r="I1098" i="10"/>
  <c r="K1097" i="10"/>
  <c r="M1097" i="10" s="1"/>
  <c r="I1097" i="10"/>
  <c r="K1096" i="10"/>
  <c r="M1096" i="10" s="1"/>
  <c r="I1096" i="10"/>
  <c r="Y1095" i="10"/>
  <c r="K1095" i="10"/>
  <c r="M1095" i="10" s="1"/>
  <c r="I1095" i="10"/>
  <c r="K1094" i="10"/>
  <c r="M1094" i="10" s="1"/>
  <c r="I1094" i="10"/>
  <c r="K1093" i="10"/>
  <c r="M1093" i="10" s="1"/>
  <c r="P1093" i="10" s="1"/>
  <c r="I1093" i="10"/>
  <c r="K1092" i="10"/>
  <c r="M1092" i="10" s="1"/>
  <c r="P1092" i="10" s="1"/>
  <c r="I1092" i="10"/>
  <c r="K1091" i="10"/>
  <c r="I1091" i="10"/>
  <c r="K1090" i="10"/>
  <c r="I1090" i="10"/>
  <c r="K1089" i="10"/>
  <c r="M1089" i="10" s="1"/>
  <c r="I1089" i="10"/>
  <c r="K1088" i="10"/>
  <c r="I1088" i="10"/>
  <c r="K1087" i="10"/>
  <c r="M1087" i="10" s="1"/>
  <c r="P1087" i="10" s="1"/>
  <c r="I1087" i="10"/>
  <c r="K1086" i="10"/>
  <c r="M1086" i="10" s="1"/>
  <c r="P1086" i="10" s="1"/>
  <c r="I1086" i="10"/>
  <c r="K1085" i="10"/>
  <c r="I1085" i="10"/>
  <c r="K1084" i="10"/>
  <c r="M1084" i="10" s="1"/>
  <c r="P1084" i="10" s="1"/>
  <c r="I1084" i="10"/>
  <c r="K1083" i="10"/>
  <c r="M1083" i="10" s="1"/>
  <c r="I1083" i="10"/>
  <c r="K1082" i="10"/>
  <c r="I1082" i="10"/>
  <c r="K1081" i="10"/>
  <c r="I1081" i="10"/>
  <c r="K1080" i="10"/>
  <c r="M1080" i="10" s="1"/>
  <c r="P1080" i="10" s="1"/>
  <c r="I1080" i="10"/>
  <c r="Y1079" i="10"/>
  <c r="K1079" i="10"/>
  <c r="M1079" i="10" s="1"/>
  <c r="P1079" i="10" s="1"/>
  <c r="I1079" i="10"/>
  <c r="K1078" i="10"/>
  <c r="M1078" i="10" s="1"/>
  <c r="P1078" i="10" s="1"/>
  <c r="I1078" i="10"/>
  <c r="Y1077" i="10"/>
  <c r="K1077" i="10"/>
  <c r="I1077" i="10"/>
  <c r="K1076" i="10"/>
  <c r="M1076" i="10" s="1"/>
  <c r="I1076" i="10"/>
  <c r="K1075" i="10"/>
  <c r="M1075" i="10" s="1"/>
  <c r="I1075" i="10"/>
  <c r="K1074" i="10"/>
  <c r="I1074" i="10"/>
  <c r="K1073" i="10"/>
  <c r="M1073" i="10" s="1"/>
  <c r="I1073" i="10"/>
  <c r="K1072" i="10"/>
  <c r="M1072" i="10" s="1"/>
  <c r="I1072" i="10"/>
  <c r="K1071" i="10"/>
  <c r="I1071" i="10"/>
  <c r="K1070" i="10"/>
  <c r="M1070" i="10" s="1"/>
  <c r="I1070" i="10"/>
  <c r="K1069" i="10"/>
  <c r="I1069" i="10"/>
  <c r="H1069" i="10"/>
  <c r="K1068" i="10"/>
  <c r="M1068" i="10" s="1"/>
  <c r="I1068" i="10"/>
  <c r="K1067" i="10"/>
  <c r="I1067" i="10"/>
  <c r="K1066" i="10"/>
  <c r="M1066" i="10" s="1"/>
  <c r="P1066" i="10" s="1"/>
  <c r="I1066" i="10"/>
  <c r="K1065" i="10"/>
  <c r="M1065" i="10" s="1"/>
  <c r="I1065" i="10"/>
  <c r="K1064" i="10"/>
  <c r="I1064" i="10"/>
  <c r="M1063" i="10"/>
  <c r="P1063" i="10" s="1"/>
  <c r="K1063" i="10"/>
  <c r="I1063" i="10"/>
  <c r="K1062" i="10"/>
  <c r="I1062" i="10"/>
  <c r="K1061" i="10"/>
  <c r="I1061" i="10"/>
  <c r="K1060" i="10"/>
  <c r="I1060" i="10"/>
  <c r="K1059" i="10"/>
  <c r="I1059" i="10"/>
  <c r="K1058" i="10"/>
  <c r="M1058" i="10" s="1"/>
  <c r="I1058" i="10"/>
  <c r="K1057" i="10"/>
  <c r="M1057" i="10" s="1"/>
  <c r="P1057" i="10" s="1"/>
  <c r="I1057" i="10"/>
  <c r="K1056" i="10"/>
  <c r="M1056" i="10" s="1"/>
  <c r="I1056" i="10"/>
  <c r="K1055" i="10"/>
  <c r="I1055" i="10"/>
  <c r="K1054" i="10"/>
  <c r="I1054" i="10"/>
  <c r="K1053" i="10"/>
  <c r="M1053" i="10" s="1"/>
  <c r="I1053" i="10"/>
  <c r="K1052" i="10"/>
  <c r="I1052" i="10"/>
  <c r="K1051" i="10"/>
  <c r="M1051" i="10" s="1"/>
  <c r="P1051" i="10" s="1"/>
  <c r="I1051" i="10"/>
  <c r="K1050" i="10"/>
  <c r="M1050" i="10" s="1"/>
  <c r="I1050" i="10"/>
  <c r="K1049" i="10"/>
  <c r="I1049" i="10"/>
  <c r="K1048" i="10"/>
  <c r="M1048" i="10" s="1"/>
  <c r="P1048" i="10" s="1"/>
  <c r="I1048" i="10"/>
  <c r="K1047" i="10"/>
  <c r="M1047" i="10" s="1"/>
  <c r="I1047" i="10"/>
  <c r="K1046" i="10"/>
  <c r="I1046" i="10"/>
  <c r="K1045" i="10"/>
  <c r="I1045" i="10"/>
  <c r="K1044" i="10"/>
  <c r="M1044" i="10" s="1"/>
  <c r="I1044" i="10"/>
  <c r="K1043" i="10"/>
  <c r="I1043" i="10"/>
  <c r="K1042" i="10"/>
  <c r="M1042" i="10" s="1"/>
  <c r="P1042" i="10" s="1"/>
  <c r="I1042" i="10"/>
  <c r="K1041" i="10"/>
  <c r="I1041" i="10"/>
  <c r="M1040" i="10"/>
  <c r="K1040" i="10"/>
  <c r="I1040" i="10"/>
  <c r="K1039" i="10"/>
  <c r="I1039" i="10"/>
  <c r="K1038" i="10"/>
  <c r="M1038" i="10" s="1"/>
  <c r="I1038" i="10"/>
  <c r="K1037" i="10"/>
  <c r="I1037" i="10"/>
  <c r="K1036" i="10"/>
  <c r="M1036" i="10" s="1"/>
  <c r="P1036" i="10" s="1"/>
  <c r="I1036" i="10"/>
  <c r="K1035" i="10"/>
  <c r="M1035" i="10" s="1"/>
  <c r="I1035" i="10"/>
  <c r="K1034" i="10"/>
  <c r="I1034" i="10"/>
  <c r="K1033" i="10"/>
  <c r="M1033" i="10" s="1"/>
  <c r="P1033" i="10" s="1"/>
  <c r="I1033" i="10"/>
  <c r="K1032" i="10"/>
  <c r="M1032" i="10" s="1"/>
  <c r="I1032" i="10"/>
  <c r="K1031" i="10"/>
  <c r="I1031" i="10"/>
  <c r="K1030" i="10"/>
  <c r="M1030" i="10" s="1"/>
  <c r="P1030" i="10" s="1"/>
  <c r="I1030" i="10"/>
  <c r="K1029" i="10"/>
  <c r="M1029" i="10" s="1"/>
  <c r="I1029" i="10"/>
  <c r="K1028" i="10"/>
  <c r="I1028" i="10"/>
  <c r="K1027" i="10"/>
  <c r="I1027" i="10"/>
  <c r="K1026" i="10"/>
  <c r="I1026" i="10"/>
  <c r="K1025" i="10"/>
  <c r="I1025" i="10"/>
  <c r="K1024" i="10"/>
  <c r="I1024" i="10"/>
  <c r="K1023" i="10"/>
  <c r="I1023" i="10"/>
  <c r="K1022" i="10"/>
  <c r="M1022" i="10" s="1"/>
  <c r="I1022" i="10"/>
  <c r="K1021" i="10"/>
  <c r="I1021" i="10"/>
  <c r="K1020" i="10"/>
  <c r="M1020" i="10" s="1"/>
  <c r="I1020" i="10"/>
  <c r="K1019" i="10"/>
  <c r="I1019" i="10"/>
  <c r="K1018" i="10"/>
  <c r="I1018" i="10"/>
  <c r="K1017" i="10"/>
  <c r="M1017" i="10" s="1"/>
  <c r="I1017" i="10"/>
  <c r="K1016" i="10"/>
  <c r="I1016" i="10"/>
  <c r="K1015" i="10"/>
  <c r="M1015" i="10" s="1"/>
  <c r="P1015" i="10" s="1"/>
  <c r="I1015" i="10"/>
  <c r="K1014" i="10"/>
  <c r="M1014" i="10" s="1"/>
  <c r="I1014" i="10"/>
  <c r="K1013" i="10"/>
  <c r="I1013" i="10"/>
  <c r="K1012" i="10"/>
  <c r="M1012" i="10" s="1"/>
  <c r="P1012" i="10" s="1"/>
  <c r="I1012" i="10"/>
  <c r="K1011" i="10"/>
  <c r="M1011" i="10" s="1"/>
  <c r="I1011" i="10"/>
  <c r="K1010" i="10"/>
  <c r="I1010" i="10"/>
  <c r="K1009" i="10"/>
  <c r="I1009" i="10"/>
  <c r="K1008" i="10"/>
  <c r="I1008" i="10"/>
  <c r="K1007" i="10"/>
  <c r="I1007" i="10"/>
  <c r="K1006" i="10"/>
  <c r="M1006" i="10" s="1"/>
  <c r="I1006" i="10"/>
  <c r="K1005" i="10"/>
  <c r="I1005" i="10"/>
  <c r="K1004" i="10"/>
  <c r="I1004" i="10"/>
  <c r="K1003" i="10"/>
  <c r="I1003" i="10"/>
  <c r="K1002" i="10"/>
  <c r="M1002" i="10" s="1"/>
  <c r="I1002" i="10"/>
  <c r="K1001" i="10"/>
  <c r="I1001" i="10"/>
  <c r="K1000" i="10"/>
  <c r="I1000" i="10"/>
  <c r="K999" i="10"/>
  <c r="M999" i="10" s="1"/>
  <c r="I999" i="10"/>
  <c r="K998" i="10"/>
  <c r="I998" i="10"/>
  <c r="K997" i="10"/>
  <c r="M997" i="10" s="1"/>
  <c r="P997" i="10" s="1"/>
  <c r="I997" i="10"/>
  <c r="K996" i="10"/>
  <c r="M996" i="10" s="1"/>
  <c r="I996" i="10"/>
  <c r="K995" i="10"/>
  <c r="I995" i="10"/>
  <c r="K994" i="10"/>
  <c r="M994" i="10" s="1"/>
  <c r="P994" i="10" s="1"/>
  <c r="I994" i="10"/>
  <c r="K993" i="10"/>
  <c r="M993" i="10" s="1"/>
  <c r="I993" i="10"/>
  <c r="K992" i="10"/>
  <c r="I992" i="10"/>
  <c r="K991" i="10"/>
  <c r="I991" i="10"/>
  <c r="K990" i="10"/>
  <c r="I990" i="10"/>
  <c r="K989" i="10"/>
  <c r="I989" i="10"/>
  <c r="K988" i="10"/>
  <c r="I988" i="10"/>
  <c r="K987" i="10"/>
  <c r="I987" i="10"/>
  <c r="K986" i="10"/>
  <c r="I986" i="10"/>
  <c r="K985" i="10"/>
  <c r="I985" i="10"/>
  <c r="K984" i="10"/>
  <c r="M984" i="10" s="1"/>
  <c r="I984" i="10"/>
  <c r="K983" i="10"/>
  <c r="I983" i="10"/>
  <c r="K982" i="10"/>
  <c r="I982" i="10"/>
  <c r="K981" i="10"/>
  <c r="M981" i="10" s="1"/>
  <c r="I981" i="10"/>
  <c r="K980" i="10"/>
  <c r="I980" i="10"/>
  <c r="K979" i="10"/>
  <c r="M979" i="10" s="1"/>
  <c r="P979" i="10" s="1"/>
  <c r="I979" i="10"/>
  <c r="K978" i="10"/>
  <c r="M978" i="10" s="1"/>
  <c r="I978" i="10"/>
  <c r="K977" i="10"/>
  <c r="I977" i="10"/>
  <c r="M976" i="10"/>
  <c r="P976" i="10" s="1"/>
  <c r="K976" i="10"/>
  <c r="I976" i="10"/>
  <c r="K975" i="10"/>
  <c r="M975" i="10" s="1"/>
  <c r="I975" i="10"/>
  <c r="K974" i="10"/>
  <c r="I974" i="10"/>
  <c r="K973" i="10"/>
  <c r="I973" i="10"/>
  <c r="K972" i="10"/>
  <c r="M972" i="10" s="1"/>
  <c r="I972" i="10"/>
  <c r="K971" i="10"/>
  <c r="I971" i="10"/>
  <c r="K970" i="10"/>
  <c r="I970" i="10"/>
  <c r="K969" i="10"/>
  <c r="I969" i="10"/>
  <c r="K968" i="10"/>
  <c r="I968" i="10"/>
  <c r="K967" i="10"/>
  <c r="I967" i="10"/>
  <c r="K966" i="10"/>
  <c r="M966" i="10" s="1"/>
  <c r="I966" i="10"/>
  <c r="K965" i="10"/>
  <c r="I965" i="10"/>
  <c r="K964" i="10"/>
  <c r="I964" i="10"/>
  <c r="K963" i="10"/>
  <c r="M963" i="10" s="1"/>
  <c r="I963" i="10"/>
  <c r="K962" i="10"/>
  <c r="I962" i="10"/>
  <c r="K961" i="10"/>
  <c r="M961" i="10" s="1"/>
  <c r="P961" i="10" s="1"/>
  <c r="I961" i="10"/>
  <c r="K960" i="10"/>
  <c r="M960" i="10" s="1"/>
  <c r="I960" i="10"/>
  <c r="K959" i="10"/>
  <c r="I959" i="10"/>
  <c r="K958" i="10"/>
  <c r="M958" i="10" s="1"/>
  <c r="P958" i="10" s="1"/>
  <c r="I958" i="10"/>
  <c r="K957" i="10"/>
  <c r="M957" i="10" s="1"/>
  <c r="I957" i="10"/>
  <c r="K956" i="10"/>
  <c r="I956" i="10"/>
  <c r="K955" i="10"/>
  <c r="M955" i="10" s="1"/>
  <c r="P955" i="10" s="1"/>
  <c r="I955" i="10"/>
  <c r="K954" i="10"/>
  <c r="I954" i="10"/>
  <c r="K953" i="10"/>
  <c r="I953" i="10"/>
  <c r="K952" i="10"/>
  <c r="I952" i="10"/>
  <c r="K951" i="10"/>
  <c r="I951" i="10"/>
  <c r="K950" i="10"/>
  <c r="I950" i="10"/>
  <c r="K949" i="10"/>
  <c r="I949" i="10"/>
  <c r="K948" i="10"/>
  <c r="M948" i="10" s="1"/>
  <c r="I948" i="10"/>
  <c r="K947" i="10"/>
  <c r="I947" i="10"/>
  <c r="K946" i="10"/>
  <c r="M946" i="10" s="1"/>
  <c r="P946" i="10" s="1"/>
  <c r="I946" i="10"/>
  <c r="K945" i="10"/>
  <c r="M945" i="10" s="1"/>
  <c r="I945" i="10"/>
  <c r="K944" i="10"/>
  <c r="I944" i="10"/>
  <c r="K943" i="10"/>
  <c r="M943" i="10" s="1"/>
  <c r="P943" i="10" s="1"/>
  <c r="I943" i="10"/>
  <c r="K942" i="10"/>
  <c r="M942" i="10" s="1"/>
  <c r="I942" i="10"/>
  <c r="K941" i="10"/>
  <c r="I941" i="10"/>
  <c r="K940" i="10"/>
  <c r="M940" i="10" s="1"/>
  <c r="P940" i="10" s="1"/>
  <c r="I940" i="10"/>
  <c r="M939" i="10"/>
  <c r="K939" i="10"/>
  <c r="I939" i="10"/>
  <c r="K938" i="10"/>
  <c r="I938" i="10"/>
  <c r="K937" i="10"/>
  <c r="I937" i="10"/>
  <c r="K936" i="10"/>
  <c r="M936" i="10" s="1"/>
  <c r="I936" i="10"/>
  <c r="K935" i="10"/>
  <c r="I935" i="10"/>
  <c r="K934" i="10"/>
  <c r="I934" i="10"/>
  <c r="K933" i="10"/>
  <c r="I933" i="10"/>
  <c r="K932" i="10"/>
  <c r="I932" i="10"/>
  <c r="Y931" i="10"/>
  <c r="K931" i="10"/>
  <c r="M931" i="10" s="1"/>
  <c r="P931" i="10" s="1"/>
  <c r="I931" i="10"/>
  <c r="K930" i="10"/>
  <c r="I930" i="10"/>
  <c r="K929" i="10"/>
  <c r="I929" i="10"/>
  <c r="K928" i="10"/>
  <c r="M928" i="10" s="1"/>
  <c r="I928" i="10"/>
  <c r="K927" i="10"/>
  <c r="M927" i="10" s="1"/>
  <c r="I927" i="10"/>
  <c r="K926" i="10"/>
  <c r="I926" i="10"/>
  <c r="K925" i="10"/>
  <c r="M925" i="10" s="1"/>
  <c r="P925" i="10" s="1"/>
  <c r="I925" i="10"/>
  <c r="K924" i="10"/>
  <c r="I924" i="10"/>
  <c r="K923" i="10"/>
  <c r="M923" i="10" s="1"/>
  <c r="I923" i="10"/>
  <c r="K922" i="10"/>
  <c r="M922" i="10" s="1"/>
  <c r="P922" i="10" s="1"/>
  <c r="I922" i="10"/>
  <c r="K921" i="10"/>
  <c r="I921" i="10"/>
  <c r="K920" i="10"/>
  <c r="I920" i="10"/>
  <c r="K919" i="10"/>
  <c r="M919" i="10" s="1"/>
  <c r="P919" i="10" s="1"/>
  <c r="I919" i="10"/>
  <c r="K918" i="10"/>
  <c r="M918" i="10" s="1"/>
  <c r="I918" i="10"/>
  <c r="K917" i="10"/>
  <c r="I917" i="10"/>
  <c r="K916" i="10"/>
  <c r="M916" i="10" s="1"/>
  <c r="I916" i="10"/>
  <c r="K915" i="10"/>
  <c r="M915" i="10" s="1"/>
  <c r="P915" i="10" s="1"/>
  <c r="I915" i="10"/>
  <c r="K914" i="10"/>
  <c r="I914" i="10"/>
  <c r="H914" i="10"/>
  <c r="K913" i="10"/>
  <c r="I913" i="10"/>
  <c r="K912" i="10"/>
  <c r="M912" i="10" s="1"/>
  <c r="P912" i="10" s="1"/>
  <c r="I912" i="10"/>
  <c r="M911" i="10"/>
  <c r="K911" i="10"/>
  <c r="I911" i="10"/>
  <c r="K910" i="10"/>
  <c r="I910" i="10"/>
  <c r="K909" i="10"/>
  <c r="M909" i="10" s="1"/>
  <c r="I909" i="10"/>
  <c r="K908" i="10"/>
  <c r="I908" i="10"/>
  <c r="K907" i="10"/>
  <c r="M907" i="10" s="1"/>
  <c r="I907" i="10"/>
  <c r="K906" i="10"/>
  <c r="M906" i="10" s="1"/>
  <c r="P906" i="10" s="1"/>
  <c r="I906" i="10"/>
  <c r="K905" i="10"/>
  <c r="M905" i="10" s="1"/>
  <c r="I905" i="10"/>
  <c r="M904" i="10"/>
  <c r="K904" i="10"/>
  <c r="I904" i="10"/>
  <c r="K903" i="10"/>
  <c r="M903" i="10" s="1"/>
  <c r="P903" i="10" s="1"/>
  <c r="I903" i="10"/>
  <c r="K902" i="10"/>
  <c r="M902" i="10" s="1"/>
  <c r="P902" i="10" s="1"/>
  <c r="I902" i="10"/>
  <c r="K901" i="10"/>
  <c r="M901" i="10" s="1"/>
  <c r="I901" i="10"/>
  <c r="K900" i="10"/>
  <c r="I900" i="10"/>
  <c r="K899" i="10"/>
  <c r="M899" i="10" s="1"/>
  <c r="P899" i="10" s="1"/>
  <c r="I899" i="10"/>
  <c r="K898" i="10"/>
  <c r="I898" i="10"/>
  <c r="K897" i="10"/>
  <c r="M897" i="10" s="1"/>
  <c r="I897" i="10"/>
  <c r="K896" i="10"/>
  <c r="M896" i="10" s="1"/>
  <c r="I896" i="10"/>
  <c r="K895" i="10"/>
  <c r="M895" i="10" s="1"/>
  <c r="I895" i="10"/>
  <c r="Y894" i="10"/>
  <c r="K894" i="10"/>
  <c r="I894" i="10"/>
  <c r="K893" i="10"/>
  <c r="I893" i="10"/>
  <c r="K892" i="10"/>
  <c r="M892" i="10" s="1"/>
  <c r="I892" i="10"/>
  <c r="Y891" i="10"/>
  <c r="K891" i="10"/>
  <c r="M891" i="10" s="1"/>
  <c r="I891" i="10"/>
  <c r="K890" i="10"/>
  <c r="I890" i="10"/>
  <c r="K889" i="10"/>
  <c r="I889" i="10"/>
  <c r="K888" i="10"/>
  <c r="M888" i="10" s="1"/>
  <c r="I888" i="10"/>
  <c r="K887" i="10"/>
  <c r="M887" i="10" s="1"/>
  <c r="I887" i="10"/>
  <c r="Y886" i="10"/>
  <c r="K886" i="10"/>
  <c r="I886" i="10"/>
  <c r="K885" i="10"/>
  <c r="I885" i="10"/>
  <c r="K884" i="10"/>
  <c r="M884" i="10" s="1"/>
  <c r="P884" i="10" s="1"/>
  <c r="I884" i="10"/>
  <c r="Y883" i="10"/>
  <c r="K883" i="10"/>
  <c r="I883" i="10"/>
  <c r="Y882" i="10"/>
  <c r="K882" i="10"/>
  <c r="M882" i="10" s="1"/>
  <c r="P882" i="10" s="1"/>
  <c r="I882" i="10"/>
  <c r="K881" i="10"/>
  <c r="I881" i="10"/>
  <c r="K880" i="10"/>
  <c r="I880" i="10"/>
  <c r="K879" i="10"/>
  <c r="M879" i="10" s="1"/>
  <c r="P879" i="10" s="1"/>
  <c r="I879" i="10"/>
  <c r="K878" i="10"/>
  <c r="M878" i="10" s="1"/>
  <c r="I878" i="10"/>
  <c r="K877" i="10"/>
  <c r="I877" i="10"/>
  <c r="K876" i="10"/>
  <c r="M876" i="10" s="1"/>
  <c r="P876" i="10" s="1"/>
  <c r="I876" i="10"/>
  <c r="K875" i="10"/>
  <c r="I875" i="10"/>
  <c r="K874" i="10"/>
  <c r="I874" i="10"/>
  <c r="K873" i="10"/>
  <c r="M873" i="10" s="1"/>
  <c r="P873" i="10" s="1"/>
  <c r="I873" i="10"/>
  <c r="K872" i="10"/>
  <c r="I872" i="10"/>
  <c r="K871" i="10"/>
  <c r="I871" i="10"/>
  <c r="K870" i="10"/>
  <c r="M870" i="10" s="1"/>
  <c r="P870" i="10" s="1"/>
  <c r="I870" i="10"/>
  <c r="K869" i="10"/>
  <c r="M869" i="10" s="1"/>
  <c r="I869" i="10"/>
  <c r="K868" i="10"/>
  <c r="I868" i="10"/>
  <c r="N867" i="10"/>
  <c r="K867" i="10"/>
  <c r="I867" i="10"/>
  <c r="N866" i="10"/>
  <c r="K866" i="10"/>
  <c r="M866" i="10" s="1"/>
  <c r="P866" i="10" s="1"/>
  <c r="I866" i="10"/>
  <c r="N865" i="10"/>
  <c r="K865" i="10"/>
  <c r="M865" i="10" s="1"/>
  <c r="P865" i="10" s="1"/>
  <c r="I865" i="10"/>
  <c r="K864" i="10"/>
  <c r="M864" i="10" s="1"/>
  <c r="P864" i="10" s="1"/>
  <c r="I864" i="10"/>
  <c r="K863" i="10"/>
  <c r="I863" i="10"/>
  <c r="K862" i="10"/>
  <c r="M862" i="10" s="1"/>
  <c r="P862" i="10" s="1"/>
  <c r="I862" i="10"/>
  <c r="K861" i="10"/>
  <c r="M861" i="10" s="1"/>
  <c r="P861" i="10" s="1"/>
  <c r="I861" i="10"/>
  <c r="H861" i="10"/>
  <c r="K860" i="10"/>
  <c r="I860" i="10"/>
  <c r="K859" i="10"/>
  <c r="M859" i="10" s="1"/>
  <c r="P859" i="10" s="1"/>
  <c r="I859" i="10"/>
  <c r="K858" i="10"/>
  <c r="I858" i="10"/>
  <c r="K857" i="10"/>
  <c r="I857" i="10"/>
  <c r="K856" i="10"/>
  <c r="M856" i="10" s="1"/>
  <c r="P856" i="10" s="1"/>
  <c r="I856" i="10"/>
  <c r="M855" i="10"/>
  <c r="K855" i="10"/>
  <c r="I855" i="10"/>
  <c r="K854" i="10"/>
  <c r="I854" i="10"/>
  <c r="K853" i="10"/>
  <c r="I853" i="10"/>
  <c r="N852" i="10"/>
  <c r="K852" i="10"/>
  <c r="I852" i="10"/>
  <c r="N851" i="10"/>
  <c r="K851" i="10"/>
  <c r="I851" i="10"/>
  <c r="K850" i="10"/>
  <c r="M850" i="10" s="1"/>
  <c r="P850" i="10" s="1"/>
  <c r="I850" i="10"/>
  <c r="K849" i="10"/>
  <c r="I849" i="10"/>
  <c r="K848" i="10"/>
  <c r="M848" i="10" s="1"/>
  <c r="I848" i="10"/>
  <c r="K847" i="10"/>
  <c r="M847" i="10" s="1"/>
  <c r="P847" i="10" s="1"/>
  <c r="I847" i="10"/>
  <c r="K846" i="10"/>
  <c r="M846" i="10" s="1"/>
  <c r="I846" i="10"/>
  <c r="K845" i="10"/>
  <c r="I845" i="10"/>
  <c r="K844" i="10"/>
  <c r="M844" i="10" s="1"/>
  <c r="P844" i="10" s="1"/>
  <c r="I844" i="10"/>
  <c r="K843" i="10"/>
  <c r="I843" i="10"/>
  <c r="K842" i="10"/>
  <c r="I842" i="10"/>
  <c r="K841" i="10"/>
  <c r="M841" i="10" s="1"/>
  <c r="P841" i="10" s="1"/>
  <c r="I841" i="10"/>
  <c r="K840" i="10"/>
  <c r="M840" i="10" s="1"/>
  <c r="I840" i="10"/>
  <c r="K839" i="10"/>
  <c r="M839" i="10" s="1"/>
  <c r="P839" i="10" s="1"/>
  <c r="I839" i="10"/>
  <c r="K838" i="10"/>
  <c r="M838" i="10" s="1"/>
  <c r="P838" i="10" s="1"/>
  <c r="I838" i="10"/>
  <c r="K837" i="10"/>
  <c r="I837" i="10"/>
  <c r="K836" i="10"/>
  <c r="M836" i="10" s="1"/>
  <c r="I836" i="10"/>
  <c r="M835" i="10"/>
  <c r="P835" i="10" s="1"/>
  <c r="K835" i="10"/>
  <c r="I835" i="10"/>
  <c r="K834" i="10"/>
  <c r="I834" i="10"/>
  <c r="K833" i="10"/>
  <c r="M833" i="10" s="1"/>
  <c r="P833" i="10" s="1"/>
  <c r="I833" i="10"/>
  <c r="K832" i="10"/>
  <c r="M832" i="10" s="1"/>
  <c r="P832" i="10" s="1"/>
  <c r="I832" i="10"/>
  <c r="K831" i="10"/>
  <c r="M831" i="10" s="1"/>
  <c r="I831" i="10"/>
  <c r="K830" i="10"/>
  <c r="M830" i="10" s="1"/>
  <c r="I830" i="10"/>
  <c r="K829" i="10"/>
  <c r="M829" i="10" s="1"/>
  <c r="P829" i="10" s="1"/>
  <c r="I829" i="10"/>
  <c r="K828" i="10"/>
  <c r="M828" i="10" s="1"/>
  <c r="I828" i="10"/>
  <c r="K827" i="10"/>
  <c r="M827" i="10" s="1"/>
  <c r="I827" i="10"/>
  <c r="K826" i="10"/>
  <c r="M826" i="10" s="1"/>
  <c r="P826" i="10" s="1"/>
  <c r="I826" i="10"/>
  <c r="K825" i="10"/>
  <c r="I825" i="10"/>
  <c r="K824" i="10"/>
  <c r="I824" i="10"/>
  <c r="K823" i="10"/>
  <c r="M823" i="10" s="1"/>
  <c r="P823" i="10" s="1"/>
  <c r="I823" i="10"/>
  <c r="K822" i="10"/>
  <c r="M822" i="10" s="1"/>
  <c r="J822" i="10"/>
  <c r="I822" i="10"/>
  <c r="K821" i="10"/>
  <c r="J821" i="10"/>
  <c r="I821" i="10"/>
  <c r="K820" i="10"/>
  <c r="M820" i="10" s="1"/>
  <c r="I820" i="10"/>
  <c r="K819" i="10"/>
  <c r="M819" i="10" s="1"/>
  <c r="I819" i="10"/>
  <c r="K818" i="10"/>
  <c r="M818" i="10" s="1"/>
  <c r="P818" i="10" s="1"/>
  <c r="I818" i="10"/>
  <c r="K817" i="10"/>
  <c r="M817" i="10" s="1"/>
  <c r="I817" i="10"/>
  <c r="K816" i="10"/>
  <c r="I816" i="10"/>
  <c r="K815" i="10"/>
  <c r="I815" i="10"/>
  <c r="N814" i="10"/>
  <c r="K814" i="10"/>
  <c r="I814" i="10"/>
  <c r="K813" i="10"/>
  <c r="I813" i="10"/>
  <c r="K812" i="10"/>
  <c r="M812" i="10" s="1"/>
  <c r="I812" i="10"/>
  <c r="K811" i="10"/>
  <c r="I811" i="10"/>
  <c r="K810" i="10"/>
  <c r="I810" i="10"/>
  <c r="K809" i="10"/>
  <c r="I809" i="10"/>
  <c r="K808" i="10"/>
  <c r="I808" i="10"/>
  <c r="K807" i="10"/>
  <c r="M807" i="10" s="1"/>
  <c r="I807" i="10"/>
  <c r="K806" i="10"/>
  <c r="M806" i="10" s="1"/>
  <c r="I806" i="10"/>
  <c r="K805" i="10"/>
  <c r="I805" i="10"/>
  <c r="K804" i="10"/>
  <c r="I804" i="10"/>
  <c r="K803" i="10"/>
  <c r="M803" i="10" s="1"/>
  <c r="I803" i="10"/>
  <c r="K802" i="10"/>
  <c r="I802" i="10"/>
  <c r="K801" i="10"/>
  <c r="M801" i="10" s="1"/>
  <c r="I801" i="10"/>
  <c r="K800" i="10"/>
  <c r="M800" i="10" s="1"/>
  <c r="I800" i="10"/>
  <c r="K799" i="10"/>
  <c r="I799" i="10"/>
  <c r="K798" i="10"/>
  <c r="I798" i="10"/>
  <c r="K797" i="10"/>
  <c r="I797" i="10"/>
  <c r="K796" i="10"/>
  <c r="I796" i="10"/>
  <c r="K795" i="10"/>
  <c r="M795" i="10" s="1"/>
  <c r="I795" i="10"/>
  <c r="K794" i="10"/>
  <c r="M794" i="10" s="1"/>
  <c r="I794" i="10"/>
  <c r="K793" i="10"/>
  <c r="I793" i="10"/>
  <c r="K792" i="10"/>
  <c r="M792" i="10" s="1"/>
  <c r="P792" i="10" s="1"/>
  <c r="I792" i="10"/>
  <c r="K791" i="10"/>
  <c r="M791" i="10" s="1"/>
  <c r="I791" i="10"/>
  <c r="K790" i="10"/>
  <c r="I790" i="10"/>
  <c r="K789" i="10"/>
  <c r="I789" i="10"/>
  <c r="K788" i="10"/>
  <c r="M788" i="10" s="1"/>
  <c r="I788" i="10"/>
  <c r="K787" i="10"/>
  <c r="I787" i="10"/>
  <c r="K786" i="10"/>
  <c r="I786" i="10"/>
  <c r="K785" i="10"/>
  <c r="I785" i="10"/>
  <c r="K784" i="10"/>
  <c r="I784" i="10"/>
  <c r="K783" i="10"/>
  <c r="M783" i="10" s="1"/>
  <c r="I783" i="10"/>
  <c r="K782" i="10"/>
  <c r="M782" i="10" s="1"/>
  <c r="I782" i="10"/>
  <c r="K781" i="10"/>
  <c r="I781" i="10"/>
  <c r="K780" i="10"/>
  <c r="I780" i="10"/>
  <c r="K779" i="10"/>
  <c r="I779" i="10"/>
  <c r="K778" i="10"/>
  <c r="I778" i="10"/>
  <c r="K777" i="10"/>
  <c r="I777" i="10"/>
  <c r="K776" i="10"/>
  <c r="M776" i="10" s="1"/>
  <c r="I776" i="10"/>
  <c r="K775" i="10"/>
  <c r="I775" i="10"/>
  <c r="K774" i="10"/>
  <c r="I774" i="10"/>
  <c r="K773" i="10"/>
  <c r="I773" i="10"/>
  <c r="K772" i="10"/>
  <c r="I772" i="10"/>
  <c r="K771" i="10"/>
  <c r="M771" i="10" s="1"/>
  <c r="I771" i="10"/>
  <c r="K770" i="10"/>
  <c r="M770" i="10" s="1"/>
  <c r="I770" i="10"/>
  <c r="K769" i="10"/>
  <c r="I769" i="10"/>
  <c r="K768" i="10"/>
  <c r="M768" i="10" s="1"/>
  <c r="P768" i="10" s="1"/>
  <c r="I768" i="10"/>
  <c r="K767" i="10"/>
  <c r="M767" i="10" s="1"/>
  <c r="I767" i="10"/>
  <c r="K766" i="10"/>
  <c r="I766" i="10"/>
  <c r="K765" i="10"/>
  <c r="I765" i="10"/>
  <c r="K764" i="10"/>
  <c r="M764" i="10" s="1"/>
  <c r="I764" i="10"/>
  <c r="K763" i="10"/>
  <c r="I763" i="10"/>
  <c r="K762" i="10"/>
  <c r="I762" i="10"/>
  <c r="K761" i="10"/>
  <c r="I761" i="10"/>
  <c r="K760" i="10"/>
  <c r="I760" i="10"/>
  <c r="K759" i="10"/>
  <c r="M759" i="10" s="1"/>
  <c r="I759" i="10"/>
  <c r="K758" i="10"/>
  <c r="M758" i="10" s="1"/>
  <c r="I758" i="10"/>
  <c r="K757" i="10"/>
  <c r="I757" i="10"/>
  <c r="M756" i="10"/>
  <c r="K756" i="10"/>
  <c r="I756" i="10"/>
  <c r="K755" i="10"/>
  <c r="M755" i="10" s="1"/>
  <c r="I755" i="10"/>
  <c r="K754" i="10"/>
  <c r="I754" i="10"/>
  <c r="K753" i="10"/>
  <c r="I753" i="10"/>
  <c r="K752" i="10"/>
  <c r="M752" i="10" s="1"/>
  <c r="I752" i="10"/>
  <c r="K751" i="10"/>
  <c r="I751" i="10"/>
  <c r="K750" i="10"/>
  <c r="I750" i="10"/>
  <c r="K749" i="10"/>
  <c r="I749" i="10"/>
  <c r="K748" i="10"/>
  <c r="I748" i="10"/>
  <c r="K747" i="10"/>
  <c r="M747" i="10" s="1"/>
  <c r="I747" i="10"/>
  <c r="K746" i="10"/>
  <c r="M746" i="10" s="1"/>
  <c r="I746" i="10"/>
  <c r="K745" i="10"/>
  <c r="I745" i="10"/>
  <c r="K744" i="10"/>
  <c r="I744" i="10"/>
  <c r="P743" i="10"/>
  <c r="K743" i="10"/>
  <c r="M743" i="10" s="1"/>
  <c r="I743" i="10"/>
  <c r="K742" i="10"/>
  <c r="I742" i="10"/>
  <c r="K741" i="10"/>
  <c r="I741" i="10"/>
  <c r="K740" i="10"/>
  <c r="I740" i="10"/>
  <c r="K739" i="10"/>
  <c r="M739" i="10" s="1"/>
  <c r="I739" i="10"/>
  <c r="K738" i="10"/>
  <c r="M738" i="10" s="1"/>
  <c r="I738" i="10"/>
  <c r="K737" i="10"/>
  <c r="M737" i="10" s="1"/>
  <c r="P737" i="10" s="1"/>
  <c r="I737" i="10"/>
  <c r="N736" i="10"/>
  <c r="K736" i="10"/>
  <c r="M736" i="10" s="1"/>
  <c r="I736" i="10"/>
  <c r="N735" i="10"/>
  <c r="K735" i="10"/>
  <c r="I735" i="10"/>
  <c r="N734" i="10"/>
  <c r="K734" i="10"/>
  <c r="M734" i="10" s="1"/>
  <c r="P734" i="10" s="1"/>
  <c r="J734" i="10"/>
  <c r="I734" i="10"/>
  <c r="N733" i="10"/>
  <c r="K733" i="10"/>
  <c r="J733" i="10"/>
  <c r="I733" i="10"/>
  <c r="N732" i="10"/>
  <c r="K732" i="10"/>
  <c r="M732" i="10" s="1"/>
  <c r="P732" i="10" s="1"/>
  <c r="I732" i="10"/>
  <c r="N731" i="10"/>
  <c r="K731" i="10"/>
  <c r="I731" i="10"/>
  <c r="M730" i="10"/>
  <c r="P730" i="10" s="1"/>
  <c r="K730" i="10"/>
  <c r="I730" i="10"/>
  <c r="K729" i="10"/>
  <c r="M729" i="10" s="1"/>
  <c r="I729" i="10"/>
  <c r="K728" i="10"/>
  <c r="J728" i="10"/>
  <c r="I728" i="10"/>
  <c r="K727" i="10"/>
  <c r="J727" i="10"/>
  <c r="I727" i="10"/>
  <c r="K726" i="10"/>
  <c r="I726" i="10"/>
  <c r="K725" i="10"/>
  <c r="I725" i="10"/>
  <c r="K724" i="10"/>
  <c r="I724" i="10"/>
  <c r="K723" i="10"/>
  <c r="I723" i="10"/>
  <c r="G723" i="10"/>
  <c r="M722" i="10"/>
  <c r="K722" i="10"/>
  <c r="I722" i="10"/>
  <c r="G722" i="10"/>
  <c r="K721" i="10"/>
  <c r="M721" i="10" s="1"/>
  <c r="P721" i="10" s="1"/>
  <c r="I721" i="10"/>
  <c r="K720" i="10"/>
  <c r="I720" i="10"/>
  <c r="K719" i="10"/>
  <c r="I719" i="10"/>
  <c r="K718" i="10"/>
  <c r="M718" i="10" s="1"/>
  <c r="P718" i="10" s="1"/>
  <c r="I718" i="10"/>
  <c r="K717" i="10"/>
  <c r="M717" i="10" s="1"/>
  <c r="I717" i="10"/>
  <c r="K716" i="10"/>
  <c r="M716" i="10" s="1"/>
  <c r="P716" i="10" s="1"/>
  <c r="I716" i="10"/>
  <c r="K715" i="10"/>
  <c r="M715" i="10" s="1"/>
  <c r="P715" i="10" s="1"/>
  <c r="I715" i="10"/>
  <c r="K714" i="10"/>
  <c r="M714" i="10" s="1"/>
  <c r="I714" i="10"/>
  <c r="K713" i="10"/>
  <c r="I713" i="10"/>
  <c r="K712" i="10"/>
  <c r="M712" i="10" s="1"/>
  <c r="P712" i="10" s="1"/>
  <c r="I712" i="10"/>
  <c r="K711" i="10"/>
  <c r="M711" i="10" s="1"/>
  <c r="I711" i="10"/>
  <c r="K710" i="10"/>
  <c r="I710" i="10"/>
  <c r="K709" i="10"/>
  <c r="I709" i="10"/>
  <c r="K708" i="10"/>
  <c r="M708" i="10" s="1"/>
  <c r="I708" i="10"/>
  <c r="K707" i="10"/>
  <c r="I707" i="10"/>
  <c r="N706" i="10"/>
  <c r="K706" i="10"/>
  <c r="M706" i="10" s="1"/>
  <c r="P706" i="10" s="1"/>
  <c r="I706" i="10"/>
  <c r="K705" i="10"/>
  <c r="M705" i="10" s="1"/>
  <c r="I705" i="10"/>
  <c r="K704" i="10"/>
  <c r="I704" i="10"/>
  <c r="P703" i="10"/>
  <c r="K703" i="10"/>
  <c r="M703" i="10" s="1"/>
  <c r="I703" i="10"/>
  <c r="K702" i="10"/>
  <c r="M702" i="10" s="1"/>
  <c r="I702" i="10"/>
  <c r="K701" i="10"/>
  <c r="M701" i="10" s="1"/>
  <c r="P701" i="10" s="1"/>
  <c r="I701" i="10"/>
  <c r="K700" i="10"/>
  <c r="M700" i="10" s="1"/>
  <c r="P700" i="10" s="1"/>
  <c r="I700" i="10"/>
  <c r="K699" i="10"/>
  <c r="M699" i="10" s="1"/>
  <c r="I699" i="10"/>
  <c r="K698" i="10"/>
  <c r="M698" i="10" s="1"/>
  <c r="P698" i="10" s="1"/>
  <c r="I698" i="10"/>
  <c r="K697" i="10"/>
  <c r="M697" i="10" s="1"/>
  <c r="I697" i="10"/>
  <c r="K696" i="10"/>
  <c r="M696" i="10" s="1"/>
  <c r="I696" i="10"/>
  <c r="K695" i="10"/>
  <c r="M695" i="10" s="1"/>
  <c r="P695" i="10" s="1"/>
  <c r="I695" i="10"/>
  <c r="K694" i="10"/>
  <c r="M694" i="10" s="1"/>
  <c r="P694" i="10" s="1"/>
  <c r="I694" i="10"/>
  <c r="K693" i="10"/>
  <c r="I693" i="10"/>
  <c r="K692" i="10"/>
  <c r="I692" i="10"/>
  <c r="K691" i="10"/>
  <c r="M691" i="10" s="1"/>
  <c r="P691" i="10" s="1"/>
  <c r="I691" i="10"/>
  <c r="K690" i="10"/>
  <c r="M690" i="10" s="1"/>
  <c r="I690" i="10"/>
  <c r="K689" i="10"/>
  <c r="M689" i="10" s="1"/>
  <c r="P689" i="10" s="1"/>
  <c r="I689" i="10"/>
  <c r="K688" i="10"/>
  <c r="M688" i="10" s="1"/>
  <c r="P688" i="10" s="1"/>
  <c r="I688" i="10"/>
  <c r="K687" i="10"/>
  <c r="M687" i="10" s="1"/>
  <c r="I687" i="10"/>
  <c r="K686" i="10"/>
  <c r="I686" i="10"/>
  <c r="K685" i="10"/>
  <c r="I685" i="10"/>
  <c r="K684" i="10"/>
  <c r="M684" i="10" s="1"/>
  <c r="I684" i="10"/>
  <c r="K683" i="10"/>
  <c r="I683" i="10"/>
  <c r="K682" i="10"/>
  <c r="M682" i="10" s="1"/>
  <c r="P682" i="10" s="1"/>
  <c r="I682" i="10"/>
  <c r="K681" i="10"/>
  <c r="M681" i="10" s="1"/>
  <c r="I681" i="10"/>
  <c r="K680" i="10"/>
  <c r="M680" i="10" s="1"/>
  <c r="P680" i="10" s="1"/>
  <c r="I680" i="10"/>
  <c r="K679" i="10"/>
  <c r="M679" i="10" s="1"/>
  <c r="P679" i="10" s="1"/>
  <c r="I679" i="10"/>
  <c r="K678" i="10"/>
  <c r="M678" i="10" s="1"/>
  <c r="I678" i="10"/>
  <c r="K677" i="10"/>
  <c r="I677" i="10"/>
  <c r="K676" i="10"/>
  <c r="M676" i="10" s="1"/>
  <c r="P676" i="10" s="1"/>
  <c r="I676" i="10"/>
  <c r="K675" i="10"/>
  <c r="M675" i="10" s="1"/>
  <c r="I675" i="10"/>
  <c r="K674" i="10"/>
  <c r="M674" i="10" s="1"/>
  <c r="P674" i="10" s="1"/>
  <c r="I674" i="10"/>
  <c r="K673" i="10"/>
  <c r="M673" i="10" s="1"/>
  <c r="P673" i="10" s="1"/>
  <c r="I673" i="10"/>
  <c r="K672" i="10"/>
  <c r="M672" i="10" s="1"/>
  <c r="I672" i="10"/>
  <c r="H672" i="10"/>
  <c r="K671" i="10"/>
  <c r="M671" i="10" s="1"/>
  <c r="I671" i="10"/>
  <c r="K670" i="10"/>
  <c r="M670" i="10" s="1"/>
  <c r="I670" i="10"/>
  <c r="K669" i="10"/>
  <c r="M669" i="10" s="1"/>
  <c r="I669" i="10"/>
  <c r="K668" i="10"/>
  <c r="M668" i="10" s="1"/>
  <c r="I668" i="10"/>
  <c r="K667" i="10"/>
  <c r="M667" i="10" s="1"/>
  <c r="I667" i="10"/>
  <c r="K666" i="10"/>
  <c r="M666" i="10" s="1"/>
  <c r="I666" i="10"/>
  <c r="K665" i="10"/>
  <c r="I665" i="10"/>
  <c r="K664" i="10"/>
  <c r="M664" i="10" s="1"/>
  <c r="P664" i="10" s="1"/>
  <c r="I664" i="10"/>
  <c r="K663" i="10"/>
  <c r="M663" i="10" s="1"/>
  <c r="I663" i="10"/>
  <c r="K662" i="10"/>
  <c r="M662" i="10" s="1"/>
  <c r="P662" i="10" s="1"/>
  <c r="I662" i="10"/>
  <c r="K661" i="10"/>
  <c r="M661" i="10" s="1"/>
  <c r="I661" i="10"/>
  <c r="K660" i="10"/>
  <c r="M660" i="10" s="1"/>
  <c r="I660" i="10"/>
  <c r="K659" i="10"/>
  <c r="M659" i="10" s="1"/>
  <c r="P659" i="10" s="1"/>
  <c r="I659" i="10"/>
  <c r="K658" i="10"/>
  <c r="M658" i="10" s="1"/>
  <c r="P658" i="10" s="1"/>
  <c r="I658" i="10"/>
  <c r="N657" i="10"/>
  <c r="K657" i="10"/>
  <c r="M657" i="10" s="1"/>
  <c r="I657" i="10"/>
  <c r="K656" i="10"/>
  <c r="M656" i="10" s="1"/>
  <c r="I656" i="10"/>
  <c r="K655" i="10"/>
  <c r="I655" i="10"/>
  <c r="K654" i="10"/>
  <c r="I654" i="10"/>
  <c r="K653" i="10"/>
  <c r="M653" i="10" s="1"/>
  <c r="I653" i="10"/>
  <c r="K652" i="10"/>
  <c r="I652" i="10"/>
  <c r="K651" i="10"/>
  <c r="I651" i="10"/>
  <c r="P650" i="10"/>
  <c r="K650" i="10"/>
  <c r="M650" i="10" s="1"/>
  <c r="I650" i="10"/>
  <c r="N649" i="10"/>
  <c r="K649" i="10"/>
  <c r="I649" i="10"/>
  <c r="K648" i="10"/>
  <c r="I648" i="10"/>
  <c r="K647" i="10"/>
  <c r="M647" i="10" s="1"/>
  <c r="I647" i="10"/>
  <c r="K646" i="10"/>
  <c r="I646" i="10"/>
  <c r="M645" i="10"/>
  <c r="P645" i="10" s="1"/>
  <c r="K645" i="10"/>
  <c r="I645" i="10"/>
  <c r="K644" i="10"/>
  <c r="I644" i="10"/>
  <c r="K643" i="10"/>
  <c r="I643" i="10"/>
  <c r="K642" i="10"/>
  <c r="I642" i="10"/>
  <c r="K641" i="10"/>
  <c r="M641" i="10" s="1"/>
  <c r="I641" i="10"/>
  <c r="K640" i="10"/>
  <c r="I640" i="10"/>
  <c r="K639" i="10"/>
  <c r="I639" i="10"/>
  <c r="K638" i="10"/>
  <c r="M638" i="10" s="1"/>
  <c r="I638" i="10"/>
  <c r="K637" i="10"/>
  <c r="I637" i="10"/>
  <c r="K636" i="10"/>
  <c r="I636" i="10"/>
  <c r="K635" i="10"/>
  <c r="M635" i="10" s="1"/>
  <c r="I635" i="10"/>
  <c r="K634" i="10"/>
  <c r="I634" i="10"/>
  <c r="K633" i="10"/>
  <c r="I633" i="10"/>
  <c r="K632" i="10"/>
  <c r="I632" i="10"/>
  <c r="K631" i="10"/>
  <c r="I631" i="10"/>
  <c r="K630" i="10"/>
  <c r="I630" i="10"/>
  <c r="K629" i="10"/>
  <c r="M629" i="10" s="1"/>
  <c r="I629" i="10"/>
  <c r="K628" i="10"/>
  <c r="I628" i="10"/>
  <c r="P627" i="10"/>
  <c r="K627" i="10"/>
  <c r="M627" i="10" s="1"/>
  <c r="I627" i="10"/>
  <c r="K626" i="10"/>
  <c r="M626" i="10" s="1"/>
  <c r="I626" i="10"/>
  <c r="K625" i="10"/>
  <c r="I625" i="10"/>
  <c r="K624" i="10"/>
  <c r="I624" i="10"/>
  <c r="K623" i="10"/>
  <c r="I623" i="10"/>
  <c r="K622" i="10"/>
  <c r="I622" i="10"/>
  <c r="K621" i="10"/>
  <c r="M621" i="10" s="1"/>
  <c r="P621" i="10" s="1"/>
  <c r="I621" i="10"/>
  <c r="K620" i="10"/>
  <c r="J620" i="10"/>
  <c r="I620" i="10"/>
  <c r="K619" i="10"/>
  <c r="M619" i="10" s="1"/>
  <c r="J619" i="10"/>
  <c r="I619" i="10"/>
  <c r="K618" i="10"/>
  <c r="M618" i="10" s="1"/>
  <c r="P618" i="10" s="1"/>
  <c r="I618" i="10"/>
  <c r="K617" i="10"/>
  <c r="M617" i="10" s="1"/>
  <c r="P617" i="10" s="1"/>
  <c r="I617" i="10"/>
  <c r="K616" i="10"/>
  <c r="M616" i="10" s="1"/>
  <c r="P616" i="10" s="1"/>
  <c r="I616" i="10"/>
  <c r="K615" i="10"/>
  <c r="I615" i="10"/>
  <c r="K614" i="10"/>
  <c r="M614" i="10" s="1"/>
  <c r="P614" i="10" s="1"/>
  <c r="I614" i="10"/>
  <c r="K613" i="10"/>
  <c r="I613" i="10"/>
  <c r="K612" i="10"/>
  <c r="I612" i="10"/>
  <c r="K611" i="10"/>
  <c r="M611" i="10" s="1"/>
  <c r="P611" i="10" s="1"/>
  <c r="I611" i="10"/>
  <c r="K610" i="10"/>
  <c r="I610" i="10"/>
  <c r="K609" i="10"/>
  <c r="I609" i="10"/>
  <c r="K608" i="10"/>
  <c r="M608" i="10" s="1"/>
  <c r="P608" i="10" s="1"/>
  <c r="I608" i="10"/>
  <c r="K607" i="10"/>
  <c r="I607" i="10"/>
  <c r="K606" i="10"/>
  <c r="I606" i="10"/>
  <c r="K605" i="10"/>
  <c r="M605" i="10" s="1"/>
  <c r="I605" i="10"/>
  <c r="K604" i="10"/>
  <c r="I604" i="10"/>
  <c r="K603" i="10"/>
  <c r="M603" i="10" s="1"/>
  <c r="P603" i="10" s="1"/>
  <c r="I603" i="10"/>
  <c r="K602" i="10"/>
  <c r="M602" i="10" s="1"/>
  <c r="P602" i="10" s="1"/>
  <c r="I602" i="10"/>
  <c r="K601" i="10"/>
  <c r="I601" i="10"/>
  <c r="K600" i="10"/>
  <c r="M600" i="10" s="1"/>
  <c r="P600" i="10" s="1"/>
  <c r="I600" i="10"/>
  <c r="K599" i="10"/>
  <c r="M599" i="10" s="1"/>
  <c r="P599" i="10" s="1"/>
  <c r="I599" i="10"/>
  <c r="K598" i="10"/>
  <c r="I598" i="10"/>
  <c r="K597" i="10"/>
  <c r="M597" i="10" s="1"/>
  <c r="P597" i="10" s="1"/>
  <c r="I597" i="10"/>
  <c r="K596" i="10"/>
  <c r="M596" i="10" s="1"/>
  <c r="I596" i="10"/>
  <c r="K595" i="10"/>
  <c r="M595" i="10" s="1"/>
  <c r="P595" i="10" s="1"/>
  <c r="I595" i="10"/>
  <c r="K594" i="10"/>
  <c r="M594" i="10" s="1"/>
  <c r="J594" i="10"/>
  <c r="I594" i="10"/>
  <c r="N593" i="10"/>
  <c r="K593" i="10"/>
  <c r="I593" i="10"/>
  <c r="K592" i="10"/>
  <c r="M592" i="10" s="1"/>
  <c r="I592" i="10"/>
  <c r="K591" i="10"/>
  <c r="M591" i="10" s="1"/>
  <c r="I591" i="10"/>
  <c r="K590" i="10"/>
  <c r="I590" i="10"/>
  <c r="K589" i="10"/>
  <c r="M589" i="10" s="1"/>
  <c r="I589" i="10"/>
  <c r="N588" i="10"/>
  <c r="K588" i="10"/>
  <c r="M588" i="10" s="1"/>
  <c r="P588" i="10" s="1"/>
  <c r="I588" i="10"/>
  <c r="K587" i="10"/>
  <c r="M587" i="10" s="1"/>
  <c r="I587" i="10"/>
  <c r="K586" i="10"/>
  <c r="I586" i="10"/>
  <c r="K585" i="10"/>
  <c r="M585" i="10" s="1"/>
  <c r="P585" i="10" s="1"/>
  <c r="I585" i="10"/>
  <c r="K584" i="10"/>
  <c r="M584" i="10" s="1"/>
  <c r="I584" i="10"/>
  <c r="K583" i="10"/>
  <c r="I583" i="10"/>
  <c r="K582" i="10"/>
  <c r="M582" i="10" s="1"/>
  <c r="P582" i="10" s="1"/>
  <c r="I582" i="10"/>
  <c r="K581" i="10"/>
  <c r="M581" i="10" s="1"/>
  <c r="I581" i="10"/>
  <c r="K580" i="10"/>
  <c r="I580" i="10"/>
  <c r="K579" i="10"/>
  <c r="I579" i="10"/>
  <c r="K578" i="10"/>
  <c r="I578" i="10"/>
  <c r="K577" i="10"/>
  <c r="M577" i="10" s="1"/>
  <c r="P577" i="10" s="1"/>
  <c r="I577" i="10"/>
  <c r="K576" i="10"/>
  <c r="M576" i="10" s="1"/>
  <c r="P576" i="10" s="1"/>
  <c r="I576" i="10"/>
  <c r="N575" i="10"/>
  <c r="K575" i="10"/>
  <c r="I575" i="10"/>
  <c r="K574" i="10"/>
  <c r="M574" i="10" s="1"/>
  <c r="P574" i="10" s="1"/>
  <c r="I574" i="10"/>
  <c r="P573" i="10"/>
  <c r="K573" i="10"/>
  <c r="M573" i="10" s="1"/>
  <c r="I573" i="10"/>
  <c r="K572" i="10"/>
  <c r="I572" i="10"/>
  <c r="K571" i="10"/>
  <c r="M571" i="10" s="1"/>
  <c r="P571" i="10" s="1"/>
  <c r="I571" i="10"/>
  <c r="K570" i="10"/>
  <c r="M570" i="10" s="1"/>
  <c r="P570" i="10" s="1"/>
  <c r="I570" i="10"/>
  <c r="K569" i="10"/>
  <c r="I569" i="10"/>
  <c r="K568" i="10"/>
  <c r="I568" i="10"/>
  <c r="K567" i="10"/>
  <c r="M567" i="10" s="1"/>
  <c r="I567" i="10"/>
  <c r="K566" i="10"/>
  <c r="M566" i="10" s="1"/>
  <c r="I566" i="10"/>
  <c r="K565" i="10"/>
  <c r="I565" i="10"/>
  <c r="M564" i="10"/>
  <c r="P564" i="10" s="1"/>
  <c r="K564" i="10"/>
  <c r="I564" i="10"/>
  <c r="K563" i="10"/>
  <c r="M563" i="10" s="1"/>
  <c r="P563" i="10" s="1"/>
  <c r="I563" i="10"/>
  <c r="K562" i="10"/>
  <c r="I562" i="10"/>
  <c r="K561" i="10"/>
  <c r="M561" i="10" s="1"/>
  <c r="J561" i="10"/>
  <c r="I561" i="10"/>
  <c r="K560" i="10"/>
  <c r="M560" i="10" s="1"/>
  <c r="I560" i="10"/>
  <c r="K559" i="10"/>
  <c r="I559" i="10"/>
  <c r="K558" i="10"/>
  <c r="I558" i="10"/>
  <c r="K557" i="10"/>
  <c r="M557" i="10" s="1"/>
  <c r="I557" i="10"/>
  <c r="K556" i="10"/>
  <c r="I556" i="10"/>
  <c r="K555" i="10"/>
  <c r="I555" i="10"/>
  <c r="K554" i="10"/>
  <c r="I554" i="10"/>
  <c r="N553" i="10"/>
  <c r="K553" i="10"/>
  <c r="M553" i="10" s="1"/>
  <c r="I553" i="10"/>
  <c r="K552" i="10"/>
  <c r="I552" i="10"/>
  <c r="K551" i="10"/>
  <c r="M551" i="10" s="1"/>
  <c r="P551" i="10" s="1"/>
  <c r="J551" i="10"/>
  <c r="I551" i="10"/>
  <c r="K550" i="10"/>
  <c r="M550" i="10" s="1"/>
  <c r="P550" i="10" s="1"/>
  <c r="I550" i="10"/>
  <c r="K549" i="10"/>
  <c r="I549" i="10"/>
  <c r="K548" i="10"/>
  <c r="M548" i="10" s="1"/>
  <c r="P548" i="10" s="1"/>
  <c r="I548" i="10"/>
  <c r="M547" i="10"/>
  <c r="K547" i="10"/>
  <c r="I547" i="10"/>
  <c r="K546" i="10"/>
  <c r="I546" i="10"/>
  <c r="K545" i="10"/>
  <c r="M545" i="10" s="1"/>
  <c r="P545" i="10" s="1"/>
  <c r="I545" i="10"/>
  <c r="K544" i="10"/>
  <c r="M544" i="10" s="1"/>
  <c r="P544" i="10" s="1"/>
  <c r="I544" i="10"/>
  <c r="K543" i="10"/>
  <c r="I543" i="10"/>
  <c r="K542" i="10"/>
  <c r="M542" i="10" s="1"/>
  <c r="P542" i="10" s="1"/>
  <c r="I542" i="10"/>
  <c r="K541" i="10"/>
  <c r="I541" i="10"/>
  <c r="K540" i="10"/>
  <c r="I540" i="10"/>
  <c r="K539" i="10"/>
  <c r="I539" i="10"/>
  <c r="K538" i="10"/>
  <c r="M538" i="10" s="1"/>
  <c r="P538" i="10" s="1"/>
  <c r="I538" i="10"/>
  <c r="K537" i="10"/>
  <c r="M537" i="10" s="1"/>
  <c r="I537" i="10"/>
  <c r="K536" i="10"/>
  <c r="I536" i="10"/>
  <c r="K535" i="10"/>
  <c r="M535" i="10" s="1"/>
  <c r="P535" i="10" s="1"/>
  <c r="I535" i="10"/>
  <c r="K534" i="10"/>
  <c r="I534" i="10"/>
  <c r="K533" i="10"/>
  <c r="I533" i="10"/>
  <c r="K532" i="10"/>
  <c r="M532" i="10" s="1"/>
  <c r="P532" i="10" s="1"/>
  <c r="I532" i="10"/>
  <c r="K531" i="10"/>
  <c r="I531" i="10"/>
  <c r="K530" i="10"/>
  <c r="M530" i="10" s="1"/>
  <c r="I530" i="10"/>
  <c r="K529" i="10"/>
  <c r="M529" i="10" s="1"/>
  <c r="P529" i="10" s="1"/>
  <c r="I529" i="10"/>
  <c r="K528" i="10"/>
  <c r="M528" i="10" s="1"/>
  <c r="I528" i="10"/>
  <c r="K527" i="10"/>
  <c r="M527" i="10" s="1"/>
  <c r="I527" i="10"/>
  <c r="K526" i="10"/>
  <c r="M526" i="10" s="1"/>
  <c r="P526" i="10" s="1"/>
  <c r="I526" i="10"/>
  <c r="N525" i="10"/>
  <c r="K525" i="10"/>
  <c r="M525" i="10" s="1"/>
  <c r="I525" i="10"/>
  <c r="K524" i="10"/>
  <c r="M524" i="10" s="1"/>
  <c r="I524" i="10"/>
  <c r="N523" i="10"/>
  <c r="K523" i="10"/>
  <c r="M523" i="10" s="1"/>
  <c r="P523" i="10" s="1"/>
  <c r="I523" i="10"/>
  <c r="K522" i="10"/>
  <c r="I522" i="10"/>
  <c r="K521" i="10"/>
  <c r="M521" i="10" s="1"/>
  <c r="P521" i="10" s="1"/>
  <c r="I521" i="10"/>
  <c r="K520" i="10"/>
  <c r="I520" i="10"/>
  <c r="K519" i="10"/>
  <c r="M519" i="10" s="1"/>
  <c r="P519" i="10" s="1"/>
  <c r="I519" i="10"/>
  <c r="K518" i="10"/>
  <c r="M518" i="10" s="1"/>
  <c r="I518" i="10"/>
  <c r="K517" i="10"/>
  <c r="I517" i="10"/>
  <c r="K516" i="10"/>
  <c r="M516" i="10" s="1"/>
  <c r="I516" i="10"/>
  <c r="K515" i="10"/>
  <c r="I515" i="10"/>
  <c r="K514" i="10"/>
  <c r="I514" i="10"/>
  <c r="K513" i="10"/>
  <c r="I513" i="10"/>
  <c r="K512" i="10"/>
  <c r="M512" i="10" s="1"/>
  <c r="P512" i="10" s="1"/>
  <c r="I512" i="10"/>
  <c r="K511" i="10"/>
  <c r="I511" i="10"/>
  <c r="K510" i="10"/>
  <c r="M510" i="10" s="1"/>
  <c r="P510" i="10" s="1"/>
  <c r="I510" i="10"/>
  <c r="K509" i="10"/>
  <c r="I509" i="10"/>
  <c r="K508" i="10"/>
  <c r="I508" i="10"/>
  <c r="K507" i="10"/>
  <c r="I507" i="10"/>
  <c r="K506" i="10"/>
  <c r="I506" i="10"/>
  <c r="K505" i="10"/>
  <c r="I505" i="10"/>
  <c r="K504" i="10"/>
  <c r="I504" i="10"/>
  <c r="K503" i="10"/>
  <c r="M503" i="10" s="1"/>
  <c r="I503" i="10"/>
  <c r="K502" i="10"/>
  <c r="I502" i="10"/>
  <c r="K501" i="10"/>
  <c r="M501" i="10" s="1"/>
  <c r="I501" i="10"/>
  <c r="K500" i="10"/>
  <c r="M500" i="10" s="1"/>
  <c r="I500" i="10"/>
  <c r="K499" i="10"/>
  <c r="I499" i="10"/>
  <c r="K498" i="10"/>
  <c r="M498" i="10" s="1"/>
  <c r="J498" i="10"/>
  <c r="I498" i="10"/>
  <c r="K497" i="10"/>
  <c r="I497" i="10"/>
  <c r="K496" i="10"/>
  <c r="J496" i="10"/>
  <c r="I496" i="10"/>
  <c r="K495" i="10"/>
  <c r="I495" i="10"/>
  <c r="K494" i="10"/>
  <c r="I494" i="10"/>
  <c r="K493" i="10"/>
  <c r="M493" i="10" s="1"/>
  <c r="I493" i="10"/>
  <c r="K492" i="10"/>
  <c r="I492" i="10"/>
  <c r="K491" i="10"/>
  <c r="M491" i="10" s="1"/>
  <c r="P491" i="10" s="1"/>
  <c r="I491" i="10"/>
  <c r="N490" i="10"/>
  <c r="K490" i="10"/>
  <c r="M490" i="10" s="1"/>
  <c r="I490" i="10"/>
  <c r="K489" i="10"/>
  <c r="I489" i="10"/>
  <c r="K488" i="10"/>
  <c r="M488" i="10" s="1"/>
  <c r="I488" i="10"/>
  <c r="K487" i="10"/>
  <c r="M487" i="10" s="1"/>
  <c r="I487" i="10"/>
  <c r="K486" i="10"/>
  <c r="I486" i="10"/>
  <c r="K485" i="10"/>
  <c r="M485" i="10" s="1"/>
  <c r="P485" i="10" s="1"/>
  <c r="I485" i="10"/>
  <c r="K484" i="10"/>
  <c r="I484" i="10"/>
  <c r="K483" i="10"/>
  <c r="I483" i="10"/>
  <c r="K482" i="10"/>
  <c r="M482" i="10" s="1"/>
  <c r="I482" i="10"/>
  <c r="K481" i="10"/>
  <c r="M481" i="10" s="1"/>
  <c r="I481" i="10"/>
  <c r="K480" i="10"/>
  <c r="M480" i="10" s="1"/>
  <c r="I480" i="10"/>
  <c r="K479" i="10"/>
  <c r="M479" i="10" s="1"/>
  <c r="P479" i="10" s="1"/>
  <c r="I479" i="10"/>
  <c r="N478" i="10"/>
  <c r="K478" i="10"/>
  <c r="I478" i="10"/>
  <c r="K477" i="10"/>
  <c r="M477" i="10" s="1"/>
  <c r="P477" i="10" s="1"/>
  <c r="I477" i="10"/>
  <c r="K476" i="10"/>
  <c r="I476" i="10"/>
  <c r="K475" i="10"/>
  <c r="I475" i="10"/>
  <c r="K474" i="10"/>
  <c r="M474" i="10" s="1"/>
  <c r="I474" i="10"/>
  <c r="K473" i="10"/>
  <c r="I473" i="10"/>
  <c r="K472" i="10"/>
  <c r="M472" i="10" s="1"/>
  <c r="I472" i="10"/>
  <c r="K471" i="10"/>
  <c r="I471" i="10"/>
  <c r="K470" i="10"/>
  <c r="I470" i="10"/>
  <c r="Y469" i="10"/>
  <c r="K469" i="10"/>
  <c r="I469" i="10"/>
  <c r="Y468" i="10"/>
  <c r="K468" i="10"/>
  <c r="I468" i="10"/>
  <c r="K467" i="10"/>
  <c r="M467" i="10" s="1"/>
  <c r="I467" i="10"/>
  <c r="K466" i="10"/>
  <c r="I466" i="10"/>
  <c r="K465" i="10"/>
  <c r="M465" i="10" s="1"/>
  <c r="P465" i="10" s="1"/>
  <c r="I465" i="10"/>
  <c r="K464" i="10"/>
  <c r="M464" i="10" s="1"/>
  <c r="I464" i="10"/>
  <c r="K463" i="10"/>
  <c r="I463" i="10"/>
  <c r="K462" i="10"/>
  <c r="I462" i="10"/>
  <c r="K461" i="10"/>
  <c r="I461" i="10"/>
  <c r="K460" i="10"/>
  <c r="I460" i="10"/>
  <c r="K459" i="10"/>
  <c r="M459" i="10" s="1"/>
  <c r="P459" i="10" s="1"/>
  <c r="I459" i="10"/>
  <c r="M458" i="10"/>
  <c r="K458" i="10"/>
  <c r="I458" i="10"/>
  <c r="K457" i="10"/>
  <c r="M457" i="10" s="1"/>
  <c r="P457" i="10" s="1"/>
  <c r="I457" i="10"/>
  <c r="K456" i="10"/>
  <c r="M456" i="10" s="1"/>
  <c r="P456" i="10" s="1"/>
  <c r="I456" i="10"/>
  <c r="K455" i="10"/>
  <c r="M455" i="10" s="1"/>
  <c r="I455" i="10"/>
  <c r="K454" i="10"/>
  <c r="M454" i="10" s="1"/>
  <c r="P454" i="10" s="1"/>
  <c r="I454" i="10"/>
  <c r="M453" i="10"/>
  <c r="P453" i="10" s="1"/>
  <c r="K453" i="10"/>
  <c r="I453" i="10"/>
  <c r="K452" i="10"/>
  <c r="M452" i="10" s="1"/>
  <c r="I452" i="10"/>
  <c r="M451" i="10"/>
  <c r="K451" i="10"/>
  <c r="I451" i="10"/>
  <c r="K450" i="10"/>
  <c r="M450" i="10" s="1"/>
  <c r="P450" i="10" s="1"/>
  <c r="I450" i="10"/>
  <c r="K449" i="10"/>
  <c r="I449" i="10"/>
  <c r="K448" i="10"/>
  <c r="I448" i="10"/>
  <c r="N447" i="10"/>
  <c r="K447" i="10"/>
  <c r="M447" i="10" s="1"/>
  <c r="P447" i="10" s="1"/>
  <c r="I447" i="10"/>
  <c r="K446" i="10"/>
  <c r="I446" i="10"/>
  <c r="K445" i="10"/>
  <c r="I445" i="10"/>
  <c r="K444" i="10"/>
  <c r="M444" i="10" s="1"/>
  <c r="P444" i="10" s="1"/>
  <c r="I444" i="10"/>
  <c r="K443" i="10"/>
  <c r="I443" i="10"/>
  <c r="K442" i="10"/>
  <c r="M442" i="10" s="1"/>
  <c r="I442" i="10"/>
  <c r="K441" i="10"/>
  <c r="M441" i="10" s="1"/>
  <c r="I441" i="10"/>
  <c r="K440" i="10"/>
  <c r="I440" i="10"/>
  <c r="M439" i="10"/>
  <c r="P439" i="10" s="1"/>
  <c r="K439" i="10"/>
  <c r="I439" i="10"/>
  <c r="N438" i="10"/>
  <c r="K438" i="10"/>
  <c r="M438" i="10" s="1"/>
  <c r="I438" i="10"/>
  <c r="K437" i="10"/>
  <c r="I437" i="10"/>
  <c r="K436" i="10"/>
  <c r="M436" i="10" s="1"/>
  <c r="P436" i="10" s="1"/>
  <c r="I436" i="10"/>
  <c r="K435" i="10"/>
  <c r="J435" i="10"/>
  <c r="I435" i="10"/>
  <c r="K434" i="10"/>
  <c r="J434" i="10"/>
  <c r="I434" i="10"/>
  <c r="K433" i="10"/>
  <c r="M433" i="10" s="1"/>
  <c r="P433" i="10" s="1"/>
  <c r="I433" i="10"/>
  <c r="K432" i="10"/>
  <c r="I432" i="10"/>
  <c r="K431" i="10"/>
  <c r="I431" i="10"/>
  <c r="K430" i="10"/>
  <c r="M430" i="10" s="1"/>
  <c r="P430" i="10" s="1"/>
  <c r="I430" i="10"/>
  <c r="K429" i="10"/>
  <c r="I429" i="10"/>
  <c r="K428" i="10"/>
  <c r="I428" i="10"/>
  <c r="K427" i="10"/>
  <c r="M427" i="10" s="1"/>
  <c r="P427" i="10" s="1"/>
  <c r="J427" i="10"/>
  <c r="I427" i="10"/>
  <c r="K426" i="10"/>
  <c r="M426" i="10" s="1"/>
  <c r="I426" i="10"/>
  <c r="K425" i="10"/>
  <c r="I425" i="10"/>
  <c r="K424" i="10"/>
  <c r="M424" i="10" s="1"/>
  <c r="I424" i="10"/>
  <c r="Y423" i="10"/>
  <c r="K423" i="10"/>
  <c r="I423" i="10"/>
  <c r="K422" i="10"/>
  <c r="I422" i="10"/>
  <c r="K421" i="10"/>
  <c r="J421" i="10"/>
  <c r="I421" i="10"/>
  <c r="K420" i="10"/>
  <c r="I420" i="10"/>
  <c r="K419" i="10"/>
  <c r="I419" i="10"/>
  <c r="K418" i="10"/>
  <c r="I418" i="10"/>
  <c r="K417" i="10"/>
  <c r="M417" i="10" s="1"/>
  <c r="P417" i="10" s="1"/>
  <c r="I417" i="10"/>
  <c r="M416" i="10"/>
  <c r="P416" i="10" s="1"/>
  <c r="K416" i="10"/>
  <c r="I416" i="10"/>
  <c r="K415" i="10"/>
  <c r="I415" i="10"/>
  <c r="K414" i="10"/>
  <c r="M414" i="10" s="1"/>
  <c r="I414" i="10"/>
  <c r="N413" i="10"/>
  <c r="M413" i="10"/>
  <c r="P413" i="10" s="1"/>
  <c r="K413" i="10"/>
  <c r="I413" i="10"/>
  <c r="K412" i="10"/>
  <c r="I412" i="10"/>
  <c r="K411" i="10"/>
  <c r="I411" i="10"/>
  <c r="K410" i="10"/>
  <c r="I410" i="10"/>
  <c r="K409" i="10"/>
  <c r="I409" i="10"/>
  <c r="K408" i="10"/>
  <c r="M408" i="10" s="1"/>
  <c r="I408" i="10"/>
  <c r="N407" i="10"/>
  <c r="K407" i="10"/>
  <c r="M407" i="10" s="1"/>
  <c r="I407" i="10"/>
  <c r="K406" i="10"/>
  <c r="M406" i="10" s="1"/>
  <c r="I406" i="10"/>
  <c r="M405" i="10"/>
  <c r="K405" i="10"/>
  <c r="I405" i="10"/>
  <c r="K404" i="10"/>
  <c r="M404" i="10" s="1"/>
  <c r="I404" i="10"/>
  <c r="K403" i="10"/>
  <c r="M403" i="10" s="1"/>
  <c r="P403" i="10" s="1"/>
  <c r="I403" i="10"/>
  <c r="K402" i="10"/>
  <c r="I402" i="10"/>
  <c r="K401" i="10"/>
  <c r="M401" i="10" s="1"/>
  <c r="I401" i="10"/>
  <c r="K400" i="10"/>
  <c r="I400" i="10"/>
  <c r="N399" i="10"/>
  <c r="K399" i="10"/>
  <c r="I399" i="10"/>
  <c r="K398" i="10"/>
  <c r="I398" i="10"/>
  <c r="K397" i="10"/>
  <c r="I397" i="10"/>
  <c r="K396" i="10"/>
  <c r="I396" i="10"/>
  <c r="K395" i="10"/>
  <c r="I395" i="10"/>
  <c r="K394" i="10"/>
  <c r="I394" i="10"/>
  <c r="K393" i="10"/>
  <c r="I393" i="10"/>
  <c r="K392" i="10"/>
  <c r="I392" i="10"/>
  <c r="G392" i="10"/>
  <c r="P391" i="10"/>
  <c r="N391" i="10"/>
  <c r="K391" i="10"/>
  <c r="M391" i="10" s="1"/>
  <c r="I391" i="10"/>
  <c r="N390" i="10"/>
  <c r="K390" i="10"/>
  <c r="M390" i="10" s="1"/>
  <c r="I390" i="10"/>
  <c r="K389" i="10"/>
  <c r="I389" i="10"/>
  <c r="H389" i="10"/>
  <c r="N388" i="10"/>
  <c r="K388" i="10"/>
  <c r="M388" i="10" s="1"/>
  <c r="I388" i="10"/>
  <c r="K387" i="10"/>
  <c r="I387" i="10"/>
  <c r="K386" i="10"/>
  <c r="I386" i="10"/>
  <c r="K385" i="10"/>
  <c r="I385" i="10"/>
  <c r="N384" i="10"/>
  <c r="M384" i="10"/>
  <c r="K384" i="10"/>
  <c r="I384" i="10"/>
  <c r="K383" i="10"/>
  <c r="I383" i="10"/>
  <c r="K382" i="10"/>
  <c r="M382" i="10" s="1"/>
  <c r="P382" i="10" s="1"/>
  <c r="I382" i="10"/>
  <c r="K381" i="10"/>
  <c r="M381" i="10" s="1"/>
  <c r="I381" i="10"/>
  <c r="K380" i="10"/>
  <c r="I380" i="10"/>
  <c r="K379" i="10"/>
  <c r="I379" i="10"/>
  <c r="K378" i="10"/>
  <c r="I378" i="10"/>
  <c r="K377" i="10"/>
  <c r="I377" i="10"/>
  <c r="K376" i="10"/>
  <c r="M376" i="10" s="1"/>
  <c r="P376" i="10" s="1"/>
  <c r="I376" i="10"/>
  <c r="K375" i="10"/>
  <c r="M375" i="10" s="1"/>
  <c r="I375" i="10"/>
  <c r="K374" i="10"/>
  <c r="M374" i="10" s="1"/>
  <c r="P374" i="10" s="1"/>
  <c r="I374" i="10"/>
  <c r="K373" i="10"/>
  <c r="M373" i="10" s="1"/>
  <c r="P373" i="10" s="1"/>
  <c r="I373" i="10"/>
  <c r="K372" i="10"/>
  <c r="I372" i="10"/>
  <c r="K371" i="10"/>
  <c r="I371" i="10"/>
  <c r="K370" i="10"/>
  <c r="M370" i="10" s="1"/>
  <c r="P370" i="10" s="1"/>
  <c r="I370" i="10"/>
  <c r="K369" i="10"/>
  <c r="M369" i="10" s="1"/>
  <c r="I369" i="10"/>
  <c r="K368" i="10"/>
  <c r="M368" i="10" s="1"/>
  <c r="I368" i="10"/>
  <c r="M367" i="10"/>
  <c r="P367" i="10" s="1"/>
  <c r="K367" i="10"/>
  <c r="I367" i="10"/>
  <c r="K366" i="10"/>
  <c r="M366" i="10" s="1"/>
  <c r="I366" i="10"/>
  <c r="K365" i="10"/>
  <c r="M365" i="10" s="1"/>
  <c r="I365" i="10"/>
  <c r="K364" i="10"/>
  <c r="M364" i="10" s="1"/>
  <c r="P364" i="10" s="1"/>
  <c r="I364" i="10"/>
  <c r="K363" i="10"/>
  <c r="I363" i="10"/>
  <c r="K362" i="10"/>
  <c r="M362" i="10" s="1"/>
  <c r="P362" i="10" s="1"/>
  <c r="I362" i="10"/>
  <c r="K361" i="10"/>
  <c r="I361" i="10"/>
  <c r="K360" i="10"/>
  <c r="I360" i="10"/>
  <c r="K359" i="10"/>
  <c r="I359" i="10"/>
  <c r="K358" i="10"/>
  <c r="M358" i="10" s="1"/>
  <c r="P358" i="10" s="1"/>
  <c r="I358" i="10"/>
  <c r="K357" i="10"/>
  <c r="I357" i="10"/>
  <c r="K356" i="10"/>
  <c r="I356" i="10"/>
  <c r="H356" i="10"/>
  <c r="K355" i="10"/>
  <c r="M355" i="10" s="1"/>
  <c r="I355" i="10"/>
  <c r="H355" i="10"/>
  <c r="K354" i="10"/>
  <c r="I354" i="10"/>
  <c r="M353" i="10"/>
  <c r="K353" i="10"/>
  <c r="I353" i="10"/>
  <c r="K352" i="10"/>
  <c r="I352" i="10"/>
  <c r="K351" i="10"/>
  <c r="I351" i="10"/>
  <c r="K350" i="10"/>
  <c r="M350" i="10" s="1"/>
  <c r="P350" i="10" s="1"/>
  <c r="I350" i="10"/>
  <c r="H350" i="10"/>
  <c r="N349" i="10"/>
  <c r="K349" i="10"/>
  <c r="I349" i="10"/>
  <c r="N348" i="10"/>
  <c r="K348" i="10"/>
  <c r="I348" i="10"/>
  <c r="P347" i="10"/>
  <c r="K347" i="10"/>
  <c r="M347" i="10" s="1"/>
  <c r="I347" i="10"/>
  <c r="K346" i="10"/>
  <c r="M346" i="10" s="1"/>
  <c r="I346" i="10"/>
  <c r="K345" i="10"/>
  <c r="I345" i="10"/>
  <c r="N344" i="10"/>
  <c r="K344" i="10"/>
  <c r="I344" i="10"/>
  <c r="N343" i="10"/>
  <c r="K343" i="10"/>
  <c r="M343" i="10" s="1"/>
  <c r="P343" i="10" s="1"/>
  <c r="I343" i="10"/>
  <c r="N342" i="10"/>
  <c r="K342" i="10"/>
  <c r="M342" i="10" s="1"/>
  <c r="P342" i="10" s="1"/>
  <c r="I342" i="10"/>
  <c r="N341" i="10"/>
  <c r="K341" i="10"/>
  <c r="I341" i="10"/>
  <c r="K340" i="10"/>
  <c r="I340" i="10"/>
  <c r="K339" i="10"/>
  <c r="M339" i="10" s="1"/>
  <c r="P339" i="10" s="1"/>
  <c r="I339" i="10"/>
  <c r="Y338" i="10"/>
  <c r="K338" i="10"/>
  <c r="I338" i="10"/>
  <c r="H338" i="10"/>
  <c r="K337" i="10"/>
  <c r="I337" i="10"/>
  <c r="M336" i="10"/>
  <c r="K336" i="10"/>
  <c r="I336" i="10"/>
  <c r="K335" i="10"/>
  <c r="M335" i="10" s="1"/>
  <c r="I335" i="10"/>
  <c r="K334" i="10"/>
  <c r="I334" i="10"/>
  <c r="K333" i="10"/>
  <c r="I333" i="10"/>
  <c r="K332" i="10"/>
  <c r="I332" i="10"/>
  <c r="K331" i="10"/>
  <c r="M331" i="10" s="1"/>
  <c r="I331" i="10"/>
  <c r="K330" i="10"/>
  <c r="I330" i="10"/>
  <c r="K329" i="10"/>
  <c r="M329" i="10" s="1"/>
  <c r="I329" i="10"/>
  <c r="K328" i="10"/>
  <c r="I328" i="10"/>
  <c r="K327" i="10"/>
  <c r="I327" i="10"/>
  <c r="K326" i="10"/>
  <c r="M326" i="10" s="1"/>
  <c r="P326" i="10" s="1"/>
  <c r="I326" i="10"/>
  <c r="G326" i="10"/>
  <c r="K325" i="10"/>
  <c r="M325" i="10" s="1"/>
  <c r="P325" i="10" s="1"/>
  <c r="I325" i="10"/>
  <c r="K324" i="10"/>
  <c r="I324" i="10"/>
  <c r="K323" i="10"/>
  <c r="I323" i="10"/>
  <c r="M322" i="10"/>
  <c r="P322" i="10" s="1"/>
  <c r="K322" i="10"/>
  <c r="I322" i="10"/>
  <c r="K321" i="10"/>
  <c r="I321" i="10"/>
  <c r="G321" i="10"/>
  <c r="N320" i="10"/>
  <c r="K320" i="10"/>
  <c r="M320" i="10" s="1"/>
  <c r="I320" i="10"/>
  <c r="N319" i="10"/>
  <c r="K319" i="10"/>
  <c r="I319" i="10"/>
  <c r="M318" i="10"/>
  <c r="P318" i="10" s="1"/>
  <c r="K318" i="10"/>
  <c r="I318" i="10"/>
  <c r="G318" i="10"/>
  <c r="N317" i="10"/>
  <c r="K317" i="10"/>
  <c r="M317" i="10" s="1"/>
  <c r="P317" i="10" s="1"/>
  <c r="I317" i="10"/>
  <c r="N316" i="10"/>
  <c r="K316" i="10"/>
  <c r="I316" i="10"/>
  <c r="K315" i="10"/>
  <c r="M315" i="10" s="1"/>
  <c r="I315" i="10"/>
  <c r="K314" i="10"/>
  <c r="I314" i="10"/>
  <c r="K313" i="10"/>
  <c r="I313" i="10"/>
  <c r="N312" i="10"/>
  <c r="K312" i="10"/>
  <c r="I312" i="10"/>
  <c r="N311" i="10"/>
  <c r="K311" i="10"/>
  <c r="M311" i="10" s="1"/>
  <c r="I311" i="10"/>
  <c r="N310" i="10"/>
  <c r="K310" i="10"/>
  <c r="I310" i="10"/>
  <c r="N309" i="10"/>
  <c r="K309" i="10"/>
  <c r="I309" i="10"/>
  <c r="N308" i="10"/>
  <c r="K308" i="10"/>
  <c r="M308" i="10" s="1"/>
  <c r="I308" i="10"/>
  <c r="N307" i="10"/>
  <c r="K307" i="10"/>
  <c r="M307" i="10" s="1"/>
  <c r="P307" i="10" s="1"/>
  <c r="I307" i="10"/>
  <c r="K306" i="10"/>
  <c r="I306" i="10"/>
  <c r="K305" i="10"/>
  <c r="I305" i="10"/>
  <c r="M304" i="10"/>
  <c r="P304" i="10" s="1"/>
  <c r="K304" i="10"/>
  <c r="I304" i="10"/>
  <c r="K303" i="10"/>
  <c r="M303" i="10" s="1"/>
  <c r="I303" i="10"/>
  <c r="N302" i="10"/>
  <c r="K302" i="10"/>
  <c r="I302" i="10"/>
  <c r="N301" i="10"/>
  <c r="K301" i="10"/>
  <c r="I301" i="10"/>
  <c r="N300" i="10"/>
  <c r="K300" i="10"/>
  <c r="M300" i="10" s="1"/>
  <c r="P300" i="10" s="1"/>
  <c r="I300" i="10"/>
  <c r="K299" i="10"/>
  <c r="I299" i="10"/>
  <c r="N298" i="10"/>
  <c r="K298" i="10"/>
  <c r="I298" i="10"/>
  <c r="K297" i="10"/>
  <c r="M297" i="10" s="1"/>
  <c r="I297" i="10"/>
  <c r="G297" i="10"/>
  <c r="K296" i="10"/>
  <c r="M296" i="10" s="1"/>
  <c r="I296" i="10"/>
  <c r="N295" i="10"/>
  <c r="K295" i="10"/>
  <c r="M295" i="10" s="1"/>
  <c r="I295" i="10"/>
  <c r="N294" i="10"/>
  <c r="K294" i="10"/>
  <c r="I294" i="10"/>
  <c r="N293" i="10"/>
  <c r="K293" i="10"/>
  <c r="I293" i="10"/>
  <c r="H293" i="10"/>
  <c r="G293" i="10"/>
  <c r="N292" i="10"/>
  <c r="K292" i="10"/>
  <c r="I292" i="10"/>
  <c r="H292" i="10"/>
  <c r="G292" i="10"/>
  <c r="N291" i="10"/>
  <c r="K291" i="10"/>
  <c r="M291" i="10" s="1"/>
  <c r="I291" i="10"/>
  <c r="N290" i="10"/>
  <c r="K290" i="10"/>
  <c r="I290" i="10"/>
  <c r="H290" i="10"/>
  <c r="N289" i="10"/>
  <c r="K289" i="10"/>
  <c r="I289" i="10"/>
  <c r="N288" i="10"/>
  <c r="K288" i="10"/>
  <c r="M288" i="10" s="1"/>
  <c r="P288" i="10" s="1"/>
  <c r="I288" i="10"/>
  <c r="N287" i="10"/>
  <c r="K287" i="10"/>
  <c r="M287" i="10" s="1"/>
  <c r="P287" i="10" s="1"/>
  <c r="I287" i="10"/>
  <c r="N286" i="10"/>
  <c r="K286" i="10"/>
  <c r="M286" i="10" s="1"/>
  <c r="P286" i="10" s="1"/>
  <c r="I286" i="10"/>
  <c r="N285" i="10"/>
  <c r="K285" i="10"/>
  <c r="M285" i="10" s="1"/>
  <c r="I285" i="10"/>
  <c r="N284" i="10"/>
  <c r="K284" i="10"/>
  <c r="I284" i="10"/>
  <c r="N283" i="10"/>
  <c r="K283" i="10"/>
  <c r="I283" i="10"/>
  <c r="K282" i="10"/>
  <c r="I282" i="10"/>
  <c r="K281" i="10"/>
  <c r="M281" i="10" s="1"/>
  <c r="I281" i="10"/>
  <c r="K280" i="10"/>
  <c r="I280" i="10"/>
  <c r="K279" i="10"/>
  <c r="M279" i="10" s="1"/>
  <c r="P279" i="10" s="1"/>
  <c r="I279" i="10"/>
  <c r="K278" i="10"/>
  <c r="I278" i="10"/>
  <c r="K277" i="10"/>
  <c r="I277" i="10"/>
  <c r="K276" i="10"/>
  <c r="I276" i="10"/>
  <c r="K275" i="10"/>
  <c r="I275" i="10"/>
  <c r="K274" i="10"/>
  <c r="I274" i="10"/>
  <c r="K273" i="10"/>
  <c r="M273" i="10" s="1"/>
  <c r="P273" i="10" s="1"/>
  <c r="I273" i="10"/>
  <c r="M272" i="10"/>
  <c r="K272" i="10"/>
  <c r="I272" i="10"/>
  <c r="K271" i="10"/>
  <c r="I271" i="10"/>
  <c r="K270" i="10"/>
  <c r="I270" i="10"/>
  <c r="K269" i="10"/>
  <c r="M269" i="10" s="1"/>
  <c r="I269" i="10"/>
  <c r="K268" i="10"/>
  <c r="I268" i="10"/>
  <c r="K267" i="10"/>
  <c r="M267" i="10" s="1"/>
  <c r="P267" i="10" s="1"/>
  <c r="I267" i="10"/>
  <c r="K266" i="10"/>
  <c r="I266" i="10"/>
  <c r="K265" i="10"/>
  <c r="I265" i="10"/>
  <c r="K264" i="10"/>
  <c r="M264" i="10" s="1"/>
  <c r="P264" i="10" s="1"/>
  <c r="I264" i="10"/>
  <c r="K263" i="10"/>
  <c r="I263" i="10"/>
  <c r="K262" i="10"/>
  <c r="I262" i="10"/>
  <c r="K261" i="10"/>
  <c r="M261" i="10" s="1"/>
  <c r="P261" i="10" s="1"/>
  <c r="I261" i="10"/>
  <c r="M260" i="10"/>
  <c r="K260" i="10"/>
  <c r="I260" i="10"/>
  <c r="K259" i="10"/>
  <c r="I259" i="10"/>
  <c r="K258" i="10"/>
  <c r="I258" i="10"/>
  <c r="K257" i="10"/>
  <c r="M257" i="10" s="1"/>
  <c r="I257" i="10"/>
  <c r="K256" i="10"/>
  <c r="I256" i="10"/>
  <c r="G256" i="10"/>
  <c r="K255" i="10"/>
  <c r="I255" i="10"/>
  <c r="K254" i="10"/>
  <c r="M254" i="10" s="1"/>
  <c r="P254" i="10" s="1"/>
  <c r="I254" i="10"/>
  <c r="K253" i="10"/>
  <c r="I253" i="10"/>
  <c r="K252" i="10"/>
  <c r="I252" i="10"/>
  <c r="K251" i="10"/>
  <c r="I251" i="10"/>
  <c r="K250" i="10"/>
  <c r="I250" i="10"/>
  <c r="K249" i="10"/>
  <c r="M249" i="10" s="1"/>
  <c r="P249" i="10" s="1"/>
  <c r="I249" i="10"/>
  <c r="K248" i="10"/>
  <c r="M248" i="10" s="1"/>
  <c r="P248" i="10" s="1"/>
  <c r="I248" i="10"/>
  <c r="K247" i="10"/>
  <c r="I247" i="10"/>
  <c r="K246" i="10"/>
  <c r="M246" i="10" s="1"/>
  <c r="I246" i="10"/>
  <c r="M245" i="10"/>
  <c r="P245" i="10" s="1"/>
  <c r="K245" i="10"/>
  <c r="I245" i="10"/>
  <c r="K244" i="10"/>
  <c r="I244" i="10"/>
  <c r="K243" i="10"/>
  <c r="I243" i="10"/>
  <c r="K242" i="10"/>
  <c r="M242" i="10" s="1"/>
  <c r="P242" i="10" s="1"/>
  <c r="I242" i="10"/>
  <c r="K241" i="10"/>
  <c r="I241" i="10"/>
  <c r="I240" i="10"/>
  <c r="K239" i="10"/>
  <c r="M239" i="10" s="1"/>
  <c r="P239" i="10" s="1"/>
  <c r="I239" i="10"/>
  <c r="K238" i="10"/>
  <c r="M238" i="10" s="1"/>
  <c r="I238" i="10"/>
  <c r="K237" i="10"/>
  <c r="M237" i="10" s="1"/>
  <c r="P237" i="10" s="1"/>
  <c r="I237" i="10"/>
  <c r="K236" i="10"/>
  <c r="M236" i="10" s="1"/>
  <c r="P236" i="10" s="1"/>
  <c r="I236" i="10"/>
  <c r="K235" i="10"/>
  <c r="I235" i="10"/>
  <c r="K234" i="10"/>
  <c r="M234" i="10" s="1"/>
  <c r="P234" i="10" s="1"/>
  <c r="I234" i="10"/>
  <c r="K233" i="10"/>
  <c r="M233" i="10" s="1"/>
  <c r="P233" i="10" s="1"/>
  <c r="I233" i="10"/>
  <c r="K232" i="10"/>
  <c r="I232" i="10"/>
  <c r="K231" i="10"/>
  <c r="M231" i="10" s="1"/>
  <c r="P231" i="10" s="1"/>
  <c r="I231" i="10"/>
  <c r="K230" i="10"/>
  <c r="M230" i="10" s="1"/>
  <c r="P230" i="10" s="1"/>
  <c r="I230" i="10"/>
  <c r="N229" i="10"/>
  <c r="M229" i="10"/>
  <c r="K229" i="10"/>
  <c r="I229" i="10"/>
  <c r="N228" i="10"/>
  <c r="K228" i="10"/>
  <c r="I228" i="10"/>
  <c r="N227" i="10"/>
  <c r="M227" i="10"/>
  <c r="P227" i="10" s="1"/>
  <c r="K227" i="10"/>
  <c r="I227" i="10"/>
  <c r="K226" i="10"/>
  <c r="M226" i="10" s="1"/>
  <c r="I226" i="10"/>
  <c r="K225" i="10"/>
  <c r="I225" i="10"/>
  <c r="K224" i="10"/>
  <c r="I224" i="10"/>
  <c r="K223" i="10"/>
  <c r="I223" i="10"/>
  <c r="K222" i="10"/>
  <c r="M222" i="10" s="1"/>
  <c r="P222" i="10" s="1"/>
  <c r="I222" i="10"/>
  <c r="K221" i="10"/>
  <c r="M221" i="10" s="1"/>
  <c r="P221" i="10" s="1"/>
  <c r="I221" i="10"/>
  <c r="H221" i="10"/>
  <c r="N220" i="10"/>
  <c r="K220" i="10"/>
  <c r="I220" i="10"/>
  <c r="N219" i="10"/>
  <c r="K219" i="10"/>
  <c r="I219" i="10"/>
  <c r="N218" i="10"/>
  <c r="K218" i="10"/>
  <c r="I218" i="10"/>
  <c r="H218" i="10"/>
  <c r="N217" i="10"/>
  <c r="K217" i="10"/>
  <c r="M217" i="10" s="1"/>
  <c r="I217" i="10"/>
  <c r="N216" i="10"/>
  <c r="K216" i="10"/>
  <c r="I216" i="10"/>
  <c r="N215" i="10"/>
  <c r="K215" i="10"/>
  <c r="I215" i="10"/>
  <c r="K214" i="10"/>
  <c r="M214" i="10" s="1"/>
  <c r="P214" i="10" s="1"/>
  <c r="I214" i="10"/>
  <c r="N213" i="10"/>
  <c r="K213" i="10"/>
  <c r="I213" i="10"/>
  <c r="N212" i="10"/>
  <c r="K212" i="10"/>
  <c r="M212" i="10" s="1"/>
  <c r="P212" i="10" s="1"/>
  <c r="I212" i="10"/>
  <c r="N211" i="10"/>
  <c r="K211" i="10"/>
  <c r="I211" i="10"/>
  <c r="N210" i="10"/>
  <c r="K210" i="10"/>
  <c r="M210" i="10" s="1"/>
  <c r="P210" i="10" s="1"/>
  <c r="I210" i="10"/>
  <c r="P209" i="10"/>
  <c r="N209" i="10"/>
  <c r="K209" i="10"/>
  <c r="M209" i="10" s="1"/>
  <c r="I209" i="10"/>
  <c r="N208" i="10"/>
  <c r="K208" i="10"/>
  <c r="I208" i="10"/>
  <c r="K207" i="10"/>
  <c r="M207" i="10" s="1"/>
  <c r="I207" i="10"/>
  <c r="K206" i="10"/>
  <c r="M206" i="10" s="1"/>
  <c r="P206" i="10" s="1"/>
  <c r="I206" i="10"/>
  <c r="K205" i="10"/>
  <c r="M205" i="10" s="1"/>
  <c r="P205" i="10" s="1"/>
  <c r="I205" i="10"/>
  <c r="K204" i="10"/>
  <c r="M204" i="10" s="1"/>
  <c r="P204" i="10" s="1"/>
  <c r="I204" i="10"/>
  <c r="K203" i="10"/>
  <c r="M203" i="10" s="1"/>
  <c r="P203" i="10" s="1"/>
  <c r="I203" i="10"/>
  <c r="K202" i="10"/>
  <c r="I202" i="10"/>
  <c r="K201" i="10"/>
  <c r="I201" i="10"/>
  <c r="K200" i="10"/>
  <c r="M200" i="10" s="1"/>
  <c r="P200" i="10" s="1"/>
  <c r="I200" i="10"/>
  <c r="K199" i="10"/>
  <c r="M199" i="10" s="1"/>
  <c r="P199" i="10" s="1"/>
  <c r="I199" i="10"/>
  <c r="K198" i="10"/>
  <c r="M198" i="10" s="1"/>
  <c r="I198" i="10"/>
  <c r="K197" i="10"/>
  <c r="M197" i="10" s="1"/>
  <c r="P197" i="10" s="1"/>
  <c r="I197" i="10"/>
  <c r="N196" i="10"/>
  <c r="K196" i="10"/>
  <c r="M196" i="10" s="1"/>
  <c r="P196" i="10" s="1"/>
  <c r="I196" i="10"/>
  <c r="K195" i="10"/>
  <c r="I195" i="10"/>
  <c r="K194" i="10"/>
  <c r="I194" i="10"/>
  <c r="K193" i="10"/>
  <c r="M193" i="10" s="1"/>
  <c r="P193" i="10" s="1"/>
  <c r="I193" i="10"/>
  <c r="K192" i="10"/>
  <c r="M192" i="10" s="1"/>
  <c r="P192" i="10" s="1"/>
  <c r="I192" i="10"/>
  <c r="K191" i="10"/>
  <c r="I191" i="10"/>
  <c r="N190" i="10"/>
  <c r="K190" i="10"/>
  <c r="M190" i="10" s="1"/>
  <c r="I190" i="10"/>
  <c r="K189" i="10"/>
  <c r="M189" i="10" s="1"/>
  <c r="P189" i="10" s="1"/>
  <c r="I189" i="10"/>
  <c r="K188" i="10"/>
  <c r="M188" i="10" s="1"/>
  <c r="I188" i="10"/>
  <c r="K187" i="10"/>
  <c r="I187" i="10"/>
  <c r="H187" i="10"/>
  <c r="K186" i="10"/>
  <c r="M186" i="10" s="1"/>
  <c r="P186" i="10" s="1"/>
  <c r="I186" i="10"/>
  <c r="K185" i="10"/>
  <c r="I185" i="10"/>
  <c r="K184" i="10"/>
  <c r="M184" i="10" s="1"/>
  <c r="P184" i="10" s="1"/>
  <c r="I184" i="10"/>
  <c r="K183" i="10"/>
  <c r="M183" i="10" s="1"/>
  <c r="P183" i="10" s="1"/>
  <c r="I183" i="10"/>
  <c r="K182" i="10"/>
  <c r="I182" i="10"/>
  <c r="K181" i="10"/>
  <c r="M181" i="10" s="1"/>
  <c r="P181" i="10" s="1"/>
  <c r="I181" i="10"/>
  <c r="K180" i="10"/>
  <c r="M180" i="10" s="1"/>
  <c r="P180" i="10" s="1"/>
  <c r="I180" i="10"/>
  <c r="K179" i="10"/>
  <c r="I179" i="10"/>
  <c r="K178" i="10"/>
  <c r="M178" i="10" s="1"/>
  <c r="I178" i="10"/>
  <c r="K177" i="10"/>
  <c r="M177" i="10" s="1"/>
  <c r="I177" i="10"/>
  <c r="K176" i="10"/>
  <c r="I176" i="10"/>
  <c r="H176" i="10"/>
  <c r="K175" i="10"/>
  <c r="I175" i="10"/>
  <c r="K174" i="10"/>
  <c r="M174" i="10" s="1"/>
  <c r="P174" i="10" s="1"/>
  <c r="I174" i="10"/>
  <c r="K173" i="10"/>
  <c r="I173" i="10"/>
  <c r="K172" i="10"/>
  <c r="M172" i="10" s="1"/>
  <c r="I172" i="10"/>
  <c r="K171" i="10"/>
  <c r="M171" i="10" s="1"/>
  <c r="P171" i="10" s="1"/>
  <c r="I171" i="10"/>
  <c r="K170" i="10"/>
  <c r="M170" i="10" s="1"/>
  <c r="P170" i="10" s="1"/>
  <c r="J170" i="10"/>
  <c r="I170" i="10"/>
  <c r="K169" i="10"/>
  <c r="M169" i="10" s="1"/>
  <c r="J169" i="10"/>
  <c r="I169" i="10"/>
  <c r="K168" i="10"/>
  <c r="M168" i="10" s="1"/>
  <c r="I168" i="10"/>
  <c r="K167" i="10"/>
  <c r="I167" i="10"/>
  <c r="K166" i="10"/>
  <c r="M166" i="10" s="1"/>
  <c r="P166" i="10" s="1"/>
  <c r="I166" i="10"/>
  <c r="K165" i="10"/>
  <c r="M165" i="10" s="1"/>
  <c r="I165" i="10"/>
  <c r="K164" i="10"/>
  <c r="I164" i="10"/>
  <c r="K163" i="10"/>
  <c r="M163" i="10" s="1"/>
  <c r="P163" i="10" s="1"/>
  <c r="I163" i="10"/>
  <c r="K162" i="10"/>
  <c r="M162" i="10" s="1"/>
  <c r="I162" i="10"/>
  <c r="K161" i="10"/>
  <c r="I161" i="10"/>
  <c r="K160" i="10"/>
  <c r="I160" i="10"/>
  <c r="N159" i="10"/>
  <c r="K159" i="10"/>
  <c r="M159" i="10" s="1"/>
  <c r="I159" i="10"/>
  <c r="N158" i="10"/>
  <c r="K158" i="10"/>
  <c r="M158" i="10" s="1"/>
  <c r="I158" i="10"/>
  <c r="N157" i="10"/>
  <c r="K157" i="10"/>
  <c r="I157" i="10"/>
  <c r="M156" i="10"/>
  <c r="P156" i="10" s="1"/>
  <c r="K156" i="10"/>
  <c r="I156" i="10"/>
  <c r="K155" i="10"/>
  <c r="I155" i="10"/>
  <c r="K154" i="10"/>
  <c r="I154" i="10"/>
  <c r="K153" i="10"/>
  <c r="M153" i="10" s="1"/>
  <c r="I153" i="10"/>
  <c r="K152" i="10"/>
  <c r="M152" i="10" s="1"/>
  <c r="P152" i="10" s="1"/>
  <c r="I152" i="10"/>
  <c r="N151" i="10"/>
  <c r="K151" i="10"/>
  <c r="I151" i="10"/>
  <c r="N150" i="10"/>
  <c r="K150" i="10"/>
  <c r="I150" i="10"/>
  <c r="K149" i="10"/>
  <c r="M149" i="10" s="1"/>
  <c r="I149" i="10"/>
  <c r="K148" i="10"/>
  <c r="I148" i="10"/>
  <c r="P147" i="10"/>
  <c r="K147" i="10"/>
  <c r="M147" i="10" s="1"/>
  <c r="I147" i="10"/>
  <c r="K146" i="10"/>
  <c r="M146" i="10" s="1"/>
  <c r="P146" i="10" s="1"/>
  <c r="I146" i="10"/>
  <c r="K145" i="10"/>
  <c r="I145" i="10"/>
  <c r="K144" i="10"/>
  <c r="M144" i="10" s="1"/>
  <c r="P144" i="10" s="1"/>
  <c r="I144" i="10"/>
  <c r="K143" i="10"/>
  <c r="M143" i="10" s="1"/>
  <c r="I143" i="10"/>
  <c r="K142" i="10"/>
  <c r="I142" i="10"/>
  <c r="K141" i="10"/>
  <c r="I141" i="10"/>
  <c r="K140" i="10"/>
  <c r="M140" i="10" s="1"/>
  <c r="P140" i="10" s="1"/>
  <c r="I140" i="10"/>
  <c r="K139" i="10"/>
  <c r="M139" i="10" s="1"/>
  <c r="P139" i="10" s="1"/>
  <c r="I139" i="10"/>
  <c r="K138" i="10"/>
  <c r="I138" i="10"/>
  <c r="K137" i="10"/>
  <c r="M137" i="10" s="1"/>
  <c r="P137" i="10" s="1"/>
  <c r="I137" i="10"/>
  <c r="M136" i="10"/>
  <c r="P136" i="10" s="1"/>
  <c r="K136" i="10"/>
  <c r="I136" i="10"/>
  <c r="K135" i="10"/>
  <c r="I135" i="10"/>
  <c r="K134" i="10"/>
  <c r="M134" i="10" s="1"/>
  <c r="I134" i="10"/>
  <c r="K133" i="10"/>
  <c r="M133" i="10" s="1"/>
  <c r="I133" i="10"/>
  <c r="K132" i="10"/>
  <c r="I132" i="10"/>
  <c r="K131" i="10"/>
  <c r="M131" i="10" s="1"/>
  <c r="P131" i="10" s="1"/>
  <c r="I131" i="10"/>
  <c r="K130" i="10"/>
  <c r="I130" i="10"/>
  <c r="K129" i="10"/>
  <c r="I129" i="10"/>
  <c r="K128" i="10"/>
  <c r="M128" i="10" s="1"/>
  <c r="I128" i="10"/>
  <c r="K127" i="10"/>
  <c r="M127" i="10" s="1"/>
  <c r="I127" i="10"/>
  <c r="K126" i="10"/>
  <c r="M126" i="10" s="1"/>
  <c r="P126" i="10" s="1"/>
  <c r="I126" i="10"/>
  <c r="K125" i="10"/>
  <c r="M125" i="10" s="1"/>
  <c r="P125" i="10" s="1"/>
  <c r="I125" i="10"/>
  <c r="K124" i="10"/>
  <c r="M124" i="10" s="1"/>
  <c r="I124" i="10"/>
  <c r="K123" i="10"/>
  <c r="M123" i="10" s="1"/>
  <c r="P123" i="10" s="1"/>
  <c r="I123" i="10"/>
  <c r="K122" i="10"/>
  <c r="M122" i="10" s="1"/>
  <c r="I122" i="10"/>
  <c r="K121" i="10"/>
  <c r="M121" i="10" s="1"/>
  <c r="P121" i="10" s="1"/>
  <c r="I121" i="10"/>
  <c r="K120" i="10"/>
  <c r="M120" i="10" s="1"/>
  <c r="I120" i="10"/>
  <c r="K119" i="10"/>
  <c r="I119" i="10"/>
  <c r="K118" i="10"/>
  <c r="M118" i="10" s="1"/>
  <c r="P118" i="10" s="1"/>
  <c r="I118" i="10"/>
  <c r="K117" i="10"/>
  <c r="M117" i="10" s="1"/>
  <c r="P117" i="10" s="1"/>
  <c r="I117" i="10"/>
  <c r="K116" i="10"/>
  <c r="I116" i="10"/>
  <c r="K115" i="10"/>
  <c r="M115" i="10" s="1"/>
  <c r="P115" i="10" s="1"/>
  <c r="I115" i="10"/>
  <c r="K114" i="10"/>
  <c r="M114" i="10" s="1"/>
  <c r="I114" i="10"/>
  <c r="K113" i="10"/>
  <c r="I113" i="10"/>
  <c r="K112" i="10"/>
  <c r="M112" i="10" s="1"/>
  <c r="P112" i="10" s="1"/>
  <c r="I112" i="10"/>
  <c r="K111" i="10"/>
  <c r="M111" i="10" s="1"/>
  <c r="P111" i="10" s="1"/>
  <c r="I111" i="10"/>
  <c r="M110" i="10"/>
  <c r="K110" i="10"/>
  <c r="I110" i="10"/>
  <c r="K109" i="10"/>
  <c r="M109" i="10" s="1"/>
  <c r="P109" i="10" s="1"/>
  <c r="I109" i="10"/>
  <c r="K108" i="10"/>
  <c r="M108" i="10" s="1"/>
  <c r="I108" i="10"/>
  <c r="K107" i="10"/>
  <c r="M107" i="10" s="1"/>
  <c r="I107" i="10"/>
  <c r="N106" i="10"/>
  <c r="K106" i="10"/>
  <c r="I106" i="10"/>
  <c r="M105" i="10"/>
  <c r="P105" i="10" s="1"/>
  <c r="K105" i="10"/>
  <c r="I105" i="10"/>
  <c r="K104" i="10"/>
  <c r="I104" i="10"/>
  <c r="K103" i="10"/>
  <c r="M103" i="10" s="1"/>
  <c r="I103" i="10"/>
  <c r="K102" i="10"/>
  <c r="M102" i="10" s="1"/>
  <c r="P102" i="10" s="1"/>
  <c r="I102" i="10"/>
  <c r="K101" i="10"/>
  <c r="I101" i="10"/>
  <c r="K100" i="10"/>
  <c r="M100" i="10" s="1"/>
  <c r="I100" i="10"/>
  <c r="K99" i="10"/>
  <c r="M99" i="10" s="1"/>
  <c r="P99" i="10" s="1"/>
  <c r="I99" i="10"/>
  <c r="K98" i="10"/>
  <c r="I98" i="10"/>
  <c r="K97" i="10"/>
  <c r="M97" i="10" s="1"/>
  <c r="I97" i="10"/>
  <c r="K96" i="10"/>
  <c r="M96" i="10" s="1"/>
  <c r="P96" i="10" s="1"/>
  <c r="I96" i="10"/>
  <c r="K95" i="10"/>
  <c r="I95" i="10"/>
  <c r="K94" i="10"/>
  <c r="M94" i="10" s="1"/>
  <c r="I94" i="10"/>
  <c r="K93" i="10"/>
  <c r="M93" i="10" s="1"/>
  <c r="P93" i="10" s="1"/>
  <c r="I93" i="10"/>
  <c r="K92" i="10"/>
  <c r="I92" i="10"/>
  <c r="K91" i="10"/>
  <c r="M91" i="10" s="1"/>
  <c r="I91" i="10"/>
  <c r="K90" i="10"/>
  <c r="M90" i="10" s="1"/>
  <c r="P90" i="10" s="1"/>
  <c r="I90" i="10"/>
  <c r="K89" i="10"/>
  <c r="I89" i="10"/>
  <c r="K88" i="10"/>
  <c r="M88" i="10" s="1"/>
  <c r="J88" i="10"/>
  <c r="I88" i="10"/>
  <c r="K87" i="10"/>
  <c r="M87" i="10" s="1"/>
  <c r="P87" i="10" s="1"/>
  <c r="J87" i="10"/>
  <c r="I87" i="10"/>
  <c r="K86" i="10"/>
  <c r="J86" i="10"/>
  <c r="I86" i="10"/>
  <c r="K85" i="10"/>
  <c r="M85" i="10" s="1"/>
  <c r="P85" i="10" s="1"/>
  <c r="J85" i="10"/>
  <c r="I85" i="10"/>
  <c r="K84" i="10"/>
  <c r="J84" i="10"/>
  <c r="I84" i="10"/>
  <c r="K83" i="10"/>
  <c r="M83" i="10" s="1"/>
  <c r="I83" i="10"/>
  <c r="K82" i="10"/>
  <c r="M82" i="10" s="1"/>
  <c r="P82" i="10" s="1"/>
  <c r="I82" i="10"/>
  <c r="K81" i="10"/>
  <c r="I81" i="10"/>
  <c r="K80" i="10"/>
  <c r="M80" i="10" s="1"/>
  <c r="I80" i="10"/>
  <c r="K79" i="10"/>
  <c r="M79" i="10" s="1"/>
  <c r="P79" i="10" s="1"/>
  <c r="I79" i="10"/>
  <c r="K78" i="10"/>
  <c r="I78" i="10"/>
  <c r="K77" i="10"/>
  <c r="I77" i="10"/>
  <c r="K76" i="10"/>
  <c r="M76" i="10" s="1"/>
  <c r="P76" i="10" s="1"/>
  <c r="I76" i="10"/>
  <c r="K75" i="10"/>
  <c r="I75" i="10"/>
  <c r="K74" i="10"/>
  <c r="M74" i="10" s="1"/>
  <c r="I74" i="10"/>
  <c r="K73" i="10"/>
  <c r="M73" i="10" s="1"/>
  <c r="P73" i="10" s="1"/>
  <c r="J73" i="10"/>
  <c r="I73" i="10"/>
  <c r="K72" i="10"/>
  <c r="I72" i="10"/>
  <c r="M71" i="10"/>
  <c r="P71" i="10" s="1"/>
  <c r="K71" i="10"/>
  <c r="I71" i="10"/>
  <c r="K70" i="10"/>
  <c r="I70" i="10"/>
  <c r="K69" i="10"/>
  <c r="I69" i="10"/>
  <c r="M68" i="10"/>
  <c r="P68" i="10" s="1"/>
  <c r="K68" i="10"/>
  <c r="J68" i="10"/>
  <c r="I68" i="10"/>
  <c r="M67" i="10"/>
  <c r="P67" i="10" s="1"/>
  <c r="K67" i="10"/>
  <c r="I67" i="10"/>
  <c r="K66" i="10"/>
  <c r="M66" i="10" s="1"/>
  <c r="P66" i="10" s="1"/>
  <c r="I66" i="10"/>
  <c r="K65" i="10"/>
  <c r="I65" i="10"/>
  <c r="K64" i="10"/>
  <c r="M64" i="10" s="1"/>
  <c r="P64" i="10" s="1"/>
  <c r="I64" i="10"/>
  <c r="K63" i="10"/>
  <c r="M63" i="10" s="1"/>
  <c r="P63" i="10" s="1"/>
  <c r="I63" i="10"/>
  <c r="K62" i="10"/>
  <c r="M62" i="10" s="1"/>
  <c r="P62" i="10" s="1"/>
  <c r="J62" i="10"/>
  <c r="I62" i="10"/>
  <c r="K61" i="10"/>
  <c r="I61" i="10"/>
  <c r="K60" i="10"/>
  <c r="M60" i="10" s="1"/>
  <c r="J60" i="10"/>
  <c r="I60" i="10"/>
  <c r="K59" i="10"/>
  <c r="M59" i="10" s="1"/>
  <c r="P59" i="10" s="1"/>
  <c r="I59" i="10"/>
  <c r="K58" i="10"/>
  <c r="J58" i="10"/>
  <c r="I58" i="10"/>
  <c r="K57" i="10"/>
  <c r="M57" i="10" s="1"/>
  <c r="P57" i="10" s="1"/>
  <c r="J57" i="10"/>
  <c r="I57" i="10"/>
  <c r="K56" i="10"/>
  <c r="J56" i="10"/>
  <c r="I56" i="10"/>
  <c r="K55" i="10"/>
  <c r="M55" i="10" s="1"/>
  <c r="J55" i="10"/>
  <c r="I55" i="10"/>
  <c r="K54" i="10"/>
  <c r="M54" i="10" s="1"/>
  <c r="P54" i="10" s="1"/>
  <c r="J54" i="10"/>
  <c r="I54" i="10"/>
  <c r="K53" i="10"/>
  <c r="I53" i="10"/>
  <c r="K52" i="10"/>
  <c r="I52" i="10"/>
  <c r="K51" i="10"/>
  <c r="I51" i="10"/>
  <c r="K50" i="10"/>
  <c r="J50" i="10"/>
  <c r="I50" i="10"/>
  <c r="K49" i="10"/>
  <c r="M49" i="10" s="1"/>
  <c r="I49" i="10"/>
  <c r="K48" i="10"/>
  <c r="M48" i="10" s="1"/>
  <c r="I48" i="10"/>
  <c r="K47" i="10"/>
  <c r="M47" i="10" s="1"/>
  <c r="P47" i="10" s="1"/>
  <c r="I47" i="10"/>
  <c r="K46" i="10"/>
  <c r="M46" i="10" s="1"/>
  <c r="P46" i="10" s="1"/>
  <c r="J46" i="10"/>
  <c r="I46" i="10"/>
  <c r="K45" i="10"/>
  <c r="J45" i="10"/>
  <c r="I45" i="10"/>
  <c r="K44" i="10"/>
  <c r="J44" i="10"/>
  <c r="I44" i="10"/>
  <c r="K43" i="10"/>
  <c r="I43" i="10"/>
  <c r="K42" i="10"/>
  <c r="J42" i="10"/>
  <c r="I42" i="10"/>
  <c r="K41" i="10"/>
  <c r="I41" i="10"/>
  <c r="M40" i="10"/>
  <c r="K40" i="10"/>
  <c r="J40" i="10"/>
  <c r="I40" i="10"/>
  <c r="K39" i="10"/>
  <c r="M39" i="10" s="1"/>
  <c r="J39" i="10"/>
  <c r="I39" i="10"/>
  <c r="K38" i="10"/>
  <c r="M38" i="10" s="1"/>
  <c r="P38" i="10" s="1"/>
  <c r="I38" i="10"/>
  <c r="K37" i="10"/>
  <c r="J37" i="10"/>
  <c r="I37" i="10"/>
  <c r="P36" i="10"/>
  <c r="K36" i="10"/>
  <c r="M36" i="10" s="1"/>
  <c r="I36" i="10"/>
  <c r="K35" i="10"/>
  <c r="J35" i="10"/>
  <c r="I35" i="10"/>
  <c r="M34" i="10"/>
  <c r="P34" i="10" s="1"/>
  <c r="K34" i="10"/>
  <c r="I34" i="10"/>
  <c r="K33" i="10"/>
  <c r="M33" i="10" s="1"/>
  <c r="I33" i="10"/>
  <c r="K32" i="10"/>
  <c r="I32" i="10"/>
  <c r="K31" i="10"/>
  <c r="M31" i="10" s="1"/>
  <c r="P31" i="10" s="1"/>
  <c r="I31" i="10"/>
  <c r="K30" i="10"/>
  <c r="M30" i="10" s="1"/>
  <c r="P30" i="10" s="1"/>
  <c r="I30" i="10"/>
  <c r="K29" i="10"/>
  <c r="I29" i="10"/>
  <c r="K28" i="10"/>
  <c r="M28" i="10" s="1"/>
  <c r="P28" i="10" s="1"/>
  <c r="I28" i="10"/>
  <c r="K27" i="10"/>
  <c r="M27" i="10" s="1"/>
  <c r="P27" i="10" s="1"/>
  <c r="I27" i="10"/>
  <c r="K26" i="10"/>
  <c r="M26" i="10" s="1"/>
  <c r="I26" i="10"/>
  <c r="K25" i="10"/>
  <c r="M25" i="10" s="1"/>
  <c r="P25" i="10" s="1"/>
  <c r="I25" i="10"/>
  <c r="K24" i="10"/>
  <c r="M24" i="10" s="1"/>
  <c r="P24" i="10" s="1"/>
  <c r="J24" i="10"/>
  <c r="I24" i="10"/>
  <c r="K23" i="10"/>
  <c r="I23" i="10"/>
  <c r="K22" i="10"/>
  <c r="M22" i="10" s="1"/>
  <c r="I22" i="10"/>
  <c r="J21" i="10"/>
  <c r="K21" i="10" s="1"/>
  <c r="I21" i="10"/>
  <c r="K20" i="10"/>
  <c r="I20" i="10"/>
  <c r="K19" i="10"/>
  <c r="I19" i="10"/>
  <c r="K18" i="10"/>
  <c r="M18" i="10" s="1"/>
  <c r="P18" i="10" s="1"/>
  <c r="J18" i="10"/>
  <c r="I18" i="10"/>
  <c r="K17" i="10"/>
  <c r="I17" i="10"/>
  <c r="K16" i="10"/>
  <c r="I16" i="10"/>
  <c r="K15" i="10"/>
  <c r="J15" i="10"/>
  <c r="I15" i="10"/>
  <c r="K14" i="10"/>
  <c r="M14" i="10" s="1"/>
  <c r="P14" i="10" s="1"/>
  <c r="I14" i="10"/>
  <c r="K13" i="10"/>
  <c r="M13" i="10" s="1"/>
  <c r="P13" i="10" s="1"/>
  <c r="J13" i="10"/>
  <c r="I13" i="10"/>
  <c r="K12" i="10"/>
  <c r="I12" i="10"/>
  <c r="K11" i="10"/>
  <c r="M11" i="10" s="1"/>
  <c r="I11" i="10"/>
  <c r="K10" i="10"/>
  <c r="M10" i="10" s="1"/>
  <c r="P10" i="10" s="1"/>
  <c r="I10" i="10"/>
  <c r="K9" i="10"/>
  <c r="J9" i="10"/>
  <c r="I9" i="10"/>
  <c r="M8" i="10"/>
  <c r="K8" i="10"/>
  <c r="J8" i="10"/>
  <c r="I8" i="10"/>
  <c r="K7" i="10"/>
  <c r="I7" i="10"/>
  <c r="K6" i="10"/>
  <c r="I6" i="10"/>
  <c r="K5" i="10"/>
  <c r="M5" i="10" s="1"/>
  <c r="P5" i="10" s="1"/>
  <c r="I5" i="10"/>
  <c r="K4" i="10"/>
  <c r="J4" i="10"/>
  <c r="I4" i="10"/>
  <c r="K3" i="10"/>
  <c r="M3" i="10" s="1"/>
  <c r="P3" i="10" s="1"/>
  <c r="J3" i="10"/>
  <c r="I3" i="10"/>
  <c r="N1232" i="12"/>
  <c r="P1232" i="12" s="1"/>
  <c r="N1233" i="12"/>
  <c r="P1233" i="12" s="1"/>
  <c r="S1233" i="12" s="1"/>
  <c r="N1231" i="12"/>
  <c r="N1230" i="12"/>
  <c r="P1230" i="12" s="1"/>
  <c r="S1230" i="12" s="1"/>
  <c r="N1228" i="12"/>
  <c r="N1227" i="12"/>
  <c r="J1227" i="12"/>
  <c r="N1224" i="12"/>
  <c r="P1224" i="12" s="1"/>
  <c r="S1224" i="12" s="1"/>
  <c r="N1226" i="12"/>
  <c r="J1226" i="12"/>
  <c r="N1225" i="12"/>
  <c r="P1225" i="12" s="1"/>
  <c r="J1225" i="12"/>
  <c r="Q1223" i="12"/>
  <c r="N1223" i="12"/>
  <c r="P1223" i="12" s="1"/>
  <c r="N1221" i="12"/>
  <c r="P1221" i="12" s="1"/>
  <c r="S1221" i="12" s="1"/>
  <c r="J1221" i="12"/>
  <c r="N1094" i="12"/>
  <c r="J1094" i="12"/>
  <c r="N799" i="12"/>
  <c r="P799" i="12" s="1"/>
  <c r="S799" i="12" s="1"/>
  <c r="J799" i="12"/>
  <c r="N1218" i="12"/>
  <c r="P1218" i="12" s="1"/>
  <c r="S1218" i="12" s="1"/>
  <c r="J1218" i="12"/>
  <c r="N1202" i="12"/>
  <c r="N1095" i="12"/>
  <c r="P1095" i="12" s="1"/>
  <c r="J1095" i="12"/>
  <c r="N1096" i="12"/>
  <c r="P1096" i="12" s="1"/>
  <c r="S1096" i="12" s="1"/>
  <c r="J1096" i="12"/>
  <c r="N931" i="12"/>
  <c r="J931" i="12"/>
  <c r="N1215" i="12"/>
  <c r="P1215" i="12" s="1"/>
  <c r="S1215" i="12" s="1"/>
  <c r="J1215" i="12"/>
  <c r="N1210" i="12"/>
  <c r="P1210" i="12" s="1"/>
  <c r="S1210" i="12" s="1"/>
  <c r="J1210" i="12"/>
  <c r="J1208" i="12"/>
  <c r="N1204" i="12"/>
  <c r="P1204" i="12" s="1"/>
  <c r="S1204" i="12" s="1"/>
  <c r="N1207" i="12"/>
  <c r="P1207" i="12" s="1"/>
  <c r="S1207" i="12" s="1"/>
  <c r="J1207" i="12"/>
  <c r="N1216" i="12"/>
  <c r="J1216" i="12"/>
  <c r="N1217" i="12"/>
  <c r="P1217" i="12" s="1"/>
  <c r="S1217" i="12" s="1"/>
  <c r="J1217" i="12"/>
  <c r="N1097" i="12"/>
  <c r="P1097" i="12" s="1"/>
  <c r="S1097" i="12" s="1"/>
  <c r="J1097" i="12"/>
  <c r="N1098" i="12"/>
  <c r="N1219" i="12"/>
  <c r="P1219" i="12" s="1"/>
  <c r="J1219" i="12"/>
  <c r="N1205" i="12"/>
  <c r="P1205" i="12" s="1"/>
  <c r="J1205" i="12"/>
  <c r="N1203" i="12"/>
  <c r="N1201" i="12"/>
  <c r="J1201" i="12"/>
  <c r="N1200" i="12"/>
  <c r="P1200" i="12" s="1"/>
  <c r="J1200" i="12"/>
  <c r="N1198" i="12"/>
  <c r="P1198" i="12" s="1"/>
  <c r="J1198" i="12"/>
  <c r="N1199" i="12"/>
  <c r="J1199" i="12"/>
  <c r="N1195" i="12"/>
  <c r="P1195" i="12" s="1"/>
  <c r="S1195" i="12" s="1"/>
  <c r="J1195" i="12"/>
  <c r="N1197" i="12"/>
  <c r="J1197" i="12"/>
  <c r="N1196" i="12"/>
  <c r="J1196" i="12"/>
  <c r="N1193" i="12"/>
  <c r="P1193" i="12" s="1"/>
  <c r="N1194" i="12"/>
  <c r="J1194" i="12"/>
  <c r="N1177" i="12"/>
  <c r="J1177" i="12"/>
  <c r="N1190" i="12"/>
  <c r="P1190" i="12" s="1"/>
  <c r="S1190" i="12" s="1"/>
  <c r="N1191" i="12"/>
  <c r="N1188" i="12"/>
  <c r="N1178" i="12"/>
  <c r="P1178" i="12" s="1"/>
  <c r="S1178" i="12" s="1"/>
  <c r="J1178" i="12"/>
  <c r="N1187" i="12"/>
  <c r="P1187" i="12" s="1"/>
  <c r="N1179" i="12"/>
  <c r="J1179" i="12"/>
  <c r="N1184" i="12"/>
  <c r="P1184" i="12" s="1"/>
  <c r="N1185" i="12"/>
  <c r="N1183" i="12"/>
  <c r="N1181" i="12"/>
  <c r="P1181" i="12" s="1"/>
  <c r="N1180" i="12"/>
  <c r="N1182" i="12"/>
  <c r="N1186" i="12"/>
  <c r="P1186" i="12" s="1"/>
  <c r="S1186" i="12" s="1"/>
  <c r="J1186" i="12"/>
  <c r="N1192" i="12"/>
  <c r="N1176" i="12"/>
  <c r="J1176" i="12"/>
  <c r="N1175" i="12"/>
  <c r="P1175" i="12" s="1"/>
  <c r="J1175" i="12"/>
  <c r="N1189" i="12"/>
  <c r="N1171" i="12"/>
  <c r="J1171" i="12"/>
  <c r="N1170" i="12"/>
  <c r="P1170" i="12" s="1"/>
  <c r="S1170" i="12" s="1"/>
  <c r="J1170" i="12"/>
  <c r="N1172" i="12"/>
  <c r="J1172" i="12"/>
  <c r="N1173" i="12"/>
  <c r="J1173" i="12"/>
  <c r="N1174" i="12"/>
  <c r="P1174" i="12" s="1"/>
  <c r="S1174" i="12" s="1"/>
  <c r="J1174" i="12"/>
  <c r="N1168" i="12"/>
  <c r="P1168" i="12" s="1"/>
  <c r="J1168" i="12"/>
  <c r="N1169" i="12"/>
  <c r="J1169" i="12"/>
  <c r="AB1166" i="12"/>
  <c r="N1166" i="12"/>
  <c r="N1167" i="12"/>
  <c r="N1165" i="12"/>
  <c r="P1165" i="12" s="1"/>
  <c r="N1164" i="12"/>
  <c r="N1163" i="12"/>
  <c r="P1163" i="12" s="1"/>
  <c r="S1163" i="12" s="1"/>
  <c r="N1162" i="12"/>
  <c r="N1161" i="12"/>
  <c r="J1161" i="12"/>
  <c r="N1160" i="12"/>
  <c r="P1160" i="12" s="1"/>
  <c r="J1160" i="12"/>
  <c r="N1159" i="12"/>
  <c r="P1159" i="12" s="1"/>
  <c r="J1159" i="12"/>
  <c r="N1158" i="12"/>
  <c r="N1157" i="12"/>
  <c r="P1157" i="12" s="1"/>
  <c r="J1157" i="12"/>
  <c r="N1154" i="12"/>
  <c r="J1154" i="12"/>
  <c r="N1156" i="12"/>
  <c r="J1156" i="12"/>
  <c r="N1151" i="12"/>
  <c r="J1151" i="12"/>
  <c r="N1153" i="12"/>
  <c r="J1153" i="12"/>
  <c r="N1150" i="12"/>
  <c r="J1150" i="12"/>
  <c r="N1152" i="12"/>
  <c r="P1152" i="12" s="1"/>
  <c r="S1152" i="12" s="1"/>
  <c r="J1152" i="12"/>
  <c r="N1149" i="12"/>
  <c r="P1149" i="12" s="1"/>
  <c r="J1149" i="12"/>
  <c r="N1155" i="12"/>
  <c r="J1155" i="12"/>
  <c r="N1148" i="12"/>
  <c r="N1141" i="12"/>
  <c r="N1146" i="12"/>
  <c r="N1147" i="12"/>
  <c r="P1147" i="12" s="1"/>
  <c r="S1147" i="12" s="1"/>
  <c r="N1145" i="12"/>
  <c r="N1144" i="12"/>
  <c r="N1143" i="12"/>
  <c r="N1142" i="12"/>
  <c r="N1140" i="12"/>
  <c r="J1140" i="12"/>
  <c r="N1139" i="12"/>
  <c r="P1139" i="12" s="1"/>
  <c r="S1139" i="12" s="1"/>
  <c r="J1139" i="12"/>
  <c r="N1119" i="12"/>
  <c r="N1126" i="12"/>
  <c r="P1126" i="12" s="1"/>
  <c r="N1129" i="12"/>
  <c r="P1129" i="12" s="1"/>
  <c r="S1129" i="12" s="1"/>
  <c r="N1120" i="12"/>
  <c r="N1118" i="12"/>
  <c r="N1135" i="12"/>
  <c r="P1135" i="12" s="1"/>
  <c r="S1135" i="12" s="1"/>
  <c r="N1134" i="12"/>
  <c r="N1133" i="12"/>
  <c r="N1132" i="12"/>
  <c r="P1132" i="12" s="1"/>
  <c r="S1132" i="12" s="1"/>
  <c r="N1131" i="12"/>
  <c r="N1130" i="12"/>
  <c r="P1130" i="12" s="1"/>
  <c r="N1128" i="12"/>
  <c r="P1128" i="12" s="1"/>
  <c r="S1128" i="12" s="1"/>
  <c r="N1127" i="12"/>
  <c r="N1125" i="12"/>
  <c r="P1125" i="12" s="1"/>
  <c r="N1124" i="12"/>
  <c r="P1124" i="12" s="1"/>
  <c r="S1124" i="12" s="1"/>
  <c r="N1108" i="12"/>
  <c r="J1108" i="12"/>
  <c r="N1122" i="12"/>
  <c r="N1123" i="12"/>
  <c r="P1123" i="12" s="1"/>
  <c r="S1123" i="12" s="1"/>
  <c r="N1121" i="12"/>
  <c r="N1117" i="12"/>
  <c r="P1117" i="12" s="1"/>
  <c r="N1116" i="12"/>
  <c r="P1116" i="12" s="1"/>
  <c r="S1116" i="12" s="1"/>
  <c r="N1114" i="12"/>
  <c r="N1115" i="12"/>
  <c r="N1113" i="12"/>
  <c r="P1113" i="12" s="1"/>
  <c r="S1113" i="12" s="1"/>
  <c r="N1112" i="12"/>
  <c r="N1106" i="12"/>
  <c r="J1106" i="12"/>
  <c r="N1107" i="12"/>
  <c r="P1107" i="12" s="1"/>
  <c r="S1107" i="12" s="1"/>
  <c r="J1107" i="12"/>
  <c r="N1137" i="12"/>
  <c r="J1137" i="12"/>
  <c r="N1111" i="12"/>
  <c r="P1111" i="12" s="1"/>
  <c r="J1111" i="12"/>
  <c r="N1109" i="12"/>
  <c r="P1109" i="12" s="1"/>
  <c r="S1109" i="12" s="1"/>
  <c r="J1109" i="12"/>
  <c r="N1110" i="12"/>
  <c r="J1110" i="12"/>
  <c r="N1138" i="12"/>
  <c r="P1138" i="12" s="1"/>
  <c r="J1138" i="12"/>
  <c r="N1209" i="12"/>
  <c r="P1209" i="12" s="1"/>
  <c r="S1209" i="12" s="1"/>
  <c r="J1209" i="12"/>
  <c r="N1099" i="12"/>
  <c r="J1099" i="12"/>
  <c r="N1220" i="12"/>
  <c r="J1220" i="12"/>
  <c r="N1100" i="12"/>
  <c r="P1100" i="12" s="1"/>
  <c r="S1100" i="12" s="1"/>
  <c r="J1100" i="12"/>
  <c r="N1101" i="12"/>
  <c r="J1101" i="12"/>
  <c r="N1102" i="12"/>
  <c r="P1102" i="12" s="1"/>
  <c r="J1102" i="12"/>
  <c r="N1211" i="12"/>
  <c r="P1211" i="12" s="1"/>
  <c r="S1211" i="12" s="1"/>
  <c r="J1211" i="12"/>
  <c r="N1212" i="12"/>
  <c r="J1212" i="12"/>
  <c r="N1213" i="12"/>
  <c r="J1213" i="12"/>
  <c r="N1214" i="12"/>
  <c r="P1214" i="12" s="1"/>
  <c r="J1214" i="12"/>
  <c r="N1206" i="12"/>
  <c r="J1206" i="12"/>
  <c r="N1105" i="12"/>
  <c r="P1105" i="12" s="1"/>
  <c r="J1105" i="12"/>
  <c r="N1093" i="12"/>
  <c r="P1093" i="12" s="1"/>
  <c r="S1093" i="12" s="1"/>
  <c r="J1093" i="12"/>
  <c r="N1089" i="12"/>
  <c r="J1089" i="12"/>
  <c r="N1092" i="12"/>
  <c r="J1092" i="12"/>
  <c r="N1090" i="12"/>
  <c r="P1090" i="12" s="1"/>
  <c r="S1090" i="12" s="1"/>
  <c r="J1090" i="12"/>
  <c r="N1091" i="12"/>
  <c r="J1091" i="12"/>
  <c r="N1088" i="12"/>
  <c r="P1088" i="12" s="1"/>
  <c r="J1088" i="12"/>
  <c r="N1087" i="12"/>
  <c r="P1087" i="12" s="1"/>
  <c r="S1087" i="12" s="1"/>
  <c r="J1087" i="12"/>
  <c r="N1083" i="12"/>
  <c r="J1083" i="12"/>
  <c r="N1086" i="12"/>
  <c r="P1086" i="12" s="1"/>
  <c r="J1086" i="12"/>
  <c r="N1085" i="12"/>
  <c r="P1085" i="12" s="1"/>
  <c r="S1085" i="12" s="1"/>
  <c r="J1085" i="12"/>
  <c r="AB1082" i="12"/>
  <c r="N1082" i="12"/>
  <c r="P1082" i="12" s="1"/>
  <c r="J1082" i="12"/>
  <c r="N1084" i="12"/>
  <c r="J1084" i="12"/>
  <c r="N1077" i="12"/>
  <c r="P1077" i="12" s="1"/>
  <c r="J1077" i="12"/>
  <c r="N1078" i="12"/>
  <c r="P1078" i="12" s="1"/>
  <c r="J1078" i="12"/>
  <c r="N1076" i="12"/>
  <c r="N1073" i="12"/>
  <c r="P1073" i="12" s="1"/>
  <c r="J1073" i="12"/>
  <c r="N1079" i="12"/>
  <c r="P1079" i="12" s="1"/>
  <c r="J1079" i="12"/>
  <c r="N1074" i="12"/>
  <c r="J1074" i="12"/>
  <c r="N1075" i="12"/>
  <c r="J1075" i="12"/>
  <c r="N1081" i="12"/>
  <c r="P1081" i="12" s="1"/>
  <c r="J1081" i="12"/>
  <c r="N1080" i="12"/>
  <c r="J1080" i="12"/>
  <c r="N1070" i="12"/>
  <c r="P1070" i="12" s="1"/>
  <c r="J1070" i="12"/>
  <c r="N1072" i="12"/>
  <c r="P1072" i="12" s="1"/>
  <c r="J1072" i="12"/>
  <c r="N1071" i="12"/>
  <c r="N1067" i="12"/>
  <c r="P1067" i="12" s="1"/>
  <c r="J1067" i="12"/>
  <c r="N1065" i="12"/>
  <c r="P1065" i="12" s="1"/>
  <c r="J1065" i="12"/>
  <c r="AB1068" i="12"/>
  <c r="N1068" i="12"/>
  <c r="N1069" i="12"/>
  <c r="P1069" i="12" s="1"/>
  <c r="S1069" i="12" s="1"/>
  <c r="AB1066" i="12"/>
  <c r="N1066" i="12"/>
  <c r="J1066" i="12"/>
  <c r="N1062" i="12"/>
  <c r="P1062" i="12" s="1"/>
  <c r="J1062" i="12"/>
  <c r="N1063" i="12"/>
  <c r="P1063" i="12" s="1"/>
  <c r="S1063" i="12" s="1"/>
  <c r="J1063" i="12"/>
  <c r="N1064" i="12"/>
  <c r="J1064" i="12"/>
  <c r="N1060" i="12"/>
  <c r="P1060" i="12" s="1"/>
  <c r="N1059" i="12"/>
  <c r="N1061" i="12"/>
  <c r="J1061" i="12"/>
  <c r="N1057" i="12"/>
  <c r="J1057" i="12"/>
  <c r="N1058" i="12"/>
  <c r="J1058" i="12"/>
  <c r="N1056" i="12"/>
  <c r="P1056" i="12" s="1"/>
  <c r="J1056" i="12"/>
  <c r="N1055" i="12"/>
  <c r="J1055" i="12"/>
  <c r="N1054" i="12"/>
  <c r="J1054" i="12"/>
  <c r="N1051" i="12"/>
  <c r="J1051" i="12"/>
  <c r="N1052" i="12"/>
  <c r="P1052" i="12" s="1"/>
  <c r="S1052" i="12" s="1"/>
  <c r="J1052" i="12"/>
  <c r="N1050" i="12"/>
  <c r="J1050" i="12"/>
  <c r="N1049" i="12"/>
  <c r="J1049" i="12"/>
  <c r="N1053" i="12"/>
  <c r="P1053" i="12" s="1"/>
  <c r="S1053" i="12" s="1"/>
  <c r="J1053" i="12"/>
  <c r="N1048" i="12"/>
  <c r="J1048" i="12"/>
  <c r="N1047" i="12"/>
  <c r="J1047" i="12"/>
  <c r="N1046" i="12"/>
  <c r="P1046" i="12" s="1"/>
  <c r="S1046" i="12" s="1"/>
  <c r="N1044" i="12"/>
  <c r="J1044" i="12"/>
  <c r="N1043" i="12"/>
  <c r="J1043" i="12"/>
  <c r="N1042" i="12"/>
  <c r="P1042" i="12" s="1"/>
  <c r="J1042" i="12"/>
  <c r="N1041" i="12"/>
  <c r="J1041" i="12"/>
  <c r="N1040" i="12"/>
  <c r="N1038" i="12"/>
  <c r="P1038" i="12" s="1"/>
  <c r="J1038" i="12"/>
  <c r="N1037" i="12"/>
  <c r="J1037" i="12"/>
  <c r="N1032" i="12"/>
  <c r="N1033" i="12"/>
  <c r="P1033" i="12" s="1"/>
  <c r="S1033" i="12" s="1"/>
  <c r="J1033" i="12"/>
  <c r="J1039" i="12"/>
  <c r="N1035" i="12"/>
  <c r="P1035" i="12" s="1"/>
  <c r="J1035" i="12"/>
  <c r="N1036" i="12"/>
  <c r="J1036" i="12"/>
  <c r="N1028" i="12"/>
  <c r="P1028" i="12" s="1"/>
  <c r="J1028" i="12"/>
  <c r="N1034" i="12"/>
  <c r="P1034" i="12" s="1"/>
  <c r="J1034" i="12"/>
  <c r="N1031" i="12"/>
  <c r="J1031" i="12"/>
  <c r="N1027" i="12"/>
  <c r="P1027" i="12" s="1"/>
  <c r="J1027" i="12"/>
  <c r="N1030" i="12"/>
  <c r="P1030" i="12" s="1"/>
  <c r="J1030" i="12"/>
  <c r="N987" i="12"/>
  <c r="J987" i="12"/>
  <c r="N1000" i="12"/>
  <c r="J1000" i="12"/>
  <c r="N999" i="12"/>
  <c r="J999" i="12"/>
  <c r="N990" i="12"/>
  <c r="J990" i="12"/>
  <c r="N993" i="12"/>
  <c r="P993" i="12" s="1"/>
  <c r="S993" i="12" s="1"/>
  <c r="N992" i="12"/>
  <c r="P992" i="12" s="1"/>
  <c r="J992" i="12"/>
  <c r="N1003" i="12"/>
  <c r="J1003" i="12"/>
  <c r="N998" i="12"/>
  <c r="P998" i="12" s="1"/>
  <c r="S998" i="12" s="1"/>
  <c r="J998" i="12"/>
  <c r="N1001" i="12"/>
  <c r="J1001" i="12"/>
  <c r="N988" i="12"/>
  <c r="J988" i="12"/>
  <c r="N995" i="12"/>
  <c r="N994" i="12"/>
  <c r="N1002" i="12"/>
  <c r="J1002" i="12"/>
  <c r="N991" i="12"/>
  <c r="N989" i="12"/>
  <c r="P989" i="12" s="1"/>
  <c r="J989" i="12"/>
  <c r="N1045" i="12"/>
  <c r="J1045" i="12"/>
  <c r="N1029" i="12"/>
  <c r="J1029" i="12"/>
  <c r="N1017" i="12"/>
  <c r="J1017" i="12"/>
  <c r="N1022" i="12"/>
  <c r="J1022" i="12"/>
  <c r="N1015" i="12"/>
  <c r="P1015" i="12" s="1"/>
  <c r="S1015" i="12" s="1"/>
  <c r="J1015" i="12"/>
  <c r="N1024" i="12"/>
  <c r="J1024" i="12"/>
  <c r="N1016" i="12"/>
  <c r="J1016" i="12"/>
  <c r="N1025" i="12"/>
  <c r="P1025" i="12" s="1"/>
  <c r="S1025" i="12" s="1"/>
  <c r="J1025" i="12"/>
  <c r="N1021" i="12"/>
  <c r="N1018" i="12"/>
  <c r="J1018" i="12"/>
  <c r="N1020" i="12"/>
  <c r="P1020" i="12" s="1"/>
  <c r="J1020" i="12"/>
  <c r="N1019" i="12"/>
  <c r="P1019" i="12" s="1"/>
  <c r="J1019" i="12"/>
  <c r="N1026" i="12"/>
  <c r="J1026" i="12"/>
  <c r="N1023" i="12"/>
  <c r="J1023" i="12"/>
  <c r="N1013" i="12"/>
  <c r="P1013" i="12" s="1"/>
  <c r="J1013" i="12"/>
  <c r="N1014" i="12"/>
  <c r="J1014" i="12"/>
  <c r="N1012" i="12"/>
  <c r="P1012" i="12" s="1"/>
  <c r="S1012" i="12" s="1"/>
  <c r="J1012" i="12"/>
  <c r="N1004" i="12"/>
  <c r="N1011" i="12"/>
  <c r="N1009" i="12"/>
  <c r="P1009" i="12" s="1"/>
  <c r="S1009" i="12" s="1"/>
  <c r="J1009" i="12"/>
  <c r="N1008" i="12"/>
  <c r="J1008" i="12"/>
  <c r="N1006" i="12"/>
  <c r="J1006" i="12"/>
  <c r="N1005" i="12"/>
  <c r="P1005" i="12" s="1"/>
  <c r="S1005" i="12" s="1"/>
  <c r="J1005" i="12"/>
  <c r="N1010" i="12"/>
  <c r="P1010" i="12" s="1"/>
  <c r="J1010" i="12"/>
  <c r="N1007" i="12"/>
  <c r="J1007" i="12"/>
  <c r="N982" i="12"/>
  <c r="P982" i="12" s="1"/>
  <c r="J982" i="12"/>
  <c r="N983" i="12"/>
  <c r="J983" i="12"/>
  <c r="N985" i="12"/>
  <c r="J985" i="12"/>
  <c r="N984" i="12"/>
  <c r="P984" i="12" s="1"/>
  <c r="S984" i="12" s="1"/>
  <c r="J984" i="12"/>
  <c r="N986" i="12"/>
  <c r="J986" i="12"/>
  <c r="N981" i="12"/>
  <c r="J981" i="12"/>
  <c r="N980" i="12"/>
  <c r="P980" i="12" s="1"/>
  <c r="S980" i="12" s="1"/>
  <c r="J980" i="12"/>
  <c r="N978" i="12"/>
  <c r="J978" i="12"/>
  <c r="N979" i="12"/>
  <c r="J979" i="12"/>
  <c r="N977" i="12"/>
  <c r="J977" i="12"/>
  <c r="N976" i="12"/>
  <c r="J976" i="12"/>
  <c r="N975" i="12"/>
  <c r="J975" i="12"/>
  <c r="N974" i="12"/>
  <c r="J974" i="12"/>
  <c r="N973" i="12"/>
  <c r="J973" i="12"/>
  <c r="N971" i="12"/>
  <c r="J971" i="12"/>
  <c r="N972" i="12"/>
  <c r="J972" i="12"/>
  <c r="N970" i="12"/>
  <c r="P970" i="12" s="1"/>
  <c r="N969" i="12"/>
  <c r="N968" i="12"/>
  <c r="P968" i="12" s="1"/>
  <c r="S968" i="12" s="1"/>
  <c r="J968" i="12"/>
  <c r="N967" i="12"/>
  <c r="P967" i="12" s="1"/>
  <c r="J967" i="12"/>
  <c r="N966" i="12"/>
  <c r="J966" i="12"/>
  <c r="N965" i="12"/>
  <c r="J965" i="12"/>
  <c r="N964" i="12"/>
  <c r="P964" i="12" s="1"/>
  <c r="J964" i="12"/>
  <c r="N962" i="12"/>
  <c r="N960" i="12"/>
  <c r="N961" i="12"/>
  <c r="N959" i="12"/>
  <c r="N955" i="12"/>
  <c r="J955" i="12"/>
  <c r="N956" i="12"/>
  <c r="J956" i="12"/>
  <c r="N963" i="12"/>
  <c r="P963" i="12" s="1"/>
  <c r="N957" i="12"/>
  <c r="J957" i="12"/>
  <c r="N958" i="12"/>
  <c r="N954" i="12"/>
  <c r="P954" i="12" s="1"/>
  <c r="J954" i="12"/>
  <c r="N953" i="12"/>
  <c r="P953" i="12" s="1"/>
  <c r="N951" i="12"/>
  <c r="J951" i="12"/>
  <c r="N952" i="12"/>
  <c r="P952" i="12" s="1"/>
  <c r="J952" i="12"/>
  <c r="N949" i="12"/>
  <c r="P949" i="12" s="1"/>
  <c r="S949" i="12" s="1"/>
  <c r="N950" i="12"/>
  <c r="P950" i="12" s="1"/>
  <c r="J950" i="12"/>
  <c r="N948" i="12"/>
  <c r="P948" i="12" s="1"/>
  <c r="S948" i="12" s="1"/>
  <c r="J948" i="12"/>
  <c r="N947" i="12"/>
  <c r="J947" i="12"/>
  <c r="N946" i="12"/>
  <c r="N945" i="12"/>
  <c r="P945" i="12" s="1"/>
  <c r="S945" i="12" s="1"/>
  <c r="N944" i="12"/>
  <c r="J944" i="12"/>
  <c r="N997" i="12"/>
  <c r="P997" i="12" s="1"/>
  <c r="N943" i="12"/>
  <c r="P943" i="12" s="1"/>
  <c r="S943" i="12" s="1"/>
  <c r="J943" i="12"/>
  <c r="N942" i="12"/>
  <c r="P942" i="12" s="1"/>
  <c r="S942" i="12" s="1"/>
  <c r="J942" i="12"/>
  <c r="N941" i="12"/>
  <c r="P941" i="12" s="1"/>
  <c r="J941" i="12"/>
  <c r="AB940" i="12"/>
  <c r="N940" i="12"/>
  <c r="J940" i="12"/>
  <c r="N939" i="12"/>
  <c r="J939" i="12"/>
  <c r="N938" i="12"/>
  <c r="J938" i="12"/>
  <c r="N937" i="12"/>
  <c r="J937" i="12"/>
  <c r="N932" i="12"/>
  <c r="J932" i="12"/>
  <c r="N935" i="12"/>
  <c r="J935" i="12"/>
  <c r="N934" i="12"/>
  <c r="J934" i="12"/>
  <c r="N936" i="12"/>
  <c r="J936" i="12"/>
  <c r="N933" i="12"/>
  <c r="P933" i="12" s="1"/>
  <c r="J933" i="12"/>
  <c r="N1103" i="12"/>
  <c r="J1103" i="12"/>
  <c r="AB927" i="12"/>
  <c r="N927" i="12"/>
  <c r="J927" i="12"/>
  <c r="N930" i="12"/>
  <c r="P930" i="12" s="1"/>
  <c r="N929" i="12"/>
  <c r="J929" i="12"/>
  <c r="N928" i="12"/>
  <c r="P928" i="12" s="1"/>
  <c r="N926" i="12"/>
  <c r="P926" i="12" s="1"/>
  <c r="S926" i="12" s="1"/>
  <c r="J926" i="12"/>
  <c r="N924" i="12"/>
  <c r="J924" i="12"/>
  <c r="N923" i="12"/>
  <c r="J923" i="12"/>
  <c r="N925" i="12"/>
  <c r="P925" i="12" s="1"/>
  <c r="S925" i="12" s="1"/>
  <c r="J925" i="12"/>
  <c r="N921" i="12"/>
  <c r="J921" i="12"/>
  <c r="N922" i="12"/>
  <c r="P922" i="12" s="1"/>
  <c r="J922" i="12"/>
  <c r="N920" i="12"/>
  <c r="P920" i="12" s="1"/>
  <c r="S920" i="12" s="1"/>
  <c r="J920" i="12"/>
  <c r="N918" i="12"/>
  <c r="J918" i="12"/>
  <c r="N919" i="12"/>
  <c r="J919" i="12"/>
  <c r="N916" i="12"/>
  <c r="P916" i="12" s="1"/>
  <c r="S916" i="12" s="1"/>
  <c r="J916" i="12"/>
  <c r="N917" i="12"/>
  <c r="J917" i="12"/>
  <c r="N915" i="12"/>
  <c r="P915" i="12" s="1"/>
  <c r="N914" i="12"/>
  <c r="J914" i="12"/>
  <c r="N913" i="12"/>
  <c r="P913" i="12" s="1"/>
  <c r="S913" i="12" s="1"/>
  <c r="J913" i="12"/>
  <c r="N912" i="12"/>
  <c r="P912" i="12" s="1"/>
  <c r="S912" i="12" s="1"/>
  <c r="J912" i="12"/>
  <c r="N911" i="12"/>
  <c r="J911" i="12"/>
  <c r="N910" i="12"/>
  <c r="N909" i="12"/>
  <c r="P909" i="12" s="1"/>
  <c r="S909" i="12" s="1"/>
  <c r="N907" i="12"/>
  <c r="J907" i="12"/>
  <c r="N908" i="12"/>
  <c r="P908" i="12" s="1"/>
  <c r="J908" i="12"/>
  <c r="N904" i="12"/>
  <c r="P904" i="12" s="1"/>
  <c r="S904" i="12" s="1"/>
  <c r="J904" i="12"/>
  <c r="N906" i="12"/>
  <c r="J906" i="12"/>
  <c r="N903" i="12"/>
  <c r="P903" i="12" s="1"/>
  <c r="N905" i="12"/>
  <c r="P905" i="12" s="1"/>
  <c r="S905" i="12" s="1"/>
  <c r="J905" i="12"/>
  <c r="N902" i="12"/>
  <c r="J902" i="12"/>
  <c r="N900" i="12"/>
  <c r="P900" i="12" s="1"/>
  <c r="J900" i="12"/>
  <c r="N901" i="12"/>
  <c r="P901" i="12" s="1"/>
  <c r="S901" i="12" s="1"/>
  <c r="J901" i="12"/>
  <c r="N899" i="12"/>
  <c r="J899" i="12"/>
  <c r="N898" i="12"/>
  <c r="P898" i="12" s="1"/>
  <c r="J898" i="12"/>
  <c r="N893" i="12"/>
  <c r="P893" i="12" s="1"/>
  <c r="S893" i="12" s="1"/>
  <c r="J893" i="12"/>
  <c r="N892" i="12"/>
  <c r="P892" i="12" s="1"/>
  <c r="S892" i="12" s="1"/>
  <c r="J892" i="12"/>
  <c r="N894" i="12"/>
  <c r="P894" i="12" s="1"/>
  <c r="J894" i="12"/>
  <c r="N896" i="12"/>
  <c r="P896" i="12" s="1"/>
  <c r="S896" i="12" s="1"/>
  <c r="J896" i="12"/>
  <c r="N895" i="12"/>
  <c r="J895" i="12"/>
  <c r="AB897" i="12"/>
  <c r="N897" i="12"/>
  <c r="P897" i="12" s="1"/>
  <c r="S897" i="12" s="1"/>
  <c r="N891" i="12"/>
  <c r="J891" i="12"/>
  <c r="N890" i="12"/>
  <c r="P890" i="12" s="1"/>
  <c r="S890" i="12" s="1"/>
  <c r="J890" i="12"/>
  <c r="N889" i="12"/>
  <c r="P889" i="12" s="1"/>
  <c r="S889" i="12" s="1"/>
  <c r="J889" i="12"/>
  <c r="N882" i="12"/>
  <c r="J882" i="12"/>
  <c r="N883" i="12"/>
  <c r="P883" i="12" s="1"/>
  <c r="S883" i="12" s="1"/>
  <c r="J883" i="12"/>
  <c r="N885" i="12"/>
  <c r="P885" i="12" s="1"/>
  <c r="S885" i="12" s="1"/>
  <c r="J885" i="12"/>
  <c r="N884" i="12"/>
  <c r="J884" i="12"/>
  <c r="AB888" i="12"/>
  <c r="N888" i="12"/>
  <c r="P888" i="12" s="1"/>
  <c r="J888" i="12"/>
  <c r="AB887" i="12"/>
  <c r="N887" i="12"/>
  <c r="J887" i="12"/>
  <c r="N881" i="12"/>
  <c r="P881" i="12" s="1"/>
  <c r="S881" i="12" s="1"/>
  <c r="J881" i="12"/>
  <c r="N886" i="12"/>
  <c r="P886" i="12" s="1"/>
  <c r="S886" i="12" s="1"/>
  <c r="I886" i="12"/>
  <c r="J886" i="12" s="1"/>
  <c r="N880" i="12"/>
  <c r="P880" i="12" s="1"/>
  <c r="J880" i="12"/>
  <c r="N879" i="12"/>
  <c r="J879" i="12"/>
  <c r="N878" i="12"/>
  <c r="P878" i="12" s="1"/>
  <c r="J878" i="12"/>
  <c r="N877" i="12"/>
  <c r="J877" i="12"/>
  <c r="N876" i="12"/>
  <c r="P876" i="12" s="1"/>
  <c r="S876" i="12" s="1"/>
  <c r="N875" i="12"/>
  <c r="P875" i="12" s="1"/>
  <c r="S875" i="12" s="1"/>
  <c r="J875" i="12"/>
  <c r="N873" i="12"/>
  <c r="P873" i="12" s="1"/>
  <c r="J873" i="12"/>
  <c r="N874" i="12"/>
  <c r="P874" i="12" s="1"/>
  <c r="J874" i="12"/>
  <c r="N872" i="12"/>
  <c r="J872" i="12"/>
  <c r="N871" i="12"/>
  <c r="P871" i="12" s="1"/>
  <c r="J871" i="12"/>
  <c r="N869" i="12"/>
  <c r="J869" i="12"/>
  <c r="N870" i="12"/>
  <c r="P870" i="12" s="1"/>
  <c r="S870" i="12" s="1"/>
  <c r="J870" i="12"/>
  <c r="Q866" i="12"/>
  <c r="N866" i="12"/>
  <c r="J866" i="12"/>
  <c r="Q868" i="12"/>
  <c r="N868" i="12"/>
  <c r="P868" i="12" s="1"/>
  <c r="J868" i="12"/>
  <c r="Q867" i="12"/>
  <c r="N867" i="12"/>
  <c r="P867" i="12" s="1"/>
  <c r="J867" i="12"/>
  <c r="N865" i="12"/>
  <c r="J865" i="12"/>
  <c r="N864" i="12"/>
  <c r="P864" i="12" s="1"/>
  <c r="S864" i="12" s="1"/>
  <c r="J864" i="12"/>
  <c r="N863" i="12"/>
  <c r="J863" i="12"/>
  <c r="N856" i="12"/>
  <c r="I856" i="12"/>
  <c r="J856" i="12" s="1"/>
  <c r="N861" i="12"/>
  <c r="P861" i="12" s="1"/>
  <c r="J861" i="12"/>
  <c r="N859" i="12"/>
  <c r="P859" i="12" s="1"/>
  <c r="J859" i="12"/>
  <c r="N862" i="12"/>
  <c r="P862" i="12" s="1"/>
  <c r="S862" i="12" s="1"/>
  <c r="J862" i="12"/>
  <c r="N857" i="12"/>
  <c r="J857" i="12"/>
  <c r="N860" i="12"/>
  <c r="J860" i="12"/>
  <c r="N858" i="12"/>
  <c r="J858" i="12"/>
  <c r="N853" i="12"/>
  <c r="J853" i="12"/>
  <c r="N854" i="12"/>
  <c r="J854" i="12"/>
  <c r="Q852" i="12"/>
  <c r="N852" i="12"/>
  <c r="J852" i="12"/>
  <c r="Q851" i="12"/>
  <c r="N851" i="12"/>
  <c r="J851" i="12"/>
  <c r="N855" i="12"/>
  <c r="P855" i="12" s="1"/>
  <c r="J855" i="12"/>
  <c r="N850" i="12"/>
  <c r="P850" i="12" s="1"/>
  <c r="N849" i="12"/>
  <c r="J849" i="12"/>
  <c r="N848" i="12"/>
  <c r="J848" i="12"/>
  <c r="N847" i="12"/>
  <c r="J847" i="12"/>
  <c r="N846" i="12"/>
  <c r="P846" i="12" s="1"/>
  <c r="S846" i="12" s="1"/>
  <c r="J846" i="12"/>
  <c r="N845" i="12"/>
  <c r="J845" i="12"/>
  <c r="N839" i="12"/>
  <c r="J839" i="12"/>
  <c r="N833" i="12"/>
  <c r="P833" i="12" s="1"/>
  <c r="S833" i="12" s="1"/>
  <c r="J833" i="12"/>
  <c r="N834" i="12"/>
  <c r="P834" i="12" s="1"/>
  <c r="J834" i="12"/>
  <c r="N832" i="12"/>
  <c r="P832" i="12" s="1"/>
  <c r="J832" i="12"/>
  <c r="N831" i="12"/>
  <c r="P831" i="12" s="1"/>
  <c r="S831" i="12" s="1"/>
  <c r="J831" i="12"/>
  <c r="N837" i="12"/>
  <c r="J837" i="12"/>
  <c r="N836" i="12"/>
  <c r="P836" i="12" s="1"/>
  <c r="S836" i="12" s="1"/>
  <c r="J836" i="12"/>
  <c r="N835" i="12"/>
  <c r="P835" i="12" s="1"/>
  <c r="S835" i="12" s="1"/>
  <c r="J835" i="12"/>
  <c r="N842" i="12"/>
  <c r="J842" i="12"/>
  <c r="N840" i="12"/>
  <c r="P840" i="12" s="1"/>
  <c r="J840" i="12"/>
  <c r="N843" i="12"/>
  <c r="P843" i="12" s="1"/>
  <c r="J843" i="12"/>
  <c r="N838" i="12"/>
  <c r="P838" i="12" s="1"/>
  <c r="J838" i="12"/>
  <c r="N841" i="12"/>
  <c r="J841" i="12"/>
  <c r="N844" i="12"/>
  <c r="P844" i="12" s="1"/>
  <c r="S844" i="12" s="1"/>
  <c r="J844" i="12"/>
  <c r="N830" i="12"/>
  <c r="P830" i="12" s="1"/>
  <c r="J830" i="12"/>
  <c r="N826" i="12"/>
  <c r="P826" i="12" s="1"/>
  <c r="J826" i="12"/>
  <c r="N827" i="12"/>
  <c r="P827" i="12" s="1"/>
  <c r="S827" i="12" s="1"/>
  <c r="J827" i="12"/>
  <c r="N825" i="12"/>
  <c r="J825" i="12"/>
  <c r="N829" i="12"/>
  <c r="P829" i="12" s="1"/>
  <c r="J829" i="12"/>
  <c r="N828" i="12"/>
  <c r="P828" i="12" s="1"/>
  <c r="S828" i="12" s="1"/>
  <c r="J828" i="12"/>
  <c r="M824" i="12"/>
  <c r="N824" i="12" s="1"/>
  <c r="J824" i="12"/>
  <c r="M823" i="12"/>
  <c r="N823" i="12" s="1"/>
  <c r="P823" i="12" s="1"/>
  <c r="J823" i="12"/>
  <c r="N819" i="12"/>
  <c r="P819" i="12" s="1"/>
  <c r="S819" i="12" s="1"/>
  <c r="J819" i="12"/>
  <c r="N822" i="12"/>
  <c r="J822" i="12"/>
  <c r="N821" i="12"/>
  <c r="P821" i="12" s="1"/>
  <c r="J821" i="12"/>
  <c r="N820" i="12"/>
  <c r="P820" i="12" s="1"/>
  <c r="S820" i="12" s="1"/>
  <c r="J820" i="12"/>
  <c r="N818" i="12"/>
  <c r="P818" i="12" s="1"/>
  <c r="S818" i="12" s="1"/>
  <c r="J818" i="12"/>
  <c r="N817" i="12"/>
  <c r="P817" i="12" s="1"/>
  <c r="J817" i="12"/>
  <c r="Q816" i="12"/>
  <c r="N816" i="12"/>
  <c r="J816" i="12"/>
  <c r="N814" i="12"/>
  <c r="P814" i="12" s="1"/>
  <c r="S814" i="12" s="1"/>
  <c r="J814" i="12"/>
  <c r="N815" i="12"/>
  <c r="J815" i="12"/>
  <c r="N813" i="12"/>
  <c r="P813" i="12" s="1"/>
  <c r="J813" i="12"/>
  <c r="N811" i="12"/>
  <c r="J811" i="12"/>
  <c r="N812" i="12"/>
  <c r="P812" i="12" s="1"/>
  <c r="S812" i="12" s="1"/>
  <c r="J812" i="12"/>
  <c r="N802" i="12"/>
  <c r="J802" i="12"/>
  <c r="N801" i="12"/>
  <c r="P801" i="12" s="1"/>
  <c r="J801" i="12"/>
  <c r="N804" i="12"/>
  <c r="P804" i="12" s="1"/>
  <c r="S804" i="12" s="1"/>
  <c r="N800" i="12"/>
  <c r="P800" i="12" s="1"/>
  <c r="J800" i="12"/>
  <c r="N1104" i="12"/>
  <c r="P1104" i="12" s="1"/>
  <c r="S1104" i="12" s="1"/>
  <c r="J1104" i="12"/>
  <c r="N808" i="12"/>
  <c r="J808" i="12"/>
  <c r="N806" i="12"/>
  <c r="P806" i="12" s="1"/>
  <c r="J806" i="12"/>
  <c r="N809" i="12"/>
  <c r="P809" i="12" s="1"/>
  <c r="S809" i="12" s="1"/>
  <c r="J809" i="12"/>
  <c r="N805" i="12"/>
  <c r="J805" i="12"/>
  <c r="N807" i="12"/>
  <c r="P807" i="12" s="1"/>
  <c r="J807" i="12"/>
  <c r="N803" i="12"/>
  <c r="P803" i="12" s="1"/>
  <c r="S803" i="12" s="1"/>
  <c r="J803" i="12"/>
  <c r="N810" i="12"/>
  <c r="J810" i="12"/>
  <c r="N791" i="12"/>
  <c r="J791" i="12"/>
  <c r="N790" i="12"/>
  <c r="P790" i="12" s="1"/>
  <c r="J790" i="12"/>
  <c r="N781" i="12"/>
  <c r="J781" i="12"/>
  <c r="N792" i="12"/>
  <c r="P792" i="12" s="1"/>
  <c r="N798" i="12"/>
  <c r="P798" i="12" s="1"/>
  <c r="S798" i="12" s="1"/>
  <c r="N788" i="12"/>
  <c r="J788" i="12"/>
  <c r="N789" i="12"/>
  <c r="J789" i="12"/>
  <c r="N796" i="12"/>
  <c r="P796" i="12" s="1"/>
  <c r="S796" i="12" s="1"/>
  <c r="N793" i="12"/>
  <c r="N795" i="12"/>
  <c r="N787" i="12"/>
  <c r="P787" i="12" s="1"/>
  <c r="S787" i="12" s="1"/>
  <c r="J787" i="12"/>
  <c r="N785" i="12"/>
  <c r="J785" i="12"/>
  <c r="N784" i="12"/>
  <c r="J784" i="12"/>
  <c r="N783" i="12"/>
  <c r="P783" i="12" s="1"/>
  <c r="S783" i="12" s="1"/>
  <c r="J783" i="12"/>
  <c r="N786" i="12"/>
  <c r="J786" i="12"/>
  <c r="N782" i="12"/>
  <c r="J782" i="12"/>
  <c r="N797" i="12"/>
  <c r="P797" i="12" s="1"/>
  <c r="S797" i="12" s="1"/>
  <c r="N794" i="12"/>
  <c r="N780" i="12"/>
  <c r="J780" i="12"/>
  <c r="N779" i="12"/>
  <c r="P779" i="12" s="1"/>
  <c r="J779" i="12"/>
  <c r="N778" i="12"/>
  <c r="J778" i="12"/>
  <c r="N774" i="12"/>
  <c r="J774" i="12"/>
  <c r="N777" i="12"/>
  <c r="P777" i="12" s="1"/>
  <c r="S777" i="12" s="1"/>
  <c r="J777" i="12"/>
  <c r="N775" i="12"/>
  <c r="J775" i="12"/>
  <c r="N773" i="12"/>
  <c r="J773" i="12"/>
  <c r="N776" i="12"/>
  <c r="J776" i="12"/>
  <c r="N768" i="12"/>
  <c r="N770" i="12"/>
  <c r="J770" i="12"/>
  <c r="N762" i="12"/>
  <c r="P762" i="12" s="1"/>
  <c r="S762" i="12" s="1"/>
  <c r="J762" i="12"/>
  <c r="N772" i="12"/>
  <c r="J772" i="12"/>
  <c r="AB771" i="12"/>
  <c r="N771" i="12"/>
  <c r="P771" i="12" s="1"/>
  <c r="S771" i="12" s="1"/>
  <c r="J771" i="12"/>
  <c r="N767" i="12"/>
  <c r="N769" i="12"/>
  <c r="N765" i="12"/>
  <c r="J765" i="12"/>
  <c r="N764" i="12"/>
  <c r="P764" i="12" s="1"/>
  <c r="S764" i="12" s="1"/>
  <c r="J764" i="12"/>
  <c r="N763" i="12"/>
  <c r="J763" i="12"/>
  <c r="N766" i="12"/>
  <c r="P766" i="12" s="1"/>
  <c r="S766" i="12" s="1"/>
  <c r="J766" i="12"/>
  <c r="N754" i="12"/>
  <c r="P754" i="12" s="1"/>
  <c r="S754" i="12" s="1"/>
  <c r="J754" i="12"/>
  <c r="N761" i="12"/>
  <c r="J761" i="12"/>
  <c r="N760" i="12"/>
  <c r="P760" i="12" s="1"/>
  <c r="S760" i="12" s="1"/>
  <c r="N759" i="12"/>
  <c r="N758" i="12"/>
  <c r="N757" i="12"/>
  <c r="P757" i="12" s="1"/>
  <c r="S757" i="12" s="1"/>
  <c r="N756" i="12"/>
  <c r="P756" i="12" s="1"/>
  <c r="S756" i="12" s="1"/>
  <c r="N755" i="12"/>
  <c r="P755" i="12" s="1"/>
  <c r="N753" i="12"/>
  <c r="J753" i="12"/>
  <c r="N752" i="12"/>
  <c r="P752" i="12" s="1"/>
  <c r="J752" i="12"/>
  <c r="N749" i="12"/>
  <c r="P749" i="12" s="1"/>
  <c r="J749" i="12"/>
  <c r="N742" i="12"/>
  <c r="J742" i="12"/>
  <c r="N750" i="12"/>
  <c r="J750" i="12"/>
  <c r="N744" i="12"/>
  <c r="N745" i="12"/>
  <c r="N746" i="12"/>
  <c r="N751" i="12"/>
  <c r="P751" i="12" s="1"/>
  <c r="J751" i="12"/>
  <c r="N748" i="12"/>
  <c r="P748" i="12" s="1"/>
  <c r="S748" i="12" s="1"/>
  <c r="J748" i="12"/>
  <c r="N747" i="12"/>
  <c r="P747" i="12" s="1"/>
  <c r="J747" i="12"/>
  <c r="N743" i="12"/>
  <c r="J743" i="12"/>
  <c r="N741" i="12"/>
  <c r="J741" i="12"/>
  <c r="N739" i="12"/>
  <c r="P739" i="12" s="1"/>
  <c r="J739" i="12"/>
  <c r="N740" i="12"/>
  <c r="J740" i="12"/>
  <c r="Q737" i="12"/>
  <c r="N737" i="12"/>
  <c r="J737" i="12"/>
  <c r="Q736" i="12"/>
  <c r="N736" i="12"/>
  <c r="J736" i="12"/>
  <c r="Q734" i="12"/>
  <c r="M734" i="12"/>
  <c r="N734" i="12" s="1"/>
  <c r="P734" i="12" s="1"/>
  <c r="J734" i="12"/>
  <c r="Q733" i="12"/>
  <c r="M733" i="12"/>
  <c r="N733" i="12" s="1"/>
  <c r="J733" i="12"/>
  <c r="Q738" i="12"/>
  <c r="N738" i="12"/>
  <c r="J738" i="12"/>
  <c r="Q735" i="12"/>
  <c r="N735" i="12"/>
  <c r="J735" i="12"/>
  <c r="N732" i="12"/>
  <c r="P732" i="12" s="1"/>
  <c r="N729" i="12"/>
  <c r="P729" i="12" s="1"/>
  <c r="M731" i="12"/>
  <c r="N731" i="12" s="1"/>
  <c r="P731" i="12" s="1"/>
  <c r="J731" i="12"/>
  <c r="M730" i="12"/>
  <c r="N730" i="12" s="1"/>
  <c r="J730" i="12"/>
  <c r="N728" i="12"/>
  <c r="J728" i="12"/>
  <c r="N726" i="12"/>
  <c r="J726" i="12"/>
  <c r="N727" i="12"/>
  <c r="P727" i="12" s="1"/>
  <c r="J727" i="12"/>
  <c r="H725" i="12"/>
  <c r="J725" i="12" s="1"/>
  <c r="H724" i="12"/>
  <c r="J724" i="12" s="1"/>
  <c r="N723" i="12"/>
  <c r="J723" i="12"/>
  <c r="N721" i="12"/>
  <c r="P721" i="12" s="1"/>
  <c r="J721" i="12"/>
  <c r="N719" i="12"/>
  <c r="P719" i="12" s="1"/>
  <c r="J719" i="12"/>
  <c r="N720" i="12"/>
  <c r="P720" i="12" s="1"/>
  <c r="S720" i="12" s="1"/>
  <c r="J720" i="12"/>
  <c r="N722" i="12"/>
  <c r="N716" i="12"/>
  <c r="J716" i="12"/>
  <c r="N718" i="12"/>
  <c r="J718" i="12"/>
  <c r="N717" i="12"/>
  <c r="P717" i="12" s="1"/>
  <c r="J717" i="12"/>
  <c r="N714" i="12"/>
  <c r="P714" i="12" s="1"/>
  <c r="J714" i="12"/>
  <c r="N715" i="12"/>
  <c r="J715" i="12"/>
  <c r="N712" i="12"/>
  <c r="J712" i="12"/>
  <c r="N713" i="12"/>
  <c r="P713" i="12" s="1"/>
  <c r="J713" i="12"/>
  <c r="N710" i="12"/>
  <c r="P710" i="12" s="1"/>
  <c r="S710" i="12" s="1"/>
  <c r="J710" i="12"/>
  <c r="N709" i="12"/>
  <c r="P709" i="12" s="1"/>
  <c r="J709" i="12"/>
  <c r="N711" i="12"/>
  <c r="P711" i="12" s="1"/>
  <c r="J711" i="12"/>
  <c r="Q708" i="12"/>
  <c r="N708" i="12"/>
  <c r="J708" i="12"/>
  <c r="N707" i="12"/>
  <c r="J707" i="12"/>
  <c r="N706" i="12"/>
  <c r="J706" i="12"/>
  <c r="N704" i="12"/>
  <c r="P704" i="12" s="1"/>
  <c r="J704" i="12"/>
  <c r="N705" i="12"/>
  <c r="P705" i="12" s="1"/>
  <c r="J705" i="12"/>
  <c r="N703" i="12"/>
  <c r="P703" i="12" s="1"/>
  <c r="J703" i="12"/>
  <c r="N702" i="12"/>
  <c r="J702" i="12"/>
  <c r="N697" i="12"/>
  <c r="P697" i="12" s="1"/>
  <c r="J697" i="12"/>
  <c r="N696" i="12"/>
  <c r="P696" i="12" s="1"/>
  <c r="J696" i="12"/>
  <c r="N699" i="12"/>
  <c r="J699" i="12"/>
  <c r="N698" i="12"/>
  <c r="P698" i="12" s="1"/>
  <c r="J698" i="12"/>
  <c r="N701" i="12"/>
  <c r="P701" i="12" s="1"/>
  <c r="J701" i="12"/>
  <c r="N700" i="12"/>
  <c r="P700" i="12" s="1"/>
  <c r="S700" i="12" s="1"/>
  <c r="J700" i="12"/>
  <c r="N693" i="12"/>
  <c r="J693" i="12"/>
  <c r="N695" i="12"/>
  <c r="N694" i="12"/>
  <c r="J694" i="12"/>
  <c r="N689" i="12"/>
  <c r="P689" i="12" s="1"/>
  <c r="J689" i="12"/>
  <c r="N687" i="12"/>
  <c r="J687" i="12"/>
  <c r="N691" i="12"/>
  <c r="J691" i="12"/>
  <c r="N690" i="12"/>
  <c r="P690" i="12" s="1"/>
  <c r="J690" i="12"/>
  <c r="N692" i="12"/>
  <c r="J692" i="12"/>
  <c r="N688" i="12"/>
  <c r="J688" i="12"/>
  <c r="N686" i="12"/>
  <c r="P686" i="12" s="1"/>
  <c r="J686" i="12"/>
  <c r="N684" i="12"/>
  <c r="P684" i="12" s="1"/>
  <c r="S684" i="12" s="1"/>
  <c r="J684" i="12"/>
  <c r="N685" i="12"/>
  <c r="P685" i="12" s="1"/>
  <c r="S685" i="12" s="1"/>
  <c r="J685" i="12"/>
  <c r="N681" i="12"/>
  <c r="P681" i="12" s="1"/>
  <c r="J681" i="12"/>
  <c r="N683" i="12"/>
  <c r="J683" i="12"/>
  <c r="N682" i="12"/>
  <c r="N680" i="12"/>
  <c r="P680" i="12" s="1"/>
  <c r="J680" i="12"/>
  <c r="N669" i="12"/>
  <c r="J669" i="12"/>
  <c r="N670" i="12"/>
  <c r="P670" i="12" s="1"/>
  <c r="J670" i="12"/>
  <c r="N671" i="12"/>
  <c r="P671" i="12" s="1"/>
  <c r="J671" i="12"/>
  <c r="N666" i="12"/>
  <c r="P666" i="12" s="1"/>
  <c r="J666" i="12"/>
  <c r="N665" i="12"/>
  <c r="J665" i="12"/>
  <c r="N672" i="12"/>
  <c r="P672" i="12" s="1"/>
  <c r="J672" i="12"/>
  <c r="N674" i="12"/>
  <c r="J674" i="12"/>
  <c r="N673" i="12"/>
  <c r="J673" i="12"/>
  <c r="N667" i="12"/>
  <c r="P667" i="12" s="1"/>
  <c r="J667" i="12"/>
  <c r="N675" i="12"/>
  <c r="P675" i="12" s="1"/>
  <c r="S675" i="12" s="1"/>
  <c r="J675" i="12"/>
  <c r="N668" i="12"/>
  <c r="P668" i="12" s="1"/>
  <c r="J668" i="12"/>
  <c r="N676" i="12"/>
  <c r="J676" i="12"/>
  <c r="N677" i="12"/>
  <c r="J677" i="12"/>
  <c r="N679" i="12"/>
  <c r="J679" i="12"/>
  <c r="N678" i="12"/>
  <c r="J678" i="12"/>
  <c r="N663" i="12"/>
  <c r="P663" i="12" s="1"/>
  <c r="J663" i="12"/>
  <c r="N662" i="12"/>
  <c r="P662" i="12" s="1"/>
  <c r="S662" i="12" s="1"/>
  <c r="J662" i="12"/>
  <c r="N661" i="12"/>
  <c r="P661" i="12" s="1"/>
  <c r="J661" i="12"/>
  <c r="N660" i="12"/>
  <c r="J660" i="12"/>
  <c r="N664" i="12"/>
  <c r="P664" i="12" s="1"/>
  <c r="J664" i="12"/>
  <c r="Q657" i="12"/>
  <c r="N657" i="12"/>
  <c r="J657" i="12"/>
  <c r="N656" i="12"/>
  <c r="P656" i="12" s="1"/>
  <c r="J656" i="12"/>
  <c r="N658" i="12"/>
  <c r="J658" i="12"/>
  <c r="N659" i="12"/>
  <c r="P659" i="12" s="1"/>
  <c r="S659" i="12" s="1"/>
  <c r="N654" i="12"/>
  <c r="J654" i="12"/>
  <c r="N655" i="12"/>
  <c r="J655" i="12"/>
  <c r="N653" i="12"/>
  <c r="J653" i="12"/>
  <c r="N652" i="12"/>
  <c r="J652" i="12"/>
  <c r="Q650" i="12"/>
  <c r="N650" i="12"/>
  <c r="P650" i="12" s="1"/>
  <c r="J650" i="12"/>
  <c r="N649" i="12"/>
  <c r="J649" i="12"/>
  <c r="N651" i="12"/>
  <c r="J651" i="12"/>
  <c r="N648" i="12"/>
  <c r="P648" i="12" s="1"/>
  <c r="J648" i="12"/>
  <c r="N643" i="12"/>
  <c r="J643" i="12"/>
  <c r="N642" i="12"/>
  <c r="J642" i="12"/>
  <c r="N644" i="12"/>
  <c r="N647" i="12"/>
  <c r="J647" i="12"/>
  <c r="N645" i="12"/>
  <c r="P645" i="12" s="1"/>
  <c r="S645" i="12" s="1"/>
  <c r="J645" i="12"/>
  <c r="N646" i="12"/>
  <c r="P646" i="12" s="1"/>
  <c r="S646" i="12" s="1"/>
  <c r="J646" i="12"/>
  <c r="N641" i="12"/>
  <c r="J641" i="12"/>
  <c r="N640" i="12"/>
  <c r="P640" i="12" s="1"/>
  <c r="S640" i="12" s="1"/>
  <c r="J640" i="12"/>
  <c r="N639" i="12"/>
  <c r="J639" i="12"/>
  <c r="N635" i="12"/>
  <c r="J635" i="12"/>
  <c r="N634" i="12"/>
  <c r="J634" i="12"/>
  <c r="N623" i="12"/>
  <c r="P623" i="12" s="1"/>
  <c r="S623" i="12" s="1"/>
  <c r="J623" i="12"/>
  <c r="N632" i="12"/>
  <c r="J632" i="12"/>
  <c r="N631" i="12"/>
  <c r="P631" i="12" s="1"/>
  <c r="J631" i="12"/>
  <c r="N630" i="12"/>
  <c r="P630" i="12" s="1"/>
  <c r="S630" i="12" s="1"/>
  <c r="J630" i="12"/>
  <c r="N629" i="12"/>
  <c r="J629" i="12"/>
  <c r="N628" i="12"/>
  <c r="J628" i="12"/>
  <c r="N626" i="12"/>
  <c r="P626" i="12" s="1"/>
  <c r="S626" i="12" s="1"/>
  <c r="J626" i="12"/>
  <c r="N625" i="12"/>
  <c r="J625" i="12"/>
  <c r="N624" i="12"/>
  <c r="J624" i="12"/>
  <c r="N637" i="12"/>
  <c r="P637" i="12" s="1"/>
  <c r="S637" i="12" s="1"/>
  <c r="J637" i="12"/>
  <c r="N636" i="12"/>
  <c r="J636" i="12"/>
  <c r="N633" i="12"/>
  <c r="P633" i="12" s="1"/>
  <c r="J633" i="12"/>
  <c r="N627" i="12"/>
  <c r="P627" i="12" s="1"/>
  <c r="S627" i="12" s="1"/>
  <c r="J627" i="12"/>
  <c r="N638" i="12"/>
  <c r="J638" i="12"/>
  <c r="M622" i="12"/>
  <c r="N622" i="12" s="1"/>
  <c r="J622" i="12"/>
  <c r="M621" i="12"/>
  <c r="N621" i="12" s="1"/>
  <c r="J621" i="12"/>
  <c r="N620" i="12"/>
  <c r="P620" i="12" s="1"/>
  <c r="J620" i="12"/>
  <c r="N619" i="12"/>
  <c r="J619" i="12"/>
  <c r="N618" i="12"/>
  <c r="J618" i="12"/>
  <c r="N617" i="12"/>
  <c r="J617" i="12"/>
  <c r="N613" i="12"/>
  <c r="N612" i="12"/>
  <c r="P612" i="12" s="1"/>
  <c r="N615" i="12"/>
  <c r="P615" i="12" s="1"/>
  <c r="J615" i="12"/>
  <c r="N605" i="12"/>
  <c r="P605" i="12" s="1"/>
  <c r="S605" i="12" s="1"/>
  <c r="J605" i="12"/>
  <c r="N608" i="12"/>
  <c r="P608" i="12" s="1"/>
  <c r="J608" i="12"/>
  <c r="N607" i="12"/>
  <c r="P607" i="12" s="1"/>
  <c r="S607" i="12" s="1"/>
  <c r="J607" i="12"/>
  <c r="N606" i="12"/>
  <c r="P606" i="12" s="1"/>
  <c r="S606" i="12" s="1"/>
  <c r="J606" i="12"/>
  <c r="N616" i="12"/>
  <c r="J616" i="12"/>
  <c r="N614" i="12"/>
  <c r="J614" i="12"/>
  <c r="N610" i="12"/>
  <c r="J610" i="12"/>
  <c r="N609" i="12"/>
  <c r="P609" i="12" s="1"/>
  <c r="J609" i="12"/>
  <c r="N611" i="12"/>
  <c r="J611" i="12"/>
  <c r="N604" i="12"/>
  <c r="P604" i="12" s="1"/>
  <c r="J604" i="12"/>
  <c r="N603" i="12"/>
  <c r="J603" i="12"/>
  <c r="N602" i="12"/>
  <c r="P602" i="12" s="1"/>
  <c r="S602" i="12" s="1"/>
  <c r="J602" i="12"/>
  <c r="N601" i="12"/>
  <c r="J601" i="12"/>
  <c r="N597" i="12"/>
  <c r="P597" i="12" s="1"/>
  <c r="J597" i="12"/>
  <c r="N600" i="12"/>
  <c r="P600" i="12" s="1"/>
  <c r="S600" i="12" s="1"/>
  <c r="J600" i="12"/>
  <c r="N599" i="12"/>
  <c r="J599" i="12"/>
  <c r="N598" i="12"/>
  <c r="P598" i="12" s="1"/>
  <c r="J598" i="12"/>
  <c r="M596" i="12"/>
  <c r="N596" i="12" s="1"/>
  <c r="Q595" i="12"/>
  <c r="N595" i="12"/>
  <c r="P595" i="12" s="1"/>
  <c r="N594" i="12"/>
  <c r="J594" i="12"/>
  <c r="N593" i="12"/>
  <c r="P593" i="12" s="1"/>
  <c r="J593" i="12"/>
  <c r="N592" i="12"/>
  <c r="P592" i="12" s="1"/>
  <c r="S592" i="12" s="1"/>
  <c r="J592" i="12"/>
  <c r="N586" i="12"/>
  <c r="J586" i="12"/>
  <c r="Q591" i="12"/>
  <c r="N591" i="12"/>
  <c r="P591" i="12" s="1"/>
  <c r="J591" i="12"/>
  <c r="N590" i="12"/>
  <c r="P590" i="12" s="1"/>
  <c r="J590" i="12"/>
  <c r="N589" i="12"/>
  <c r="J589" i="12"/>
  <c r="N588" i="12"/>
  <c r="J588" i="12"/>
  <c r="N587" i="12"/>
  <c r="P587" i="12" s="1"/>
  <c r="S587" i="12" s="1"/>
  <c r="N575" i="12"/>
  <c r="N574" i="12"/>
  <c r="J574" i="12"/>
  <c r="N573" i="12"/>
  <c r="J573" i="12"/>
  <c r="N572" i="12"/>
  <c r="P572" i="12" s="1"/>
  <c r="J572" i="12"/>
  <c r="N571" i="12"/>
  <c r="P571" i="12" s="1"/>
  <c r="J571" i="12"/>
  <c r="N570" i="12"/>
  <c r="P570" i="12" s="1"/>
  <c r="J570" i="12"/>
  <c r="N569" i="12"/>
  <c r="J569" i="12"/>
  <c r="N567" i="12"/>
  <c r="J567" i="12"/>
  <c r="Q568" i="12"/>
  <c r="N568" i="12"/>
  <c r="P568" i="12" s="1"/>
  <c r="J568" i="12"/>
  <c r="N585" i="12"/>
  <c r="N584" i="12"/>
  <c r="P584" i="12" s="1"/>
  <c r="J584" i="12"/>
  <c r="N583" i="12"/>
  <c r="P583" i="12" s="1"/>
  <c r="J583" i="12"/>
  <c r="N582" i="12"/>
  <c r="J582" i="12"/>
  <c r="N581" i="12"/>
  <c r="J581" i="12"/>
  <c r="N580" i="12"/>
  <c r="P580" i="12" s="1"/>
  <c r="J580" i="12"/>
  <c r="N579" i="12"/>
  <c r="J579" i="12"/>
  <c r="N578" i="12"/>
  <c r="P578" i="12" s="1"/>
  <c r="J578" i="12"/>
  <c r="N577" i="12"/>
  <c r="N576" i="12"/>
  <c r="P576" i="12" s="1"/>
  <c r="J576" i="12"/>
  <c r="N564" i="12"/>
  <c r="P564" i="12" s="1"/>
  <c r="S564" i="12" s="1"/>
  <c r="J564" i="12"/>
  <c r="N566" i="12"/>
  <c r="P566" i="12" s="1"/>
  <c r="J566" i="12"/>
  <c r="N565" i="12"/>
  <c r="J565" i="12"/>
  <c r="M563" i="12"/>
  <c r="N563" i="12" s="1"/>
  <c r="J563" i="12"/>
  <c r="N562" i="12"/>
  <c r="P562" i="12" s="1"/>
  <c r="S562" i="12" s="1"/>
  <c r="J562" i="12"/>
  <c r="N561" i="12"/>
  <c r="J561" i="12"/>
  <c r="N557" i="12"/>
  <c r="J557" i="12"/>
  <c r="N556" i="12"/>
  <c r="P556" i="12" s="1"/>
  <c r="S556" i="12" s="1"/>
  <c r="J556" i="12"/>
  <c r="N560" i="12"/>
  <c r="P560" i="12" s="1"/>
  <c r="S560" i="12" s="1"/>
  <c r="J560" i="12"/>
  <c r="N559" i="12"/>
  <c r="J559" i="12"/>
  <c r="N558" i="12"/>
  <c r="P558" i="12" s="1"/>
  <c r="S558" i="12" s="1"/>
  <c r="J558" i="12"/>
  <c r="Q555" i="12"/>
  <c r="N555" i="12"/>
  <c r="J555" i="12"/>
  <c r="N554" i="12"/>
  <c r="P554" i="12" s="1"/>
  <c r="S554" i="12" s="1"/>
  <c r="J554" i="12"/>
  <c r="M553" i="12"/>
  <c r="N553" i="12" s="1"/>
  <c r="N545" i="12"/>
  <c r="P545" i="12" s="1"/>
  <c r="J545" i="12"/>
  <c r="N544" i="12"/>
  <c r="P544" i="12" s="1"/>
  <c r="J544" i="12"/>
  <c r="N543" i="12"/>
  <c r="J543" i="12"/>
  <c r="N542" i="12"/>
  <c r="J542" i="12"/>
  <c r="N541" i="12"/>
  <c r="J541" i="12"/>
  <c r="N540" i="12"/>
  <c r="P540" i="12" s="1"/>
  <c r="J540" i="12"/>
  <c r="N539" i="12"/>
  <c r="P539" i="12" s="1"/>
  <c r="J539" i="12"/>
  <c r="N538" i="12"/>
  <c r="J538" i="12"/>
  <c r="N537" i="12"/>
  <c r="J537" i="12"/>
  <c r="N546" i="12"/>
  <c r="J546" i="12"/>
  <c r="N552" i="12"/>
  <c r="P552" i="12" s="1"/>
  <c r="J552" i="12"/>
  <c r="N547" i="12"/>
  <c r="P547" i="12" s="1"/>
  <c r="J547" i="12"/>
  <c r="N551" i="12"/>
  <c r="J551" i="12"/>
  <c r="N550" i="12"/>
  <c r="N549" i="12"/>
  <c r="J549" i="12"/>
  <c r="N548" i="12"/>
  <c r="P548" i="12" s="1"/>
  <c r="S548" i="12" s="1"/>
  <c r="J548" i="12"/>
  <c r="N536" i="12"/>
  <c r="J536" i="12"/>
  <c r="N535" i="12"/>
  <c r="N533" i="12"/>
  <c r="P533" i="12" s="1"/>
  <c r="S533" i="12" s="1"/>
  <c r="J533" i="12"/>
  <c r="N534" i="12"/>
  <c r="J534" i="12"/>
  <c r="N532" i="12"/>
  <c r="J532" i="12"/>
  <c r="N526" i="12"/>
  <c r="P526" i="12" s="1"/>
  <c r="S526" i="12" s="1"/>
  <c r="J526" i="12"/>
  <c r="N525" i="12"/>
  <c r="J525" i="12"/>
  <c r="N524" i="12"/>
  <c r="J524" i="12"/>
  <c r="Q523" i="12"/>
  <c r="N523" i="12"/>
  <c r="P523" i="12" s="1"/>
  <c r="J523" i="12"/>
  <c r="N528" i="12"/>
  <c r="Q527" i="12"/>
  <c r="N527" i="12"/>
  <c r="J527" i="12"/>
  <c r="N530" i="12"/>
  <c r="J530" i="12"/>
  <c r="N529" i="12"/>
  <c r="J529" i="12"/>
  <c r="N531" i="12"/>
  <c r="P531" i="12" s="1"/>
  <c r="S531" i="12" s="1"/>
  <c r="J531" i="12"/>
  <c r="N522" i="12"/>
  <c r="J522" i="12"/>
  <c r="N521" i="12"/>
  <c r="P521" i="12" s="1"/>
  <c r="J521" i="12"/>
  <c r="N520" i="12"/>
  <c r="J520" i="12"/>
  <c r="N519" i="12"/>
  <c r="J519" i="12"/>
  <c r="N518" i="12"/>
  <c r="P518" i="12" s="1"/>
  <c r="S518" i="12" s="1"/>
  <c r="J518" i="12"/>
  <c r="N516" i="12"/>
  <c r="J516" i="12"/>
  <c r="N517" i="12"/>
  <c r="J517" i="12"/>
  <c r="N515" i="12"/>
  <c r="P515" i="12" s="1"/>
  <c r="J515" i="12"/>
  <c r="N514" i="12"/>
  <c r="P514" i="12" s="1"/>
  <c r="N513" i="12"/>
  <c r="N512" i="12"/>
  <c r="P512" i="12" s="1"/>
  <c r="J512" i="12"/>
  <c r="N511" i="12"/>
  <c r="J511" i="12"/>
  <c r="N510" i="12"/>
  <c r="J510" i="12"/>
  <c r="N509" i="12"/>
  <c r="J509" i="12"/>
  <c r="N508" i="12"/>
  <c r="P508" i="12" s="1"/>
  <c r="J508" i="12"/>
  <c r="N507" i="12"/>
  <c r="J507" i="12"/>
  <c r="N505" i="12"/>
  <c r="P505" i="12" s="1"/>
  <c r="J505" i="12"/>
  <c r="N504" i="12"/>
  <c r="J504" i="12"/>
  <c r="N506" i="12"/>
  <c r="J506" i="12"/>
  <c r="N502" i="12"/>
  <c r="P502" i="12" s="1"/>
  <c r="J502" i="12"/>
  <c r="N499" i="12"/>
  <c r="J499" i="12"/>
  <c r="M503" i="12"/>
  <c r="N503" i="12" s="1"/>
  <c r="J503" i="12"/>
  <c r="N501" i="12"/>
  <c r="J501" i="12"/>
  <c r="M500" i="12"/>
  <c r="N500" i="12" s="1"/>
  <c r="J500" i="12"/>
  <c r="N498" i="12"/>
  <c r="P498" i="12" s="1"/>
  <c r="J498" i="12"/>
  <c r="N496" i="12"/>
  <c r="P496" i="12" s="1"/>
  <c r="J496" i="12"/>
  <c r="N495" i="12"/>
  <c r="P495" i="12" s="1"/>
  <c r="S495" i="12" s="1"/>
  <c r="J495" i="12"/>
  <c r="N494" i="12"/>
  <c r="P494" i="12" s="1"/>
  <c r="J494" i="12"/>
  <c r="N497" i="12"/>
  <c r="P497" i="12" s="1"/>
  <c r="J497" i="12"/>
  <c r="Q493" i="12"/>
  <c r="N493" i="12"/>
  <c r="P493" i="12" s="1"/>
  <c r="J493" i="12"/>
  <c r="N492" i="12"/>
  <c r="P492" i="12" s="1"/>
  <c r="J492" i="12"/>
  <c r="N491" i="12"/>
  <c r="P491" i="12" s="1"/>
  <c r="J491" i="12"/>
  <c r="N490" i="12"/>
  <c r="P490" i="12" s="1"/>
  <c r="S490" i="12" s="1"/>
  <c r="J490" i="12"/>
  <c r="N489" i="12"/>
  <c r="J489" i="12"/>
  <c r="N488" i="12"/>
  <c r="J488" i="12"/>
  <c r="N487" i="12"/>
  <c r="J487" i="12"/>
  <c r="N484" i="12"/>
  <c r="P484" i="12" s="1"/>
  <c r="J484" i="12"/>
  <c r="N485" i="12"/>
  <c r="P485" i="12" s="1"/>
  <c r="S485" i="12" s="1"/>
  <c r="J485" i="12"/>
  <c r="N486" i="12"/>
  <c r="P486" i="12" s="1"/>
  <c r="J486" i="12"/>
  <c r="N483" i="12"/>
  <c r="J483" i="12"/>
  <c r="N482" i="12"/>
  <c r="J482" i="12"/>
  <c r="Q481" i="12"/>
  <c r="N481" i="12"/>
  <c r="P481" i="12" s="1"/>
  <c r="J481" i="12"/>
  <c r="N477" i="12"/>
  <c r="P477" i="12" s="1"/>
  <c r="J477" i="12"/>
  <c r="N996" i="12"/>
  <c r="P996" i="12" s="1"/>
  <c r="S996" i="12" s="1"/>
  <c r="J996" i="12"/>
  <c r="N480" i="12"/>
  <c r="J480" i="12"/>
  <c r="N479" i="12"/>
  <c r="J479" i="12"/>
  <c r="N478" i="12"/>
  <c r="J478" i="12"/>
  <c r="N476" i="12"/>
  <c r="J476" i="12"/>
  <c r="N473" i="12"/>
  <c r="J473" i="12"/>
  <c r="N472" i="12"/>
  <c r="J472" i="12"/>
  <c r="AB471" i="12"/>
  <c r="N471" i="12"/>
  <c r="N470" i="12"/>
  <c r="N469" i="12"/>
  <c r="P469" i="12" s="1"/>
  <c r="S469" i="12" s="1"/>
  <c r="N468" i="12"/>
  <c r="P468" i="12" s="1"/>
  <c r="N467" i="12"/>
  <c r="N466" i="12"/>
  <c r="P466" i="12" s="1"/>
  <c r="S466" i="12" s="1"/>
  <c r="N464" i="12"/>
  <c r="J464" i="12"/>
  <c r="N463" i="12"/>
  <c r="J463" i="12"/>
  <c r="N474" i="12"/>
  <c r="P474" i="12" s="1"/>
  <c r="S474" i="12" s="1"/>
  <c r="J474" i="12"/>
  <c r="N475" i="12"/>
  <c r="J475" i="12"/>
  <c r="N465" i="12"/>
  <c r="J465" i="12"/>
  <c r="N462" i="12"/>
  <c r="P462" i="12" s="1"/>
  <c r="S462" i="12" s="1"/>
  <c r="J462" i="12"/>
  <c r="N461" i="12"/>
  <c r="P461" i="12" s="1"/>
  <c r="N459" i="12"/>
  <c r="J459" i="12"/>
  <c r="N460" i="12"/>
  <c r="P460" i="12" s="1"/>
  <c r="S460" i="12" s="1"/>
  <c r="J460" i="12"/>
  <c r="N456" i="12"/>
  <c r="P456" i="12" s="1"/>
  <c r="N455" i="12"/>
  <c r="J455" i="12"/>
  <c r="N454" i="12"/>
  <c r="P454" i="12" s="1"/>
  <c r="S454" i="12" s="1"/>
  <c r="J454" i="12"/>
  <c r="N453" i="12"/>
  <c r="J453" i="12"/>
  <c r="N452" i="12"/>
  <c r="J452" i="12"/>
  <c r="N458" i="12"/>
  <c r="P458" i="12" s="1"/>
  <c r="S458" i="12" s="1"/>
  <c r="J458" i="12"/>
  <c r="N457" i="12"/>
  <c r="P457" i="12" s="1"/>
  <c r="Q449" i="12"/>
  <c r="N449" i="12"/>
  <c r="P449" i="12" s="1"/>
  <c r="J449" i="12"/>
  <c r="N451" i="12"/>
  <c r="P451" i="12" s="1"/>
  <c r="S451" i="12" s="1"/>
  <c r="J451" i="12"/>
  <c r="N450" i="12"/>
  <c r="J450" i="12"/>
  <c r="N448" i="12"/>
  <c r="J448" i="12"/>
  <c r="N447" i="12"/>
  <c r="P447" i="12" s="1"/>
  <c r="S447" i="12" s="1"/>
  <c r="J447" i="12"/>
  <c r="N446" i="12"/>
  <c r="J446" i="12"/>
  <c r="N445" i="12"/>
  <c r="J445" i="12"/>
  <c r="N444" i="12"/>
  <c r="P444" i="12" s="1"/>
  <c r="J444" i="12"/>
  <c r="N443" i="12"/>
  <c r="P443" i="12" s="1"/>
  <c r="J443" i="12"/>
  <c r="Q442" i="12"/>
  <c r="N442" i="12"/>
  <c r="P442" i="12" s="1"/>
  <c r="J442" i="12"/>
  <c r="N439" i="12"/>
  <c r="J439" i="12"/>
  <c r="N438" i="12"/>
  <c r="P438" i="12" s="1"/>
  <c r="S438" i="12" s="1"/>
  <c r="J438" i="12"/>
  <c r="M437" i="12"/>
  <c r="N437" i="12" s="1"/>
  <c r="P437" i="12" s="1"/>
  <c r="S437" i="12" s="1"/>
  <c r="J437" i="12"/>
  <c r="M436" i="12"/>
  <c r="N436" i="12" s="1"/>
  <c r="P436" i="12" s="1"/>
  <c r="J436" i="12"/>
  <c r="N441" i="12"/>
  <c r="P441" i="12" s="1"/>
  <c r="S441" i="12" s="1"/>
  <c r="N440" i="12"/>
  <c r="P440" i="12" s="1"/>
  <c r="N435" i="12"/>
  <c r="P435" i="12" s="1"/>
  <c r="S435" i="12" s="1"/>
  <c r="J435" i="12"/>
  <c r="N434" i="12"/>
  <c r="P434" i="12" s="1"/>
  <c r="J434" i="12"/>
  <c r="N433" i="12"/>
  <c r="P433" i="12" s="1"/>
  <c r="J433" i="12"/>
  <c r="N432" i="12"/>
  <c r="J432" i="12"/>
  <c r="M431" i="12"/>
  <c r="N431" i="12" s="1"/>
  <c r="P431" i="12" s="1"/>
  <c r="S431" i="12" s="1"/>
  <c r="J431" i="12"/>
  <c r="N430" i="12"/>
  <c r="P430" i="12" s="1"/>
  <c r="J430" i="12"/>
  <c r="N429" i="12"/>
  <c r="J429" i="12"/>
  <c r="N428" i="12"/>
  <c r="P428" i="12" s="1"/>
  <c r="S428" i="12" s="1"/>
  <c r="J428" i="12"/>
  <c r="N427" i="12"/>
  <c r="P427" i="12" s="1"/>
  <c r="J427" i="12"/>
  <c r="N426" i="12"/>
  <c r="P426" i="12" s="1"/>
  <c r="M425" i="12"/>
  <c r="N425" i="12" s="1"/>
  <c r="P425" i="12" s="1"/>
  <c r="S425" i="12" s="1"/>
  <c r="J425" i="12"/>
  <c r="N424" i="12"/>
  <c r="J424" i="12"/>
  <c r="N423" i="12"/>
  <c r="J423" i="12"/>
  <c r="N422" i="12"/>
  <c r="J422" i="12"/>
  <c r="N421" i="12"/>
  <c r="J421" i="12"/>
  <c r="N420" i="12"/>
  <c r="J420" i="12"/>
  <c r="N419" i="12"/>
  <c r="J419" i="12"/>
  <c r="N418" i="12"/>
  <c r="J418" i="12"/>
  <c r="Q417" i="12"/>
  <c r="N417" i="12"/>
  <c r="P417" i="12" s="1"/>
  <c r="J417" i="12"/>
  <c r="N413" i="12"/>
  <c r="J413" i="12"/>
  <c r="N414" i="12"/>
  <c r="P414" i="12" s="1"/>
  <c r="N416" i="12"/>
  <c r="P416" i="12" s="1"/>
  <c r="N412" i="12"/>
  <c r="J412" i="12"/>
  <c r="N415" i="12"/>
  <c r="J415" i="12"/>
  <c r="Q410" i="12"/>
  <c r="N410" i="12"/>
  <c r="J410" i="12"/>
  <c r="N409" i="12"/>
  <c r="P409" i="12" s="1"/>
  <c r="S409" i="12" s="1"/>
  <c r="J409" i="12"/>
  <c r="N411" i="12"/>
  <c r="N408" i="12"/>
  <c r="P408" i="12" s="1"/>
  <c r="N407" i="12"/>
  <c r="P407" i="12" s="1"/>
  <c r="S407" i="12" s="1"/>
  <c r="N406" i="12"/>
  <c r="J406" i="12"/>
  <c r="N405" i="12"/>
  <c r="J405" i="12"/>
  <c r="N404" i="12"/>
  <c r="P404" i="12" s="1"/>
  <c r="S404" i="12" s="1"/>
  <c r="J404" i="12"/>
  <c r="Q403" i="12"/>
  <c r="N403" i="12"/>
  <c r="P403" i="12" s="1"/>
  <c r="J403" i="12"/>
  <c r="N402" i="12"/>
  <c r="P402" i="12" s="1"/>
  <c r="S402" i="12" s="1"/>
  <c r="J402" i="12"/>
  <c r="N400" i="12"/>
  <c r="P400" i="12" s="1"/>
  <c r="S400" i="12" s="1"/>
  <c r="J400" i="12"/>
  <c r="N401" i="12"/>
  <c r="J401" i="12"/>
  <c r="N396" i="12"/>
  <c r="P396" i="12" s="1"/>
  <c r="J396" i="12"/>
  <c r="N399" i="12"/>
  <c r="P399" i="12" s="1"/>
  <c r="S399" i="12" s="1"/>
  <c r="J399" i="12"/>
  <c r="N398" i="12"/>
  <c r="H397" i="12"/>
  <c r="N397" i="12" s="1"/>
  <c r="Q395" i="12"/>
  <c r="N395" i="12"/>
  <c r="P395" i="12" s="1"/>
  <c r="J395" i="12"/>
  <c r="Q394" i="12"/>
  <c r="N394" i="12"/>
  <c r="P394" i="12" s="1"/>
  <c r="J394" i="12"/>
  <c r="N392" i="12"/>
  <c r="P392" i="12" s="1"/>
  <c r="S392" i="12" s="1"/>
  <c r="Q393" i="12"/>
  <c r="N393" i="12"/>
  <c r="J393" i="12"/>
  <c r="N391" i="12"/>
  <c r="J391" i="12"/>
  <c r="N389" i="12"/>
  <c r="J389" i="12"/>
  <c r="N388" i="12"/>
  <c r="P388" i="12" s="1"/>
  <c r="J388" i="12"/>
  <c r="Q390" i="12"/>
  <c r="N390" i="12"/>
  <c r="P390" i="12" s="1"/>
  <c r="J390" i="12"/>
  <c r="N387" i="12"/>
  <c r="P387" i="12" s="1"/>
  <c r="J387" i="12"/>
  <c r="N386" i="12"/>
  <c r="J386" i="12"/>
  <c r="N385" i="12"/>
  <c r="P385" i="12" s="1"/>
  <c r="S385" i="12" s="1"/>
  <c r="J385" i="12"/>
  <c r="N384" i="12"/>
  <c r="J384" i="12"/>
  <c r="N379" i="12"/>
  <c r="N374" i="12"/>
  <c r="N383" i="12"/>
  <c r="J383" i="12"/>
  <c r="N382" i="12"/>
  <c r="J382" i="12"/>
  <c r="N381" i="12"/>
  <c r="J381" i="12"/>
  <c r="N378" i="12"/>
  <c r="P378" i="12" s="1"/>
  <c r="N377" i="12"/>
  <c r="N376" i="12"/>
  <c r="P376" i="12" s="1"/>
  <c r="S376" i="12" s="1"/>
  <c r="N375" i="12"/>
  <c r="P375" i="12" s="1"/>
  <c r="N380" i="12"/>
  <c r="P380" i="12" s="1"/>
  <c r="J380" i="12"/>
  <c r="N373" i="12"/>
  <c r="J373" i="12"/>
  <c r="N372" i="12"/>
  <c r="P372" i="12" s="1"/>
  <c r="J372" i="12"/>
  <c r="N369" i="12"/>
  <c r="J369" i="12"/>
  <c r="N371" i="12"/>
  <c r="J371" i="12"/>
  <c r="N368" i="12"/>
  <c r="J368" i="12"/>
  <c r="N370" i="12"/>
  <c r="J370" i="12"/>
  <c r="N367" i="12"/>
  <c r="J367" i="12"/>
  <c r="N366" i="12"/>
  <c r="P366" i="12" s="1"/>
  <c r="J366" i="12"/>
  <c r="N365" i="12"/>
  <c r="P365" i="12" s="1"/>
  <c r="N364" i="12"/>
  <c r="N363" i="12"/>
  <c r="N361" i="12"/>
  <c r="P361" i="12" s="1"/>
  <c r="S361" i="12" s="1"/>
  <c r="J361" i="12"/>
  <c r="N360" i="12"/>
  <c r="J360" i="12"/>
  <c r="N359" i="12"/>
  <c r="N362" i="12"/>
  <c r="P362" i="12" s="1"/>
  <c r="S362" i="12" s="1"/>
  <c r="I362" i="12"/>
  <c r="J362" i="12" s="1"/>
  <c r="N356" i="12"/>
  <c r="P356" i="12" s="1"/>
  <c r="S356" i="12" s="1"/>
  <c r="N355" i="12"/>
  <c r="P355" i="12" s="1"/>
  <c r="S355" i="12" s="1"/>
  <c r="N357" i="12"/>
  <c r="P357" i="12" s="1"/>
  <c r="S357" i="12" s="1"/>
  <c r="N354" i="12"/>
  <c r="P354" i="12" s="1"/>
  <c r="S354" i="12" s="1"/>
  <c r="J354" i="12"/>
  <c r="N358" i="12"/>
  <c r="P358" i="12" s="1"/>
  <c r="S358" i="12" s="1"/>
  <c r="I358" i="12"/>
  <c r="J358" i="12" s="1"/>
  <c r="Q348" i="12"/>
  <c r="N348" i="12"/>
  <c r="P348" i="12" s="1"/>
  <c r="Q346" i="12"/>
  <c r="N346" i="12"/>
  <c r="N349" i="12"/>
  <c r="N350" i="12"/>
  <c r="P350" i="12" s="1"/>
  <c r="S350" i="12" s="1"/>
  <c r="J350" i="12"/>
  <c r="N351" i="12"/>
  <c r="Q353" i="12"/>
  <c r="N353" i="12"/>
  <c r="J353" i="12"/>
  <c r="Q352" i="12"/>
  <c r="N352" i="12"/>
  <c r="J352" i="12"/>
  <c r="Q347" i="12"/>
  <c r="N347" i="12"/>
  <c r="P347" i="12" s="1"/>
  <c r="Q345" i="12"/>
  <c r="N345" i="12"/>
  <c r="P345" i="12" s="1"/>
  <c r="N343" i="12"/>
  <c r="J343" i="12"/>
  <c r="N344" i="12"/>
  <c r="J344" i="12"/>
  <c r="N341" i="12"/>
  <c r="J341" i="12"/>
  <c r="N342" i="12"/>
  <c r="P342" i="12" s="1"/>
  <c r="N340" i="12"/>
  <c r="P340" i="12" s="1"/>
  <c r="S340" i="12" s="1"/>
  <c r="J340" i="12"/>
  <c r="N339" i="12"/>
  <c r="N334" i="12"/>
  <c r="J334" i="12"/>
  <c r="N338" i="12"/>
  <c r="J338" i="12"/>
  <c r="N332" i="12"/>
  <c r="J332" i="12"/>
  <c r="N337" i="12"/>
  <c r="P337" i="12" s="1"/>
  <c r="S337" i="12" s="1"/>
  <c r="J337" i="12"/>
  <c r="N336" i="12"/>
  <c r="J336" i="12"/>
  <c r="N335" i="12"/>
  <c r="J335" i="12"/>
  <c r="N333" i="12"/>
  <c r="J333" i="12"/>
  <c r="N330" i="12"/>
  <c r="J330" i="12"/>
  <c r="H331" i="12"/>
  <c r="N331" i="12" s="1"/>
  <c r="N326" i="12"/>
  <c r="P326" i="12" s="1"/>
  <c r="J326" i="12"/>
  <c r="N325" i="12"/>
  <c r="P325" i="12" s="1"/>
  <c r="S325" i="12" s="1"/>
  <c r="J325" i="12"/>
  <c r="N327" i="12"/>
  <c r="J327" i="12"/>
  <c r="N328" i="12"/>
  <c r="P328" i="12" s="1"/>
  <c r="S328" i="12" s="1"/>
  <c r="J328" i="12"/>
  <c r="H329" i="12"/>
  <c r="N329" i="12" s="1"/>
  <c r="P329" i="12" s="1"/>
  <c r="S329" i="12" s="1"/>
  <c r="Q320" i="12"/>
  <c r="N320" i="12"/>
  <c r="J320" i="12"/>
  <c r="Q321" i="12"/>
  <c r="N321" i="12"/>
  <c r="P321" i="12" s="1"/>
  <c r="J321" i="12"/>
  <c r="H323" i="12"/>
  <c r="J323" i="12" s="1"/>
  <c r="Q319" i="12"/>
  <c r="N319" i="12"/>
  <c r="P319" i="12" s="1"/>
  <c r="J319" i="12"/>
  <c r="Q324" i="12"/>
  <c r="N324" i="12"/>
  <c r="P324" i="12" s="1"/>
  <c r="N322" i="12"/>
  <c r="P322" i="12" s="1"/>
  <c r="S322" i="12" s="1"/>
  <c r="J322" i="12"/>
  <c r="N318" i="12"/>
  <c r="J318" i="12"/>
  <c r="N317" i="12"/>
  <c r="P317" i="12" s="1"/>
  <c r="S317" i="12" s="1"/>
  <c r="Q316" i="12"/>
  <c r="N316" i="12"/>
  <c r="J316" i="12"/>
  <c r="Q314" i="12"/>
  <c r="N314" i="12"/>
  <c r="P314" i="12" s="1"/>
  <c r="J314" i="12"/>
  <c r="Q312" i="12"/>
  <c r="N312" i="12"/>
  <c r="P312" i="12" s="1"/>
  <c r="J312" i="12"/>
  <c r="Q311" i="12"/>
  <c r="N311" i="12"/>
  <c r="P311" i="12" s="1"/>
  <c r="J311" i="12"/>
  <c r="Q315" i="12"/>
  <c r="N315" i="12"/>
  <c r="Q313" i="12"/>
  <c r="N313" i="12"/>
  <c r="P313" i="12" s="1"/>
  <c r="J313" i="12"/>
  <c r="N309" i="12"/>
  <c r="P309" i="12" s="1"/>
  <c r="S309" i="12" s="1"/>
  <c r="J309" i="12"/>
  <c r="N310" i="12"/>
  <c r="P310" i="12" s="1"/>
  <c r="S310" i="12" s="1"/>
  <c r="J310" i="12"/>
  <c r="N308" i="12"/>
  <c r="P308" i="12" s="1"/>
  <c r="S308" i="12" s="1"/>
  <c r="J308" i="12"/>
  <c r="N307" i="12"/>
  <c r="P307" i="12" s="1"/>
  <c r="J307" i="12"/>
  <c r="Q289" i="12"/>
  <c r="N289" i="12"/>
  <c r="P289" i="12" s="1"/>
  <c r="J289" i="12"/>
  <c r="Q292" i="12"/>
  <c r="N292" i="12"/>
  <c r="Q296" i="12"/>
  <c r="N296" i="12"/>
  <c r="P296" i="12" s="1"/>
  <c r="J296" i="12"/>
  <c r="N297" i="12"/>
  <c r="J297" i="12"/>
  <c r="J306" i="12"/>
  <c r="J302" i="12"/>
  <c r="J305" i="12"/>
  <c r="J299" i="12"/>
  <c r="J298" i="12"/>
  <c r="J293" i="12"/>
  <c r="J303" i="12"/>
  <c r="Q304" i="12"/>
  <c r="N304" i="12"/>
  <c r="J304" i="12"/>
  <c r="H301" i="12"/>
  <c r="J301" i="12" s="1"/>
  <c r="N300" i="12"/>
  <c r="J300" i="12"/>
  <c r="Q291" i="12"/>
  <c r="N291" i="12"/>
  <c r="J291" i="12"/>
  <c r="Q290" i="12"/>
  <c r="N290" i="12"/>
  <c r="J290" i="12"/>
  <c r="Q295" i="12"/>
  <c r="I295" i="12"/>
  <c r="H295" i="12"/>
  <c r="Q294" i="12"/>
  <c r="I294" i="12"/>
  <c r="H294" i="12"/>
  <c r="N294" i="12" s="1"/>
  <c r="Q288" i="12"/>
  <c r="N288" i="12"/>
  <c r="J288" i="12"/>
  <c r="Q280" i="12"/>
  <c r="N280" i="12"/>
  <c r="J280" i="12"/>
  <c r="Q281" i="12"/>
  <c r="N281" i="12"/>
  <c r="J281" i="12"/>
  <c r="Q283" i="12"/>
  <c r="N283" i="12"/>
  <c r="P283" i="12" s="1"/>
  <c r="Q284" i="12"/>
  <c r="N284" i="12"/>
  <c r="J284" i="12"/>
  <c r="Q285" i="12"/>
  <c r="N285" i="12"/>
  <c r="P285" i="12" s="1"/>
  <c r="J285" i="12"/>
  <c r="Q286" i="12"/>
  <c r="N286" i="12"/>
  <c r="P286" i="12" s="1"/>
  <c r="J286" i="12"/>
  <c r="Q287" i="12"/>
  <c r="N287" i="12"/>
  <c r="Q282" i="12"/>
  <c r="N282" i="12"/>
  <c r="I282" i="12"/>
  <c r="J282" i="12" s="1"/>
  <c r="N279" i="12"/>
  <c r="P279" i="12" s="1"/>
  <c r="J279" i="12"/>
  <c r="N278" i="12"/>
  <c r="P278" i="12" s="1"/>
  <c r="S278" i="12" s="1"/>
  <c r="J278" i="12"/>
  <c r="N277" i="12"/>
  <c r="P277" i="12" s="1"/>
  <c r="S277" i="12" s="1"/>
  <c r="J277" i="12"/>
  <c r="N273" i="12"/>
  <c r="J273" i="12"/>
  <c r="N272" i="12"/>
  <c r="P272" i="12" s="1"/>
  <c r="S272" i="12" s="1"/>
  <c r="J272" i="12"/>
  <c r="N276" i="12"/>
  <c r="P276" i="12" s="1"/>
  <c r="S276" i="12" s="1"/>
  <c r="J276" i="12"/>
  <c r="N275" i="12"/>
  <c r="J275" i="12"/>
  <c r="N274" i="12"/>
  <c r="P274" i="12" s="1"/>
  <c r="S274" i="12" s="1"/>
  <c r="J274" i="12"/>
  <c r="N271" i="12"/>
  <c r="P271" i="12" s="1"/>
  <c r="S271" i="12" s="1"/>
  <c r="J271" i="12"/>
  <c r="N270" i="12"/>
  <c r="P270" i="12" s="1"/>
  <c r="N264" i="12"/>
  <c r="P264" i="12" s="1"/>
  <c r="S264" i="12" s="1"/>
  <c r="J264" i="12"/>
  <c r="N263" i="12"/>
  <c r="J263" i="12"/>
  <c r="N262" i="12"/>
  <c r="J262" i="12"/>
  <c r="N261" i="12"/>
  <c r="J261" i="12"/>
  <c r="N260" i="12"/>
  <c r="P260" i="12" s="1"/>
  <c r="S260" i="12" s="1"/>
  <c r="J260" i="12"/>
  <c r="N259" i="12"/>
  <c r="J259" i="12"/>
  <c r="N258" i="12"/>
  <c r="P258" i="12" s="1"/>
  <c r="S258" i="12" s="1"/>
  <c r="J258" i="12"/>
  <c r="N257" i="12"/>
  <c r="P257" i="12" s="1"/>
  <c r="S257" i="12" s="1"/>
  <c r="J257" i="12"/>
  <c r="N256" i="12"/>
  <c r="J256" i="12"/>
  <c r="N255" i="12"/>
  <c r="P255" i="12" s="1"/>
  <c r="S255" i="12" s="1"/>
  <c r="J255" i="12"/>
  <c r="N254" i="12"/>
  <c r="P254" i="12" s="1"/>
  <c r="J254" i="12"/>
  <c r="N269" i="12"/>
  <c r="N268" i="12"/>
  <c r="P268" i="12" s="1"/>
  <c r="S268" i="12" s="1"/>
  <c r="N267" i="12"/>
  <c r="P267" i="12" s="1"/>
  <c r="S267" i="12" s="1"/>
  <c r="N266" i="12"/>
  <c r="N265" i="12"/>
  <c r="P265" i="12" s="1"/>
  <c r="S265" i="12" s="1"/>
  <c r="H253" i="12"/>
  <c r="N253" i="12" s="1"/>
  <c r="P253" i="12" s="1"/>
  <c r="S253" i="12" s="1"/>
  <c r="N252" i="12"/>
  <c r="P252" i="12" s="1"/>
  <c r="S252" i="12" s="1"/>
  <c r="N251" i="12"/>
  <c r="P251" i="12" s="1"/>
  <c r="S251" i="12" s="1"/>
  <c r="J251" i="12"/>
  <c r="N250" i="12"/>
  <c r="P250" i="12" s="1"/>
  <c r="S250" i="12" s="1"/>
  <c r="J250" i="12"/>
  <c r="N249" i="12"/>
  <c r="P249" i="12" s="1"/>
  <c r="J249" i="12"/>
  <c r="N248" i="12"/>
  <c r="P248" i="12" s="1"/>
  <c r="S248" i="12" s="1"/>
  <c r="J248" i="12"/>
  <c r="N247" i="12"/>
  <c r="P247" i="12" s="1"/>
  <c r="J247" i="12"/>
  <c r="N246" i="12"/>
  <c r="P246" i="12" s="1"/>
  <c r="J246" i="12"/>
  <c r="N245" i="12"/>
  <c r="P245" i="12" s="1"/>
  <c r="J245" i="12"/>
  <c r="N244" i="12"/>
  <c r="N243" i="12"/>
  <c r="N241" i="12"/>
  <c r="P241" i="12" s="1"/>
  <c r="S241" i="12" s="1"/>
  <c r="N242" i="12"/>
  <c r="N240" i="12"/>
  <c r="P240" i="12" s="1"/>
  <c r="J240" i="12"/>
  <c r="N239" i="12"/>
  <c r="P239" i="12" s="1"/>
  <c r="S239" i="12" s="1"/>
  <c r="J239" i="12"/>
  <c r="N238" i="12"/>
  <c r="J238" i="12"/>
  <c r="J237" i="12"/>
  <c r="N235" i="12"/>
  <c r="P235" i="12" s="1"/>
  <c r="J235" i="12"/>
  <c r="N236" i="12"/>
  <c r="J236" i="12"/>
  <c r="N234" i="12"/>
  <c r="J234" i="12"/>
  <c r="N233" i="12"/>
  <c r="P233" i="12" s="1"/>
  <c r="J233" i="12"/>
  <c r="N232" i="12"/>
  <c r="J232" i="12"/>
  <c r="N231" i="12"/>
  <c r="J231" i="12"/>
  <c r="N230" i="12"/>
  <c r="P230" i="12" s="1"/>
  <c r="N229" i="12"/>
  <c r="N228" i="12"/>
  <c r="J228" i="12"/>
  <c r="Q226" i="12"/>
  <c r="N226" i="12"/>
  <c r="P226" i="12" s="1"/>
  <c r="J226" i="12"/>
  <c r="Q225" i="12"/>
  <c r="N225" i="12"/>
  <c r="P225" i="12" s="1"/>
  <c r="J225" i="12"/>
  <c r="Q227" i="12"/>
  <c r="N227" i="12"/>
  <c r="P227" i="12" s="1"/>
  <c r="J227" i="12"/>
  <c r="N224" i="12"/>
  <c r="P224" i="12" s="1"/>
  <c r="N223" i="12"/>
  <c r="P223" i="12" s="1"/>
  <c r="S223" i="12" s="1"/>
  <c r="N222" i="12"/>
  <c r="P222" i="12" s="1"/>
  <c r="J222" i="12"/>
  <c r="N221" i="12"/>
  <c r="P221" i="12" s="1"/>
  <c r="J221" i="12"/>
  <c r="N220" i="12"/>
  <c r="P220" i="12" s="1"/>
  <c r="S220" i="12" s="1"/>
  <c r="J220" i="12"/>
  <c r="N219" i="12"/>
  <c r="P219" i="12" s="1"/>
  <c r="I219" i="12"/>
  <c r="J219" i="12" s="1"/>
  <c r="Q217" i="12"/>
  <c r="N217" i="12"/>
  <c r="P217" i="12" s="1"/>
  <c r="J217" i="12"/>
  <c r="Q216" i="12"/>
  <c r="N216" i="12"/>
  <c r="J216" i="12"/>
  <c r="Q214" i="12"/>
  <c r="N214" i="12"/>
  <c r="P214" i="12" s="1"/>
  <c r="J214" i="12"/>
  <c r="Q213" i="12"/>
  <c r="N213" i="12"/>
  <c r="P213" i="12" s="1"/>
  <c r="J213" i="12"/>
  <c r="Q218" i="12"/>
  <c r="N218" i="12"/>
  <c r="J218" i="12"/>
  <c r="Q215" i="12"/>
  <c r="N215" i="12"/>
  <c r="J215" i="12"/>
  <c r="N212" i="12"/>
  <c r="J212" i="12"/>
  <c r="Q211" i="12"/>
  <c r="N211" i="12"/>
  <c r="P211" i="12" s="1"/>
  <c r="Q210" i="12"/>
  <c r="N210" i="12"/>
  <c r="P210" i="12" s="1"/>
  <c r="J210" i="12"/>
  <c r="Q207" i="12"/>
  <c r="N207" i="12"/>
  <c r="J207" i="12"/>
  <c r="Q208" i="12"/>
  <c r="N208" i="12"/>
  <c r="P208" i="12" s="1"/>
  <c r="J208" i="12"/>
  <c r="Q209" i="12"/>
  <c r="N209" i="12"/>
  <c r="P209" i="12" s="1"/>
  <c r="J209" i="12"/>
  <c r="Q205" i="12"/>
  <c r="N205" i="12"/>
  <c r="P205" i="12" s="1"/>
  <c r="J205" i="12"/>
  <c r="N206" i="12"/>
  <c r="J206" i="12"/>
  <c r="N203" i="12"/>
  <c r="P203" i="12" s="1"/>
  <c r="J203" i="12"/>
  <c r="N202" i="12"/>
  <c r="P202" i="12" s="1"/>
  <c r="N204" i="12"/>
  <c r="J204" i="12"/>
  <c r="N201" i="12"/>
  <c r="P201" i="12" s="1"/>
  <c r="J201" i="12"/>
  <c r="N200" i="12"/>
  <c r="P200" i="12" s="1"/>
  <c r="S200" i="12" s="1"/>
  <c r="J200" i="12"/>
  <c r="N199" i="12"/>
  <c r="N198" i="12"/>
  <c r="J198" i="12"/>
  <c r="N197" i="12"/>
  <c r="P197" i="12" s="1"/>
  <c r="S197" i="12" s="1"/>
  <c r="J197" i="12"/>
  <c r="N195" i="12"/>
  <c r="N196" i="12"/>
  <c r="P196" i="12" s="1"/>
  <c r="S196" i="12" s="1"/>
  <c r="Q194" i="12"/>
  <c r="N194" i="12"/>
  <c r="J194" i="12"/>
  <c r="N193" i="12"/>
  <c r="J193" i="12"/>
  <c r="N192" i="12"/>
  <c r="N191" i="12"/>
  <c r="J191" i="12"/>
  <c r="N190" i="12"/>
  <c r="P190" i="12" s="1"/>
  <c r="J190" i="12"/>
  <c r="N189" i="12"/>
  <c r="P189" i="12" s="1"/>
  <c r="S189" i="12" s="1"/>
  <c r="J189" i="12"/>
  <c r="Q188" i="12"/>
  <c r="N188" i="12"/>
  <c r="P188" i="12" s="1"/>
  <c r="J188" i="12"/>
  <c r="N186" i="12"/>
  <c r="J186" i="12"/>
  <c r="N187" i="12"/>
  <c r="P187" i="12" s="1"/>
  <c r="S187" i="12" s="1"/>
  <c r="J187" i="12"/>
  <c r="N185" i="12"/>
  <c r="P185" i="12" s="1"/>
  <c r="S185" i="12" s="1"/>
  <c r="I185" i="12"/>
  <c r="J185" i="12" s="1"/>
  <c r="N184" i="12"/>
  <c r="N181" i="12"/>
  <c r="P181" i="12" s="1"/>
  <c r="S181" i="12" s="1"/>
  <c r="J181" i="12"/>
  <c r="N183" i="12"/>
  <c r="J183" i="12"/>
  <c r="N182" i="12"/>
  <c r="P182" i="12" s="1"/>
  <c r="J182" i="12"/>
  <c r="N180" i="12"/>
  <c r="P180" i="12" s="1"/>
  <c r="S180" i="12" s="1"/>
  <c r="N179" i="12"/>
  <c r="J179" i="12"/>
  <c r="N178" i="12"/>
  <c r="P178" i="12" s="1"/>
  <c r="J178" i="12"/>
  <c r="N177" i="12"/>
  <c r="P177" i="12" s="1"/>
  <c r="S177" i="12" s="1"/>
  <c r="N176" i="12"/>
  <c r="P176" i="12" s="1"/>
  <c r="S176" i="12" s="1"/>
  <c r="J176" i="12"/>
  <c r="N175" i="12"/>
  <c r="P175" i="12" s="1"/>
  <c r="J175" i="12"/>
  <c r="N172" i="12"/>
  <c r="J172" i="12"/>
  <c r="N169" i="12"/>
  <c r="J169" i="12"/>
  <c r="N164" i="12"/>
  <c r="P164" i="12" s="1"/>
  <c r="S164" i="12" s="1"/>
  <c r="J164" i="12"/>
  <c r="N163" i="12"/>
  <c r="J163" i="12"/>
  <c r="N162" i="12"/>
  <c r="J162" i="12"/>
  <c r="N173" i="12"/>
  <c r="J173" i="12"/>
  <c r="M171" i="12"/>
  <c r="N171" i="12" s="1"/>
  <c r="M170" i="12"/>
  <c r="N170" i="12" s="1"/>
  <c r="P170" i="12" s="1"/>
  <c r="N168" i="12"/>
  <c r="N174" i="12"/>
  <c r="P174" i="12" s="1"/>
  <c r="S174" i="12" s="1"/>
  <c r="J174" i="12"/>
  <c r="N161" i="12"/>
  <c r="J161" i="12"/>
  <c r="N160" i="12"/>
  <c r="P160" i="12" s="1"/>
  <c r="S160" i="12" s="1"/>
  <c r="J160" i="12"/>
  <c r="N167" i="12"/>
  <c r="P167" i="12" s="1"/>
  <c r="S167" i="12" s="1"/>
  <c r="J167" i="12"/>
  <c r="N166" i="12"/>
  <c r="J166" i="12"/>
  <c r="N165" i="12"/>
  <c r="P165" i="12" s="1"/>
  <c r="S165" i="12" s="1"/>
  <c r="J165" i="12"/>
  <c r="N159" i="12"/>
  <c r="P159" i="12" s="1"/>
  <c r="S159" i="12" s="1"/>
  <c r="J159" i="12"/>
  <c r="N158" i="12"/>
  <c r="J158" i="12"/>
  <c r="Q156" i="12"/>
  <c r="N156" i="12"/>
  <c r="J156" i="12"/>
  <c r="Q157" i="12"/>
  <c r="N157" i="12"/>
  <c r="P157" i="12" s="1"/>
  <c r="J157" i="12"/>
  <c r="Q155" i="12"/>
  <c r="N155" i="12"/>
  <c r="P155" i="12" s="1"/>
  <c r="J155" i="12"/>
  <c r="N154" i="12"/>
  <c r="P154" i="12" s="1"/>
  <c r="S154" i="12" s="1"/>
  <c r="J154" i="12"/>
  <c r="N153" i="12"/>
  <c r="J153" i="12"/>
  <c r="N152" i="12"/>
  <c r="P152" i="12" s="1"/>
  <c r="S152" i="12" s="1"/>
  <c r="J152" i="12"/>
  <c r="N151" i="12"/>
  <c r="J151" i="12"/>
  <c r="N150" i="12"/>
  <c r="P150" i="12" s="1"/>
  <c r="J150" i="12"/>
  <c r="Q149" i="12"/>
  <c r="N149" i="12"/>
  <c r="J149" i="12"/>
  <c r="Q148" i="12"/>
  <c r="N148" i="12"/>
  <c r="P148" i="12" s="1"/>
  <c r="N147" i="12"/>
  <c r="J147" i="12"/>
  <c r="N146" i="12"/>
  <c r="P146" i="12" s="1"/>
  <c r="N145" i="12"/>
  <c r="P145" i="12" s="1"/>
  <c r="J145" i="12"/>
  <c r="N144" i="12"/>
  <c r="P144" i="12" s="1"/>
  <c r="J144" i="12"/>
  <c r="N143" i="12"/>
  <c r="J143" i="12"/>
  <c r="N141" i="12"/>
  <c r="P141" i="12" s="1"/>
  <c r="S141" i="12" s="1"/>
  <c r="J141" i="12"/>
  <c r="N140" i="12"/>
  <c r="J140" i="12"/>
  <c r="N139" i="12"/>
  <c r="P139" i="12" s="1"/>
  <c r="S139" i="12" s="1"/>
  <c r="J139" i="12"/>
  <c r="N142" i="12"/>
  <c r="P142" i="12" s="1"/>
  <c r="J142" i="12"/>
  <c r="N137" i="12"/>
  <c r="J137" i="12"/>
  <c r="N138" i="12"/>
  <c r="P138" i="12" s="1"/>
  <c r="S138" i="12" s="1"/>
  <c r="J138" i="12"/>
  <c r="N136" i="12"/>
  <c r="P136" i="12" s="1"/>
  <c r="S136" i="12" s="1"/>
  <c r="J136" i="12"/>
  <c r="N135" i="12"/>
  <c r="J135" i="12"/>
  <c r="N134" i="12"/>
  <c r="P134" i="12" s="1"/>
  <c r="S134" i="12" s="1"/>
  <c r="J134" i="12"/>
  <c r="N133" i="12"/>
  <c r="P133" i="12" s="1"/>
  <c r="S133" i="12" s="1"/>
  <c r="J133" i="12"/>
  <c r="N132" i="12"/>
  <c r="P132" i="12" s="1"/>
  <c r="S132" i="12" s="1"/>
  <c r="J132" i="12"/>
  <c r="N131" i="12"/>
  <c r="P131" i="12" s="1"/>
  <c r="S131" i="12" s="1"/>
  <c r="J131" i="12"/>
  <c r="N130" i="12"/>
  <c r="P130" i="12" s="1"/>
  <c r="S130" i="12" s="1"/>
  <c r="J130" i="12"/>
  <c r="N126" i="12"/>
  <c r="J126" i="12"/>
  <c r="N125" i="12"/>
  <c r="J125" i="12"/>
  <c r="N129" i="12"/>
  <c r="P129" i="12" s="1"/>
  <c r="J129" i="12"/>
  <c r="N128" i="12"/>
  <c r="P128" i="12" s="1"/>
  <c r="S128" i="12" s="1"/>
  <c r="J128" i="12"/>
  <c r="N127" i="12"/>
  <c r="J127" i="12"/>
  <c r="N123" i="12"/>
  <c r="P123" i="12" s="1"/>
  <c r="S123" i="12" s="1"/>
  <c r="J123" i="12"/>
  <c r="N124" i="12"/>
  <c r="P124" i="12" s="1"/>
  <c r="J124" i="12"/>
  <c r="N122" i="12"/>
  <c r="P122" i="12" s="1"/>
  <c r="J122" i="12"/>
  <c r="N121" i="12"/>
  <c r="P121" i="12" s="1"/>
  <c r="S121" i="12" s="1"/>
  <c r="J121" i="12"/>
  <c r="N120" i="12"/>
  <c r="J120" i="12"/>
  <c r="N119" i="12"/>
  <c r="J119" i="12"/>
  <c r="N117" i="12"/>
  <c r="P117" i="12" s="1"/>
  <c r="S117" i="12" s="1"/>
  <c r="J117" i="12"/>
  <c r="N118" i="12"/>
  <c r="P118" i="12" s="1"/>
  <c r="S118" i="12" s="1"/>
  <c r="J118" i="12"/>
  <c r="N115" i="12"/>
  <c r="N116" i="12"/>
  <c r="P116" i="12" s="1"/>
  <c r="S116" i="12" s="1"/>
  <c r="J116" i="12"/>
  <c r="N114" i="12"/>
  <c r="P114" i="12" s="1"/>
  <c r="S114" i="12" s="1"/>
  <c r="J114" i="12"/>
  <c r="N113" i="12"/>
  <c r="P113" i="12" s="1"/>
  <c r="S113" i="12" s="1"/>
  <c r="N112" i="12"/>
  <c r="J112" i="12"/>
  <c r="N111" i="12"/>
  <c r="P111" i="12" s="1"/>
  <c r="S111" i="12" s="1"/>
  <c r="N110" i="12"/>
  <c r="J110" i="12"/>
  <c r="N109" i="12"/>
  <c r="P109" i="12" s="1"/>
  <c r="J109" i="12"/>
  <c r="N108" i="12"/>
  <c r="P108" i="12" s="1"/>
  <c r="S108" i="12" s="1"/>
  <c r="J108" i="12"/>
  <c r="N107" i="12"/>
  <c r="J107" i="12"/>
  <c r="N106" i="12"/>
  <c r="P106" i="12" s="1"/>
  <c r="S106" i="12" s="1"/>
  <c r="N105" i="12"/>
  <c r="J105" i="12"/>
  <c r="Q104" i="12"/>
  <c r="N104" i="12"/>
  <c r="J104" i="12"/>
  <c r="N103" i="12"/>
  <c r="J103" i="12"/>
  <c r="N102" i="12"/>
  <c r="N101" i="12"/>
  <c r="P101" i="12" s="1"/>
  <c r="S101" i="12" s="1"/>
  <c r="N100" i="12"/>
  <c r="P100" i="12" s="1"/>
  <c r="S100" i="12" s="1"/>
  <c r="J100" i="12"/>
  <c r="N99" i="12"/>
  <c r="J99" i="12"/>
  <c r="N98" i="12"/>
  <c r="P98" i="12" s="1"/>
  <c r="S98" i="12" s="1"/>
  <c r="J98" i="12"/>
  <c r="N97" i="12"/>
  <c r="J97" i="12"/>
  <c r="N96" i="12"/>
  <c r="J96" i="12"/>
  <c r="N95" i="12"/>
  <c r="J95" i="12"/>
  <c r="N94" i="12"/>
  <c r="P94" i="12" s="1"/>
  <c r="S94" i="12" s="1"/>
  <c r="J94" i="12"/>
  <c r="N93" i="12"/>
  <c r="J93" i="12"/>
  <c r="N89" i="12"/>
  <c r="P89" i="12" s="1"/>
  <c r="S89" i="12" s="1"/>
  <c r="J89" i="12"/>
  <c r="N90" i="12"/>
  <c r="P90" i="12" s="1"/>
  <c r="S90" i="12" s="1"/>
  <c r="N91" i="12"/>
  <c r="J91" i="12"/>
  <c r="N92" i="12"/>
  <c r="P92" i="12" s="1"/>
  <c r="S92" i="12" s="1"/>
  <c r="J92" i="12"/>
  <c r="M85" i="12"/>
  <c r="N85" i="12" s="1"/>
  <c r="J85" i="12"/>
  <c r="M88" i="12"/>
  <c r="N88" i="12" s="1"/>
  <c r="J88" i="12"/>
  <c r="M86" i="12"/>
  <c r="N86" i="12" s="1"/>
  <c r="P86" i="12" s="1"/>
  <c r="S86" i="12" s="1"/>
  <c r="J86" i="12"/>
  <c r="M87" i="12"/>
  <c r="N87" i="12" s="1"/>
  <c r="J87" i="12"/>
  <c r="M84" i="12"/>
  <c r="N84" i="12" s="1"/>
  <c r="J84" i="12"/>
  <c r="N83" i="12"/>
  <c r="P83" i="12" s="1"/>
  <c r="S83" i="12" s="1"/>
  <c r="J83" i="12"/>
  <c r="N82" i="12"/>
  <c r="J82" i="12"/>
  <c r="N81" i="12"/>
  <c r="J81" i="12"/>
  <c r="N80" i="12"/>
  <c r="P80" i="12" s="1"/>
  <c r="S80" i="12" s="1"/>
  <c r="J80" i="12"/>
  <c r="N79" i="12"/>
  <c r="J79" i="12"/>
  <c r="N78" i="12"/>
  <c r="J78" i="12"/>
  <c r="N77" i="12"/>
  <c r="N76" i="12"/>
  <c r="N75" i="12"/>
  <c r="P75" i="12" s="1"/>
  <c r="J75" i="12"/>
  <c r="N74" i="12"/>
  <c r="P74" i="12" s="1"/>
  <c r="J74" i="12"/>
  <c r="M73" i="12"/>
  <c r="N73" i="12" s="1"/>
  <c r="N72" i="12"/>
  <c r="J72" i="12"/>
  <c r="N71" i="12"/>
  <c r="P71" i="12" s="1"/>
  <c r="S71" i="12" s="1"/>
  <c r="J71" i="12"/>
  <c r="N28" i="12"/>
  <c r="J28" i="12"/>
  <c r="N70" i="12"/>
  <c r="P70" i="12" s="1"/>
  <c r="S70" i="12" s="1"/>
  <c r="J70" i="12"/>
  <c r="M69" i="12"/>
  <c r="N69" i="12" s="1"/>
  <c r="P69" i="12" s="1"/>
  <c r="S69" i="12" s="1"/>
  <c r="J69" i="12"/>
  <c r="N68" i="12"/>
  <c r="P68" i="12" s="1"/>
  <c r="S68" i="12" s="1"/>
  <c r="J68" i="12"/>
  <c r="N67" i="12"/>
  <c r="J67" i="12"/>
  <c r="N66" i="12"/>
  <c r="J66" i="12"/>
  <c r="N57" i="12"/>
  <c r="P57" i="12" s="1"/>
  <c r="S57" i="12" s="1"/>
  <c r="J57" i="12"/>
  <c r="N56" i="12"/>
  <c r="J56" i="12"/>
  <c r="M55" i="12"/>
  <c r="N55" i="12" s="1"/>
  <c r="J55" i="12"/>
  <c r="N65" i="12"/>
  <c r="P65" i="12" s="1"/>
  <c r="S65" i="12" s="1"/>
  <c r="J65" i="12"/>
  <c r="M64" i="12"/>
  <c r="N64" i="12" s="1"/>
  <c r="J64" i="12"/>
  <c r="N63" i="12"/>
  <c r="J63" i="12"/>
  <c r="M62" i="12"/>
  <c r="N62" i="12" s="1"/>
  <c r="P62" i="12" s="1"/>
  <c r="S62" i="12" s="1"/>
  <c r="J62" i="12"/>
  <c r="M61" i="12"/>
  <c r="N61" i="12" s="1"/>
  <c r="P61" i="12" s="1"/>
  <c r="S61" i="12" s="1"/>
  <c r="J61" i="12"/>
  <c r="M60" i="12"/>
  <c r="N60" i="12" s="1"/>
  <c r="J60" i="12"/>
  <c r="M59" i="12"/>
  <c r="N59" i="12" s="1"/>
  <c r="P59" i="12" s="1"/>
  <c r="S59" i="12" s="1"/>
  <c r="J59" i="12"/>
  <c r="M58" i="12"/>
  <c r="N58" i="12" s="1"/>
  <c r="J58" i="12"/>
  <c r="N54" i="12"/>
  <c r="P54" i="12" s="1"/>
  <c r="J54" i="12"/>
  <c r="N53" i="12"/>
  <c r="P53" i="12" s="1"/>
  <c r="J53" i="12"/>
  <c r="N52" i="12"/>
  <c r="P52" i="12" s="1"/>
  <c r="J52" i="12"/>
  <c r="M51" i="12"/>
  <c r="N51" i="12" s="1"/>
  <c r="N50" i="12"/>
  <c r="P50" i="12" s="1"/>
  <c r="S50" i="12" s="1"/>
  <c r="N49" i="12"/>
  <c r="N48" i="12"/>
  <c r="M47" i="12"/>
  <c r="N47" i="12" s="1"/>
  <c r="P47" i="12" s="1"/>
  <c r="M46" i="12"/>
  <c r="N46" i="12" s="1"/>
  <c r="P46" i="12" s="1"/>
  <c r="S46" i="12" s="1"/>
  <c r="M45" i="12"/>
  <c r="N45" i="12" s="1"/>
  <c r="P45" i="12" s="1"/>
  <c r="S45" i="12" s="1"/>
  <c r="N44" i="12"/>
  <c r="M43" i="12"/>
  <c r="N43" i="12" s="1"/>
  <c r="N42" i="12"/>
  <c r="P42" i="12" s="1"/>
  <c r="J42" i="12"/>
  <c r="M41" i="12"/>
  <c r="N41" i="12" s="1"/>
  <c r="P41" i="12" s="1"/>
  <c r="S41" i="12" s="1"/>
  <c r="J41" i="12"/>
  <c r="M40" i="12"/>
  <c r="N40" i="12" s="1"/>
  <c r="N39" i="12"/>
  <c r="M38" i="12"/>
  <c r="N38" i="12" s="1"/>
  <c r="P38" i="12" s="1"/>
  <c r="S38" i="12" s="1"/>
  <c r="N37" i="12"/>
  <c r="P37" i="12" s="1"/>
  <c r="S37" i="12" s="1"/>
  <c r="J37" i="12"/>
  <c r="M36" i="12"/>
  <c r="N36" i="12" s="1"/>
  <c r="P36" i="12" s="1"/>
  <c r="J36" i="12"/>
  <c r="N35" i="12"/>
  <c r="N34" i="12"/>
  <c r="P34" i="12" s="1"/>
  <c r="J34" i="12"/>
  <c r="N33" i="12"/>
  <c r="P33" i="12" s="1"/>
  <c r="J33" i="12"/>
  <c r="N32" i="12"/>
  <c r="J32" i="12"/>
  <c r="N31" i="12"/>
  <c r="P31" i="12" s="1"/>
  <c r="S31" i="12" s="1"/>
  <c r="J31" i="12"/>
  <c r="N30" i="12"/>
  <c r="P30" i="12" s="1"/>
  <c r="S30" i="12" s="1"/>
  <c r="J30" i="12"/>
  <c r="N29" i="12"/>
  <c r="P29" i="12" s="1"/>
  <c r="S29" i="12" s="1"/>
  <c r="J29" i="12"/>
  <c r="N27" i="12"/>
  <c r="J27" i="12"/>
  <c r="N24" i="12"/>
  <c r="P24" i="12" s="1"/>
  <c r="S24" i="12" s="1"/>
  <c r="J24" i="12"/>
  <c r="N26" i="12"/>
  <c r="P26" i="12" s="1"/>
  <c r="M25" i="12"/>
  <c r="N25" i="12" s="1"/>
  <c r="P25" i="12" s="1"/>
  <c r="J25" i="12"/>
  <c r="N23" i="12"/>
  <c r="P23" i="12" s="1"/>
  <c r="S23" i="12" s="1"/>
  <c r="N22" i="12"/>
  <c r="M21" i="12"/>
  <c r="N21" i="12" s="1"/>
  <c r="N20" i="12"/>
  <c r="J20" i="12"/>
  <c r="N19" i="12"/>
  <c r="P19" i="12" s="1"/>
  <c r="S19" i="12" s="1"/>
  <c r="J19" i="12"/>
  <c r="M18" i="12"/>
  <c r="N18" i="12" s="1"/>
  <c r="J18" i="12"/>
  <c r="N17" i="12"/>
  <c r="N16" i="12"/>
  <c r="P16" i="12" s="1"/>
  <c r="S16" i="12" s="1"/>
  <c r="J16" i="12"/>
  <c r="M15" i="12"/>
  <c r="N15" i="12" s="1"/>
  <c r="P15" i="12" s="1"/>
  <c r="J15" i="12"/>
  <c r="N14" i="12"/>
  <c r="J14" i="12"/>
  <c r="M13" i="12"/>
  <c r="N13" i="12" s="1"/>
  <c r="P13" i="12" s="1"/>
  <c r="S13" i="12" s="1"/>
  <c r="N12" i="12"/>
  <c r="N11" i="12"/>
  <c r="N10" i="12"/>
  <c r="M9" i="12"/>
  <c r="N9" i="12" s="1"/>
  <c r="J9" i="12"/>
  <c r="M8" i="12"/>
  <c r="N8" i="12" s="1"/>
  <c r="P8" i="12" s="1"/>
  <c r="S8" i="12" s="1"/>
  <c r="J8" i="12"/>
  <c r="N7" i="12"/>
  <c r="J7" i="12"/>
  <c r="N6" i="12"/>
  <c r="P6" i="12" s="1"/>
  <c r="J6" i="12"/>
  <c r="N5" i="12"/>
  <c r="P5" i="12" s="1"/>
  <c r="M3" i="12"/>
  <c r="N3" i="12" s="1"/>
  <c r="P3" i="12" s="1"/>
  <c r="J3" i="12"/>
  <c r="M4" i="12"/>
  <c r="N4" i="12" s="1"/>
  <c r="J4" i="12"/>
  <c r="S493" i="12" l="1"/>
  <c r="S650" i="12"/>
  <c r="S188" i="12"/>
  <c r="J295" i="12"/>
  <c r="N725" i="12"/>
  <c r="P725" i="12" s="1"/>
  <c r="S725" i="12" s="1"/>
  <c r="S296" i="12"/>
  <c r="S867" i="12"/>
  <c r="S595" i="12"/>
  <c r="S523" i="12"/>
  <c r="J294" i="12"/>
  <c r="S417" i="12"/>
  <c r="N301" i="12"/>
  <c r="P301" i="12" s="1"/>
  <c r="S301" i="12" s="1"/>
  <c r="S1223" i="12"/>
  <c r="J397" i="12"/>
  <c r="S205" i="12"/>
  <c r="N323" i="12"/>
  <c r="P323" i="12" s="1"/>
  <c r="S324" i="12"/>
  <c r="J331" i="12"/>
  <c r="N724" i="12"/>
  <c r="P724" i="12" s="1"/>
  <c r="S724" i="12" s="1"/>
  <c r="S208" i="12"/>
  <c r="S225" i="12"/>
  <c r="J329" i="12"/>
  <c r="N295" i="12"/>
  <c r="P295" i="12" s="1"/>
  <c r="S295" i="12" s="1"/>
  <c r="S155" i="12"/>
  <c r="S226" i="12"/>
  <c r="S157" i="12"/>
  <c r="J253" i="12"/>
  <c r="P1090" i="10"/>
  <c r="P554" i="10"/>
  <c r="M52" i="10"/>
  <c r="P52" i="10" s="1"/>
  <c r="P297" i="10"/>
  <c r="P541" i="10"/>
  <c r="P970" i="10"/>
  <c r="P1188" i="10"/>
  <c r="P229" i="10"/>
  <c r="M541" i="10"/>
  <c r="P560" i="10"/>
  <c r="P596" i="10"/>
  <c r="P668" i="10"/>
  <c r="M970" i="10"/>
  <c r="M1090" i="10"/>
  <c r="M224" i="10"/>
  <c r="P224" i="10" s="1"/>
  <c r="M410" i="10"/>
  <c r="P410" i="10" s="1"/>
  <c r="M554" i="10"/>
  <c r="P678" i="10"/>
  <c r="P291" i="10"/>
  <c r="P388" i="10"/>
  <c r="P406" i="10"/>
  <c r="P481" i="10"/>
  <c r="P547" i="10"/>
  <c r="P592" i="10"/>
  <c r="P739" i="10"/>
  <c r="M744" i="10"/>
  <c r="P744" i="10" s="1"/>
  <c r="M16" i="10"/>
  <c r="P16" i="10" s="1"/>
  <c r="P815" i="10"/>
  <c r="P488" i="10"/>
  <c r="P654" i="10"/>
  <c r="P697" i="10"/>
  <c r="M815" i="10"/>
  <c r="P1006" i="10"/>
  <c r="M1221" i="10"/>
  <c r="P1221" i="10" s="1"/>
  <c r="P315" i="10"/>
  <c r="P303" i="10"/>
  <c r="P335" i="10"/>
  <c r="P442" i="10"/>
  <c r="M522" i="10"/>
  <c r="P522" i="10" s="1"/>
  <c r="M654" i="10"/>
  <c r="P670" i="10"/>
  <c r="P1174" i="10"/>
  <c r="P468" i="10"/>
  <c r="P133" i="10"/>
  <c r="M394" i="10"/>
  <c r="P394" i="10" s="1"/>
  <c r="P404" i="10"/>
  <c r="P438" i="10"/>
  <c r="M468" i="10"/>
  <c r="M1104" i="10"/>
  <c r="P1104" i="10" s="1"/>
  <c r="P1217" i="10"/>
  <c r="P49" i="10"/>
  <c r="P553" i="10"/>
  <c r="P424" i="10"/>
  <c r="M704" i="10"/>
  <c r="P704" i="10" s="1"/>
  <c r="P1073" i="10"/>
  <c r="P1083" i="10"/>
  <c r="M164" i="10"/>
  <c r="P164" i="10" s="1"/>
  <c r="M298" i="10"/>
  <c r="P298" i="10" s="1"/>
  <c r="P982" i="10"/>
  <c r="P40" i="10"/>
  <c r="M964" i="10"/>
  <c r="P964" i="10" s="1"/>
  <c r="M145" i="10"/>
  <c r="P145" i="10" s="1"/>
  <c r="P937" i="10"/>
  <c r="M1122" i="10"/>
  <c r="P1122" i="10" s="1"/>
  <c r="M685" i="10"/>
  <c r="P685" i="10" s="1"/>
  <c r="M727" i="10"/>
  <c r="P727" i="10"/>
  <c r="P1189" i="10"/>
  <c r="P58" i="10"/>
  <c r="M160" i="10"/>
  <c r="P160" i="10" s="1"/>
  <c r="P471" i="10"/>
  <c r="M504" i="10"/>
  <c r="P504" i="10" s="1"/>
  <c r="P1054" i="10"/>
  <c r="M58" i="10"/>
  <c r="P124" i="10"/>
  <c r="M276" i="10"/>
  <c r="P276" i="10" s="1"/>
  <c r="P686" i="10"/>
  <c r="M693" i="10"/>
  <c r="P693" i="10"/>
  <c r="M29" i="10"/>
  <c r="P29" i="10" s="1"/>
  <c r="P120" i="10"/>
  <c r="M309" i="10"/>
  <c r="P309" i="10"/>
  <c r="M359" i="10"/>
  <c r="P359" i="10" s="1"/>
  <c r="M934" i="10"/>
  <c r="P934" i="10" s="1"/>
  <c r="M1197" i="10"/>
  <c r="P1197" i="10"/>
  <c r="M301" i="10"/>
  <c r="P301" i="10"/>
  <c r="P821" i="10"/>
  <c r="M929" i="10"/>
  <c r="P929" i="10" s="1"/>
  <c r="P33" i="10"/>
  <c r="P238" i="10"/>
  <c r="P143" i="10"/>
  <c r="P332" i="10"/>
  <c r="M985" i="10"/>
  <c r="P985" i="10" s="1"/>
  <c r="M478" i="10"/>
  <c r="P478" i="10" s="1"/>
  <c r="P65" i="10"/>
  <c r="M116" i="10"/>
  <c r="P116" i="10" s="1"/>
  <c r="M138" i="10"/>
  <c r="P138" i="10" s="1"/>
  <c r="P252" i="10"/>
  <c r="M252" i="10"/>
  <c r="M371" i="10"/>
  <c r="P371" i="10" s="1"/>
  <c r="M886" i="10"/>
  <c r="P886" i="10" s="1"/>
  <c r="P780" i="10"/>
  <c r="P48" i="10"/>
  <c r="M515" i="10"/>
  <c r="P515" i="10" s="1"/>
  <c r="P527" i="10"/>
  <c r="M665" i="10"/>
  <c r="P665" i="10" s="1"/>
  <c r="M677" i="10"/>
  <c r="P677" i="10" s="1"/>
  <c r="M719" i="10"/>
  <c r="P719" i="10" s="1"/>
  <c r="M780" i="10"/>
  <c r="P817" i="10"/>
  <c r="P836" i="10"/>
  <c r="M1024" i="10"/>
  <c r="P1024" i="10" s="1"/>
  <c r="M1045" i="10"/>
  <c r="P1045" i="10" s="1"/>
  <c r="M1140" i="10"/>
  <c r="P1140" i="10" s="1"/>
  <c r="P1239" i="10"/>
  <c r="P869" i="10"/>
  <c r="P907" i="10"/>
  <c r="P1193" i="10"/>
  <c r="M20" i="10"/>
  <c r="P20" i="10" s="1"/>
  <c r="P37" i="10"/>
  <c r="M75" i="10"/>
  <c r="P75" i="10" s="1"/>
  <c r="P108" i="10"/>
  <c r="P172" i="10"/>
  <c r="M220" i="10"/>
  <c r="P220" i="10" s="1"/>
  <c r="M289" i="10"/>
  <c r="P289" i="10" s="1"/>
  <c r="P355" i="10"/>
  <c r="P482" i="10"/>
  <c r="M579" i="10"/>
  <c r="P579" i="10" s="1"/>
  <c r="M642" i="10"/>
  <c r="P642" i="10" s="1"/>
  <c r="P669" i="10"/>
  <c r="P791" i="10"/>
  <c r="P921" i="10"/>
  <c r="M973" i="10"/>
  <c r="P973" i="10" s="1"/>
  <c r="M1003" i="10"/>
  <c r="P1003" i="10" s="1"/>
  <c r="M1054" i="10"/>
  <c r="M1189" i="10"/>
  <c r="M1218" i="10"/>
  <c r="P1218" i="10" s="1"/>
  <c r="P828" i="10"/>
  <c r="P878" i="10"/>
  <c r="M37" i="10"/>
  <c r="M41" i="10"/>
  <c r="P41" i="10" s="1"/>
  <c r="M56" i="10"/>
  <c r="P56" i="10" s="1"/>
  <c r="P113" i="10"/>
  <c r="M130" i="10"/>
  <c r="P130" i="10" s="1"/>
  <c r="P134" i="10"/>
  <c r="P177" i="10"/>
  <c r="M235" i="10"/>
  <c r="P235" i="10" s="1"/>
  <c r="M385" i="10"/>
  <c r="P385" i="10" s="1"/>
  <c r="P401" i="10"/>
  <c r="M462" i="10"/>
  <c r="P462" i="10" s="1"/>
  <c r="P524" i="10"/>
  <c r="P561" i="10"/>
  <c r="P605" i="10"/>
  <c r="M615" i="10"/>
  <c r="P615" i="10" s="1"/>
  <c r="M633" i="10"/>
  <c r="P633" i="10" s="1"/>
  <c r="P661" i="10"/>
  <c r="M686" i="10"/>
  <c r="M821" i="10"/>
  <c r="P825" i="10"/>
  <c r="P837" i="10"/>
  <c r="M845" i="10"/>
  <c r="P845" i="10" s="1"/>
  <c r="M849" i="10"/>
  <c r="P849" i="10" s="1"/>
  <c r="M853" i="10"/>
  <c r="P853" i="10" s="1"/>
  <c r="P900" i="10"/>
  <c r="P904" i="10"/>
  <c r="P916" i="10"/>
  <c r="M921" i="10"/>
  <c r="M952" i="10"/>
  <c r="P952" i="10" s="1"/>
  <c r="M982" i="10"/>
  <c r="P1089" i="10"/>
  <c r="M1119" i="10"/>
  <c r="P1119" i="10" s="1"/>
  <c r="P840" i="10"/>
  <c r="P26" i="10"/>
  <c r="M81" i="10"/>
  <c r="P81" i="10" s="1"/>
  <c r="M113" i="10"/>
  <c r="P149" i="10"/>
  <c r="P153" i="10"/>
  <c r="P158" i="10"/>
  <c r="M228" i="10"/>
  <c r="P228" i="10" s="1"/>
  <c r="P566" i="10"/>
  <c r="M720" i="10"/>
  <c r="P720" i="10" s="1"/>
  <c r="M825" i="10"/>
  <c r="M837" i="10"/>
  <c r="P875" i="10"/>
  <c r="P896" i="10"/>
  <c r="M900" i="10"/>
  <c r="P913" i="10"/>
  <c r="M991" i="10"/>
  <c r="P991" i="10" s="1"/>
  <c r="M1021" i="10"/>
  <c r="P1021" i="10" s="1"/>
  <c r="M1081" i="10"/>
  <c r="P1081" i="10" s="1"/>
  <c r="M858" i="10"/>
  <c r="P858" i="10" s="1"/>
  <c r="M875" i="10"/>
  <c r="P892" i="10"/>
  <c r="M913" i="10"/>
  <c r="P927" i="10"/>
  <c r="M1000" i="10"/>
  <c r="P1000" i="10" s="1"/>
  <c r="M1186" i="10"/>
  <c r="P1186" i="10" s="1"/>
  <c r="P122" i="10"/>
  <c r="M232" i="10"/>
  <c r="P232" i="10" s="1"/>
  <c r="P331" i="10"/>
  <c r="M361" i="10"/>
  <c r="P361" i="10" s="1"/>
  <c r="P365" i="10"/>
  <c r="M393" i="10"/>
  <c r="P393" i="10" s="1"/>
  <c r="M471" i="10"/>
  <c r="M580" i="10"/>
  <c r="P580" i="10" s="1"/>
  <c r="M606" i="10"/>
  <c r="P606" i="10" s="1"/>
  <c r="M683" i="10"/>
  <c r="P683" i="10" s="1"/>
  <c r="P755" i="10"/>
  <c r="P804" i="10"/>
  <c r="P905" i="10"/>
  <c r="M1009" i="10"/>
  <c r="P1009" i="10" s="1"/>
  <c r="P1182" i="10"/>
  <c r="P1212" i="10"/>
  <c r="P846" i="10"/>
  <c r="P110" i="10"/>
  <c r="P114" i="10"/>
  <c r="P353" i="10"/>
  <c r="P390" i="10"/>
  <c r="P441" i="10"/>
  <c r="P480" i="10"/>
  <c r="P567" i="10"/>
  <c r="M630" i="10"/>
  <c r="P630" i="10" s="1"/>
  <c r="P667" i="10"/>
  <c r="P687" i="10"/>
  <c r="M709" i="10"/>
  <c r="P709" i="10" s="1"/>
  <c r="M713" i="10"/>
  <c r="P713" i="10" s="1"/>
  <c r="P729" i="10"/>
  <c r="P788" i="10"/>
  <c r="M804" i="10"/>
  <c r="P822" i="10"/>
  <c r="M834" i="10"/>
  <c r="P834" i="10" s="1"/>
  <c r="M949" i="10"/>
  <c r="P949" i="10" s="1"/>
  <c r="M1018" i="10"/>
  <c r="P1018" i="10" s="1"/>
  <c r="M1039" i="10"/>
  <c r="P1039" i="10" s="1"/>
  <c r="P1216" i="10"/>
  <c r="P190" i="10"/>
  <c r="P198" i="10"/>
  <c r="P132" i="10"/>
  <c r="P179" i="10"/>
  <c r="P671" i="10"/>
  <c r="P675" i="10"/>
  <c r="M692" i="10"/>
  <c r="P692" i="10" s="1"/>
  <c r="P756" i="10"/>
  <c r="P855" i="10"/>
  <c r="P872" i="10"/>
  <c r="P881" i="10"/>
  <c r="M910" i="10"/>
  <c r="P910" i="10" s="1"/>
  <c r="P914" i="10"/>
  <c r="P918" i="10"/>
  <c r="M988" i="10"/>
  <c r="P988" i="10" s="1"/>
  <c r="M1060" i="10"/>
  <c r="P1060" i="10" s="1"/>
  <c r="M1082" i="10"/>
  <c r="P1082" i="10" s="1"/>
  <c r="P1095" i="10"/>
  <c r="M1216" i="10"/>
  <c r="M32" i="10"/>
  <c r="P32" i="10" s="1"/>
  <c r="M65" i="10"/>
  <c r="M78" i="10"/>
  <c r="P78" i="10" s="1"/>
  <c r="M119" i="10"/>
  <c r="P119" i="10" s="1"/>
  <c r="M132" i="10"/>
  <c r="M179" i="10"/>
  <c r="M195" i="10"/>
  <c r="P195" i="10" s="1"/>
  <c r="M215" i="10"/>
  <c r="P215" i="10" s="1"/>
  <c r="M251" i="10"/>
  <c r="P251" i="10" s="1"/>
  <c r="M328" i="10"/>
  <c r="P328" i="10" s="1"/>
  <c r="M332" i="10"/>
  <c r="M379" i="10"/>
  <c r="P379" i="10" s="1"/>
  <c r="P407" i="10"/>
  <c r="M411" i="10"/>
  <c r="P411" i="10" s="1"/>
  <c r="M494" i="10"/>
  <c r="P494" i="10" s="1"/>
  <c r="P503" i="10"/>
  <c r="P613" i="10"/>
  <c r="P736" i="10"/>
  <c r="P831" i="10"/>
  <c r="M843" i="10"/>
  <c r="P843" i="10" s="1"/>
  <c r="M872" i="10"/>
  <c r="M881" i="10"/>
  <c r="M914" i="10"/>
  <c r="P928" i="10"/>
  <c r="M937" i="10"/>
  <c r="M967" i="10"/>
  <c r="P967" i="10" s="1"/>
  <c r="M1027" i="10"/>
  <c r="P1027" i="10" s="1"/>
  <c r="M1196" i="10"/>
  <c r="P1196" i="10" s="1"/>
  <c r="P414" i="10"/>
  <c r="P97" i="10"/>
  <c r="P107" i="10"/>
  <c r="P128" i="10"/>
  <c r="P308" i="10"/>
  <c r="P530" i="10"/>
  <c r="M613" i="10"/>
  <c r="P722" i="10"/>
  <c r="P820" i="10"/>
  <c r="M898" i="10"/>
  <c r="P898" i="10" s="1"/>
  <c r="P911" i="10"/>
  <c r="M344" i="10"/>
  <c r="P344" i="10" s="1"/>
  <c r="M378" i="10"/>
  <c r="P378" i="10" s="1"/>
  <c r="P6" i="10"/>
  <c r="M6" i="10"/>
  <c r="P74" i="10"/>
  <c r="P83" i="10"/>
  <c r="M348" i="10"/>
  <c r="P348" i="10" s="1"/>
  <c r="M397" i="10"/>
  <c r="P397" i="10" s="1"/>
  <c r="M552" i="10"/>
  <c r="P552" i="10" s="1"/>
  <c r="P91" i="10"/>
  <c r="P100" i="10"/>
  <c r="P207" i="10"/>
  <c r="M341" i="10"/>
  <c r="P341" i="10"/>
  <c r="M623" i="10"/>
  <c r="P623" i="10" s="1"/>
  <c r="M753" i="10"/>
  <c r="P753" i="10" s="1"/>
  <c r="M947" i="10"/>
  <c r="P947" i="10" s="1"/>
  <c r="M1105" i="10"/>
  <c r="P1105" i="10" s="1"/>
  <c r="M323" i="10"/>
  <c r="P323" i="10" s="1"/>
  <c r="M445" i="10"/>
  <c r="P445" i="10" s="1"/>
  <c r="M497" i="10"/>
  <c r="P497" i="10" s="1"/>
  <c r="P11" i="10"/>
  <c r="M19" i="10"/>
  <c r="P19" i="10" s="1"/>
  <c r="P35" i="10"/>
  <c r="M53" i="10"/>
  <c r="P53" i="10" s="1"/>
  <c r="M175" i="10"/>
  <c r="P175" i="10" s="1"/>
  <c r="M349" i="10"/>
  <c r="P349" i="10" s="1"/>
  <c r="P366" i="10"/>
  <c r="M437" i="10"/>
  <c r="P437" i="10" s="1"/>
  <c r="M446" i="10"/>
  <c r="P446" i="10" s="1"/>
  <c r="M489" i="10"/>
  <c r="P489" i="10" s="1"/>
  <c r="M583" i="10"/>
  <c r="P583" i="10" s="1"/>
  <c r="M42" i="10"/>
  <c r="P42" i="10" s="1"/>
  <c r="P208" i="10"/>
  <c r="P225" i="10"/>
  <c r="P312" i="10"/>
  <c r="M312" i="10"/>
  <c r="P8" i="10"/>
  <c r="P39" i="10"/>
  <c r="P60" i="10"/>
  <c r="M106" i="10"/>
  <c r="P106" i="10" s="1"/>
  <c r="M157" i="10"/>
  <c r="P157" i="10" s="1"/>
  <c r="M187" i="10"/>
  <c r="P187" i="10" s="1"/>
  <c r="M253" i="10"/>
  <c r="P253" i="10" s="1"/>
  <c r="M728" i="10"/>
  <c r="P728" i="10" s="1"/>
  <c r="P501" i="10"/>
  <c r="P80" i="10"/>
  <c r="M218" i="10"/>
  <c r="P218" i="10" s="1"/>
  <c r="M429" i="10"/>
  <c r="P429" i="10" s="1"/>
  <c r="P88" i="10"/>
  <c r="P127" i="10"/>
  <c r="P329" i="10"/>
  <c r="P333" i="10"/>
  <c r="M333" i="10"/>
  <c r="M534" i="10"/>
  <c r="P534" i="10" s="1"/>
  <c r="P45" i="10"/>
  <c r="M549" i="10"/>
  <c r="P549" i="10" s="1"/>
  <c r="M50" i="10"/>
  <c r="P50" i="10" s="1"/>
  <c r="M72" i="10"/>
  <c r="P72" i="10" s="1"/>
  <c r="P219" i="10"/>
  <c r="M250" i="10"/>
  <c r="P250" i="10" s="1"/>
  <c r="M306" i="10"/>
  <c r="P306" i="10" s="1"/>
  <c r="M338" i="10"/>
  <c r="P338" i="10"/>
  <c r="M363" i="10"/>
  <c r="P363" i="10" s="1"/>
  <c r="M21" i="10"/>
  <c r="P21" i="10" s="1"/>
  <c r="P89" i="10"/>
  <c r="M141" i="10"/>
  <c r="P141" i="10" s="1"/>
  <c r="M150" i="10"/>
  <c r="P150" i="10" s="1"/>
  <c r="P246" i="10"/>
  <c r="M17" i="10"/>
  <c r="P17" i="10" s="1"/>
  <c r="M77" i="10"/>
  <c r="P77" i="10" s="1"/>
  <c r="P169" i="10"/>
  <c r="M185" i="10"/>
  <c r="P185" i="10" s="1"/>
  <c r="P201" i="10"/>
  <c r="M201" i="10"/>
  <c r="P295" i="10"/>
  <c r="M461" i="10"/>
  <c r="P461" i="10" s="1"/>
  <c r="M568" i="10"/>
  <c r="P568" i="10" s="1"/>
  <c r="M44" i="10"/>
  <c r="P44" i="10" s="1"/>
  <c r="P55" i="10"/>
  <c r="P94" i="10"/>
  <c r="P103" i="10"/>
  <c r="M223" i="10"/>
  <c r="P223" i="10" s="1"/>
  <c r="M284" i="10"/>
  <c r="P284" i="10" s="1"/>
  <c r="M607" i="10"/>
  <c r="P607" i="10" s="1"/>
  <c r="M789" i="10"/>
  <c r="P789" i="10" s="1"/>
  <c r="P22" i="10"/>
  <c r="M69" i="10"/>
  <c r="P69" i="10" s="1"/>
  <c r="M86" i="10"/>
  <c r="P86" i="10" s="1"/>
  <c r="P178" i="10"/>
  <c r="M182" i="10"/>
  <c r="P182" i="10" s="1"/>
  <c r="M213" i="10"/>
  <c r="P213" i="10" s="1"/>
  <c r="M243" i="10"/>
  <c r="P243" i="10" s="1"/>
  <c r="M356" i="10"/>
  <c r="P356" i="10" s="1"/>
  <c r="M449" i="10"/>
  <c r="P449" i="10" s="1"/>
  <c r="M773" i="10"/>
  <c r="P773" i="10"/>
  <c r="M779" i="10"/>
  <c r="P779" i="10"/>
  <c r="P165" i="10"/>
  <c r="P217" i="10"/>
  <c r="M420" i="10"/>
  <c r="P420" i="10" s="1"/>
  <c r="M448" i="10"/>
  <c r="P448" i="10" s="1"/>
  <c r="M492" i="10"/>
  <c r="P492" i="10" s="1"/>
  <c r="P783" i="10"/>
  <c r="P159" i="10"/>
  <c r="P162" i="10"/>
  <c r="P226" i="10"/>
  <c r="P260" i="10"/>
  <c r="P272" i="10"/>
  <c r="M389" i="10"/>
  <c r="P389" i="10" s="1"/>
  <c r="P405" i="10"/>
  <c r="M440" i="10"/>
  <c r="P440" i="10" s="1"/>
  <c r="P472" i="10"/>
  <c r="M484" i="10"/>
  <c r="P484" i="10" s="1"/>
  <c r="M509" i="10"/>
  <c r="P509" i="10" s="1"/>
  <c r="P518" i="10"/>
  <c r="P587" i="10"/>
  <c r="P591" i="10"/>
  <c r="M631" i="10"/>
  <c r="P631" i="10" s="1"/>
  <c r="M649" i="10"/>
  <c r="P649" i="10" s="1"/>
  <c r="P653" i="10"/>
  <c r="P705" i="10"/>
  <c r="M724" i="10"/>
  <c r="P724" i="10"/>
  <c r="M874" i="10"/>
  <c r="P874" i="10" s="1"/>
  <c r="M951" i="10"/>
  <c r="P951" i="10" s="1"/>
  <c r="M968" i="10"/>
  <c r="P968" i="10" s="1"/>
  <c r="M194" i="10"/>
  <c r="P194" i="10" s="1"/>
  <c r="P257" i="10"/>
  <c r="P269" i="10"/>
  <c r="P281" i="10"/>
  <c r="M316" i="10"/>
  <c r="P316" i="10" s="1"/>
  <c r="P352" i="10"/>
  <c r="M386" i="10"/>
  <c r="P386" i="10" s="1"/>
  <c r="M402" i="10"/>
  <c r="P402" i="10" s="1"/>
  <c r="P426" i="10"/>
  <c r="M469" i="10"/>
  <c r="P469" i="10" s="1"/>
  <c r="P557" i="10"/>
  <c r="P584" i="10"/>
  <c r="M612" i="10"/>
  <c r="P612" i="10" s="1"/>
  <c r="M637" i="10"/>
  <c r="P637" i="10" s="1"/>
  <c r="P690" i="10"/>
  <c r="M710" i="10"/>
  <c r="P710" i="10" s="1"/>
  <c r="M725" i="10"/>
  <c r="P725" i="10" s="1"/>
  <c r="P759" i="10"/>
  <c r="P764" i="10"/>
  <c r="M1008" i="10"/>
  <c r="P1008" i="10" s="1"/>
  <c r="M604" i="10"/>
  <c r="P604" i="10" s="1"/>
  <c r="P624" i="10"/>
  <c r="P188" i="10"/>
  <c r="M191" i="10"/>
  <c r="P191" i="10" s="1"/>
  <c r="M216" i="10"/>
  <c r="P216" i="10" s="1"/>
  <c r="P285" i="10"/>
  <c r="M330" i="10"/>
  <c r="P330" i="10" s="1"/>
  <c r="M383" i="10"/>
  <c r="P383" i="10" s="1"/>
  <c r="M466" i="10"/>
  <c r="P466" i="10" s="1"/>
  <c r="P474" i="10"/>
  <c r="P498" i="10"/>
  <c r="M565" i="10"/>
  <c r="P565" i="10" s="1"/>
  <c r="M620" i="10"/>
  <c r="P620" i="10" s="1"/>
  <c r="M707" i="10"/>
  <c r="P707" i="10" s="1"/>
  <c r="P711" i="10"/>
  <c r="M749" i="10"/>
  <c r="P749" i="10"/>
  <c r="M765" i="10"/>
  <c r="P765" i="10" s="1"/>
  <c r="P827" i="10"/>
  <c r="M851" i="10"/>
  <c r="P851" i="10" s="1"/>
  <c r="M1156" i="10"/>
  <c r="P1156" i="10" s="1"/>
  <c r="M154" i="10"/>
  <c r="P154" i="10" s="1"/>
  <c r="M247" i="10"/>
  <c r="P247" i="10" s="1"/>
  <c r="M299" i="10"/>
  <c r="P299" i="10" s="1"/>
  <c r="P360" i="10"/>
  <c r="M360" i="10"/>
  <c r="M399" i="10"/>
  <c r="P399" i="10" s="1"/>
  <c r="M531" i="10"/>
  <c r="P531" i="10" s="1"/>
  <c r="P539" i="10"/>
  <c r="M609" i="10"/>
  <c r="P609" i="10" s="1"/>
  <c r="M625" i="10"/>
  <c r="P625" i="10" s="1"/>
  <c r="M740" i="10"/>
  <c r="P740" i="10" s="1"/>
  <c r="M9" i="10"/>
  <c r="P9" i="10" s="1"/>
  <c r="M12" i="10"/>
  <c r="P12" i="10" s="1"/>
  <c r="M23" i="10"/>
  <c r="P23" i="10" s="1"/>
  <c r="M45" i="10"/>
  <c r="M61" i="10"/>
  <c r="P61" i="10" s="1"/>
  <c r="M84" i="10"/>
  <c r="P84" i="10" s="1"/>
  <c r="M89" i="10"/>
  <c r="M92" i="10"/>
  <c r="P92" i="10" s="1"/>
  <c r="M95" i="10"/>
  <c r="P95" i="10" s="1"/>
  <c r="M98" i="10"/>
  <c r="P98" i="10" s="1"/>
  <c r="M101" i="10"/>
  <c r="P101" i="10" s="1"/>
  <c r="M104" i="10"/>
  <c r="P104" i="10" s="1"/>
  <c r="M135" i="10"/>
  <c r="P135" i="10" s="1"/>
  <c r="M148" i="10"/>
  <c r="P148" i="10" s="1"/>
  <c r="M151" i="10"/>
  <c r="P151" i="10" s="1"/>
  <c r="M167" i="10"/>
  <c r="P167" i="10" s="1"/>
  <c r="M173" i="10"/>
  <c r="P173" i="10" s="1"/>
  <c r="M176" i="10"/>
  <c r="P176" i="10" s="1"/>
  <c r="M208" i="10"/>
  <c r="M219" i="10"/>
  <c r="M258" i="10"/>
  <c r="P258" i="10" s="1"/>
  <c r="P262" i="10"/>
  <c r="M266" i="10"/>
  <c r="P266" i="10" s="1"/>
  <c r="M270" i="10"/>
  <c r="P270" i="10" s="1"/>
  <c r="M278" i="10"/>
  <c r="P278" i="10" s="1"/>
  <c r="M282" i="10"/>
  <c r="P282" i="10" s="1"/>
  <c r="M293" i="10"/>
  <c r="P293" i="10" s="1"/>
  <c r="P296" i="10"/>
  <c r="M310" i="10"/>
  <c r="P310" i="10" s="1"/>
  <c r="P320" i="10"/>
  <c r="P346" i="10"/>
  <c r="P368" i="10"/>
  <c r="M418" i="10"/>
  <c r="P418" i="10" s="1"/>
  <c r="M423" i="10"/>
  <c r="P423" i="10" s="1"/>
  <c r="P431" i="10"/>
  <c r="P451" i="10"/>
  <c r="P487" i="10"/>
  <c r="M507" i="10"/>
  <c r="P507" i="10" s="1"/>
  <c r="P516" i="10"/>
  <c r="M539" i="10"/>
  <c r="M562" i="10"/>
  <c r="P562" i="10" s="1"/>
  <c r="P581" i="10"/>
  <c r="P589" i="10"/>
  <c r="P647" i="10"/>
  <c r="M651" i="10"/>
  <c r="P651" i="10" s="1"/>
  <c r="P708" i="10"/>
  <c r="M733" i="10"/>
  <c r="P733" i="10" s="1"/>
  <c r="P807" i="10"/>
  <c r="P812" i="10"/>
  <c r="M816" i="10"/>
  <c r="P816" i="10" s="1"/>
  <c r="M885" i="10"/>
  <c r="P885" i="10" s="1"/>
  <c r="M932" i="10"/>
  <c r="P932" i="10" s="1"/>
  <c r="M211" i="10"/>
  <c r="P211" i="10" s="1"/>
  <c r="M244" i="10"/>
  <c r="P244" i="10" s="1"/>
  <c r="M324" i="10"/>
  <c r="P324" i="10" s="1"/>
  <c r="M745" i="10"/>
  <c r="P745" i="10" s="1"/>
  <c r="M890" i="10"/>
  <c r="P890" i="10" s="1"/>
  <c r="M4" i="10"/>
  <c r="P4" i="10" s="1"/>
  <c r="M7" i="10"/>
  <c r="P7" i="10" s="1"/>
  <c r="M15" i="10"/>
  <c r="P15" i="10" s="1"/>
  <c r="M35" i="10"/>
  <c r="M43" i="10"/>
  <c r="P43" i="10" s="1"/>
  <c r="M51" i="10"/>
  <c r="P51" i="10" s="1"/>
  <c r="M70" i="10"/>
  <c r="P70" i="10" s="1"/>
  <c r="M129" i="10"/>
  <c r="P129" i="10" s="1"/>
  <c r="M142" i="10"/>
  <c r="P142" i="10" s="1"/>
  <c r="M155" i="10"/>
  <c r="P155" i="10" s="1"/>
  <c r="M161" i="10"/>
  <c r="P161" i="10" s="1"/>
  <c r="M202" i="10"/>
  <c r="P202" i="10" s="1"/>
  <c r="M225" i="10"/>
  <c r="M255" i="10"/>
  <c r="P255" i="10" s="1"/>
  <c r="M314" i="10"/>
  <c r="P314" i="10" s="1"/>
  <c r="M354" i="10"/>
  <c r="P354" i="10" s="1"/>
  <c r="M372" i="10"/>
  <c r="P372" i="10" s="1"/>
  <c r="M475" i="10"/>
  <c r="P475" i="10" s="1"/>
  <c r="M495" i="10"/>
  <c r="P495" i="10" s="1"/>
  <c r="M536" i="10"/>
  <c r="P536" i="10" s="1"/>
  <c r="M559" i="10"/>
  <c r="P559" i="10" s="1"/>
  <c r="M578" i="10"/>
  <c r="P578" i="10" s="1"/>
  <c r="M610" i="10"/>
  <c r="P610" i="10" s="1"/>
  <c r="M639" i="10"/>
  <c r="P639" i="10" s="1"/>
  <c r="M643" i="10"/>
  <c r="P643" i="10" s="1"/>
  <c r="P660" i="10"/>
  <c r="P672" i="10"/>
  <c r="M741" i="10"/>
  <c r="P741" i="10" s="1"/>
  <c r="M777" i="10"/>
  <c r="P777" i="10" s="1"/>
  <c r="M797" i="10"/>
  <c r="P797" i="10" s="1"/>
  <c r="M813" i="10"/>
  <c r="P813" i="10" s="1"/>
  <c r="M1069" i="10"/>
  <c r="P1069" i="10" s="1"/>
  <c r="P168" i="10"/>
  <c r="M241" i="10"/>
  <c r="P241" i="10" s="1"/>
  <c r="M263" i="10"/>
  <c r="P263" i="10" s="1"/>
  <c r="M275" i="10"/>
  <c r="P275" i="10" s="1"/>
  <c r="P283" i="10"/>
  <c r="P311" i="10"/>
  <c r="M321" i="10"/>
  <c r="P321" i="10" s="1"/>
  <c r="P336" i="10"/>
  <c r="P369" i="10"/>
  <c r="P381" i="10"/>
  <c r="M400" i="10"/>
  <c r="P400" i="10" s="1"/>
  <c r="P408" i="10"/>
  <c r="M432" i="10"/>
  <c r="P432" i="10" s="1"/>
  <c r="M443" i="10"/>
  <c r="P443" i="10" s="1"/>
  <c r="P452" i="10"/>
  <c r="P464" i="10"/>
  <c r="P500" i="10"/>
  <c r="M575" i="10"/>
  <c r="P575" i="10" s="1"/>
  <c r="M586" i="10"/>
  <c r="P586" i="10" s="1"/>
  <c r="M590" i="10"/>
  <c r="P590" i="10" s="1"/>
  <c r="P594" i="10"/>
  <c r="P635" i="10"/>
  <c r="P657" i="10"/>
  <c r="P696" i="10"/>
  <c r="M731" i="10"/>
  <c r="P731" i="10" s="1"/>
  <c r="P767" i="10"/>
  <c r="P803" i="10"/>
  <c r="M877" i="10"/>
  <c r="P877" i="10" s="1"/>
  <c r="M893" i="10"/>
  <c r="P893" i="10" s="1"/>
  <c r="M935" i="10"/>
  <c r="P935" i="10" s="1"/>
  <c r="P375" i="10"/>
  <c r="P458" i="10"/>
  <c r="P525" i="10"/>
  <c r="P528" i="10"/>
  <c r="M593" i="10"/>
  <c r="P593" i="10" s="1"/>
  <c r="P626" i="10"/>
  <c r="P638" i="10"/>
  <c r="P717" i="10"/>
  <c r="M748" i="10"/>
  <c r="P748" i="10" s="1"/>
  <c r="M763" i="10"/>
  <c r="P763" i="10" s="1"/>
  <c r="M772" i="10"/>
  <c r="P772" i="10" s="1"/>
  <c r="M787" i="10"/>
  <c r="P787" i="10" s="1"/>
  <c r="M796" i="10"/>
  <c r="P796" i="10" s="1"/>
  <c r="P801" i="10"/>
  <c r="M811" i="10"/>
  <c r="P811" i="10" s="1"/>
  <c r="P830" i="10"/>
  <c r="M1055" i="10"/>
  <c r="P1055" i="10" s="1"/>
  <c r="M1059" i="10"/>
  <c r="P1059" i="10" s="1"/>
  <c r="P1094" i="10"/>
  <c r="M1222" i="10"/>
  <c r="P1222" i="10" s="1"/>
  <c r="P455" i="10"/>
  <c r="P619" i="10"/>
  <c r="M622" i="10"/>
  <c r="P622" i="10" s="1"/>
  <c r="M634" i="10"/>
  <c r="P634" i="10" s="1"/>
  <c r="M646" i="10"/>
  <c r="P646" i="10" s="1"/>
  <c r="P714" i="10"/>
  <c r="P819" i="10"/>
  <c r="P936" i="10"/>
  <c r="M965" i="10"/>
  <c r="P965" i="10" s="1"/>
  <c r="P1044" i="10"/>
  <c r="M1194" i="10"/>
  <c r="P1194" i="10" s="1"/>
  <c r="M1240" i="10"/>
  <c r="P1240" i="10" s="1"/>
  <c r="M1019" i="10"/>
  <c r="P1019" i="10" s="1"/>
  <c r="M1023" i="10"/>
  <c r="P1023" i="10" s="1"/>
  <c r="M1161" i="10"/>
  <c r="P1161" i="10" s="1"/>
  <c r="P327" i="10"/>
  <c r="P357" i="10"/>
  <c r="M751" i="10"/>
  <c r="P751" i="10" s="1"/>
  <c r="M760" i="10"/>
  <c r="P760" i="10" s="1"/>
  <c r="M775" i="10"/>
  <c r="P775" i="10" s="1"/>
  <c r="M784" i="10"/>
  <c r="P784" i="10" s="1"/>
  <c r="M799" i="10"/>
  <c r="P799" i="10" s="1"/>
  <c r="M808" i="10"/>
  <c r="P808" i="10" s="1"/>
  <c r="M867" i="10"/>
  <c r="P867" i="10"/>
  <c r="P983" i="10"/>
  <c r="M987" i="10"/>
  <c r="P987" i="10" s="1"/>
  <c r="P1004" i="10"/>
  <c r="M1037" i="10"/>
  <c r="P1037" i="10" s="1"/>
  <c r="M1130" i="10"/>
  <c r="P1130" i="10" s="1"/>
  <c r="M1178" i="10"/>
  <c r="P1178" i="10" s="1"/>
  <c r="M256" i="10"/>
  <c r="P256" i="10" s="1"/>
  <c r="M259" i="10"/>
  <c r="P259" i="10" s="1"/>
  <c r="M262" i="10"/>
  <c r="M265" i="10"/>
  <c r="P265" i="10" s="1"/>
  <c r="M268" i="10"/>
  <c r="P268" i="10" s="1"/>
  <c r="M271" i="10"/>
  <c r="P271" i="10" s="1"/>
  <c r="M274" i="10"/>
  <c r="P274" i="10" s="1"/>
  <c r="M277" i="10"/>
  <c r="P277" i="10" s="1"/>
  <c r="M280" i="10"/>
  <c r="P280" i="10" s="1"/>
  <c r="M283" i="10"/>
  <c r="M290" i="10"/>
  <c r="P290" i="10" s="1"/>
  <c r="M292" i="10"/>
  <c r="P292" i="10" s="1"/>
  <c r="M294" i="10"/>
  <c r="P294" i="10" s="1"/>
  <c r="M302" i="10"/>
  <c r="P302" i="10" s="1"/>
  <c r="M327" i="10"/>
  <c r="M337" i="10"/>
  <c r="P337" i="10" s="1"/>
  <c r="M345" i="10"/>
  <c r="P345" i="10" s="1"/>
  <c r="M357" i="10"/>
  <c r="M380" i="10"/>
  <c r="P380" i="10" s="1"/>
  <c r="M415" i="10"/>
  <c r="P415" i="10" s="1"/>
  <c r="M422" i="10"/>
  <c r="P422" i="10" s="1"/>
  <c r="M425" i="10"/>
  <c r="P425" i="10" s="1"/>
  <c r="M431" i="10"/>
  <c r="M434" i="10"/>
  <c r="P434" i="10" s="1"/>
  <c r="M463" i="10"/>
  <c r="P463" i="10" s="1"/>
  <c r="M486" i="10"/>
  <c r="P486" i="10" s="1"/>
  <c r="M506" i="10"/>
  <c r="P506" i="10" s="1"/>
  <c r="M513" i="10"/>
  <c r="P513" i="10" s="1"/>
  <c r="M533" i="10"/>
  <c r="P533" i="10" s="1"/>
  <c r="M546" i="10"/>
  <c r="P546" i="10" s="1"/>
  <c r="M556" i="10"/>
  <c r="P556" i="10" s="1"/>
  <c r="M572" i="10"/>
  <c r="P572" i="10" s="1"/>
  <c r="M601" i="10"/>
  <c r="P601" i="10" s="1"/>
  <c r="M624" i="10"/>
  <c r="M628" i="10"/>
  <c r="P628" i="10" s="1"/>
  <c r="M632" i="10"/>
  <c r="P632" i="10" s="1"/>
  <c r="M636" i="10"/>
  <c r="P636" i="10" s="1"/>
  <c r="M640" i="10"/>
  <c r="P640" i="10" s="1"/>
  <c r="M644" i="10"/>
  <c r="P644" i="10" s="1"/>
  <c r="M648" i="10"/>
  <c r="P648" i="10" s="1"/>
  <c r="P666" i="10"/>
  <c r="P684" i="10"/>
  <c r="P702" i="10"/>
  <c r="P848" i="10"/>
  <c r="M880" i="10"/>
  <c r="P880" i="10" s="1"/>
  <c r="P887" i="10"/>
  <c r="M920" i="10"/>
  <c r="P920" i="10" s="1"/>
  <c r="M983" i="10"/>
  <c r="M1004" i="10"/>
  <c r="M1152" i="10"/>
  <c r="P1152" i="10" s="1"/>
  <c r="M305" i="10"/>
  <c r="P305" i="10" s="1"/>
  <c r="M313" i="10"/>
  <c r="P313" i="10" s="1"/>
  <c r="M319" i="10"/>
  <c r="P319" i="10" s="1"/>
  <c r="M334" i="10"/>
  <c r="P334" i="10" s="1"/>
  <c r="M340" i="10"/>
  <c r="P340" i="10" s="1"/>
  <c r="M351" i="10"/>
  <c r="P351" i="10" s="1"/>
  <c r="M377" i="10"/>
  <c r="P377" i="10" s="1"/>
  <c r="M396" i="10"/>
  <c r="P396" i="10" s="1"/>
  <c r="M412" i="10"/>
  <c r="P412" i="10" s="1"/>
  <c r="M419" i="10"/>
  <c r="P419" i="10" s="1"/>
  <c r="M428" i="10"/>
  <c r="P428" i="10" s="1"/>
  <c r="M460" i="10"/>
  <c r="P460" i="10" s="1"/>
  <c r="M483" i="10"/>
  <c r="P483" i="10" s="1"/>
  <c r="M543" i="10"/>
  <c r="P543" i="10" s="1"/>
  <c r="M569" i="10"/>
  <c r="P569" i="10" s="1"/>
  <c r="M598" i="10"/>
  <c r="P598" i="10" s="1"/>
  <c r="P656" i="10"/>
  <c r="M726" i="10"/>
  <c r="P726" i="10" s="1"/>
  <c r="M742" i="10"/>
  <c r="P742" i="10" s="1"/>
  <c r="M761" i="10"/>
  <c r="P761" i="10"/>
  <c r="M785" i="10"/>
  <c r="P785" i="10" s="1"/>
  <c r="M809" i="10"/>
  <c r="P809" i="10" s="1"/>
  <c r="M860" i="10"/>
  <c r="P860" i="10" s="1"/>
  <c r="M1088" i="10"/>
  <c r="P1088" i="10" s="1"/>
  <c r="M1148" i="10"/>
  <c r="P1148" i="10" s="1"/>
  <c r="P384" i="10"/>
  <c r="M387" i="10"/>
  <c r="P387" i="10" s="1"/>
  <c r="M409" i="10"/>
  <c r="P409" i="10" s="1"/>
  <c r="P467" i="10"/>
  <c r="P490" i="10"/>
  <c r="P493" i="10"/>
  <c r="P496" i="10"/>
  <c r="M496" i="10"/>
  <c r="P537" i="10"/>
  <c r="M540" i="10"/>
  <c r="P540" i="10" s="1"/>
  <c r="P629" i="10"/>
  <c r="P641" i="10"/>
  <c r="P663" i="10"/>
  <c r="P681" i="10"/>
  <c r="P699" i="10"/>
  <c r="M735" i="10"/>
  <c r="P735" i="10" s="1"/>
  <c r="P738" i="10"/>
  <c r="P747" i="10"/>
  <c r="P752" i="10"/>
  <c r="P771" i="10"/>
  <c r="P776" i="10"/>
  <c r="P795" i="10"/>
  <c r="P800" i="10"/>
  <c r="M868" i="10"/>
  <c r="P868" i="10" s="1"/>
  <c r="P888" i="10"/>
  <c r="P972" i="10"/>
  <c r="M1001" i="10"/>
  <c r="P1001" i="10" s="1"/>
  <c r="M1144" i="10"/>
  <c r="P1144" i="10" s="1"/>
  <c r="M1169" i="10"/>
  <c r="P1169" i="10" s="1"/>
  <c r="M854" i="10"/>
  <c r="P854" i="10" s="1"/>
  <c r="P923" i="10"/>
  <c r="P1126" i="10"/>
  <c r="M1151" i="10"/>
  <c r="P1151" i="10" s="1"/>
  <c r="M757" i="10"/>
  <c r="P757" i="10" s="1"/>
  <c r="M769" i="10"/>
  <c r="P769" i="10" s="1"/>
  <c r="M781" i="10"/>
  <c r="P781" i="10" s="1"/>
  <c r="M793" i="10"/>
  <c r="P793" i="10" s="1"/>
  <c r="M805" i="10"/>
  <c r="P805" i="10" s="1"/>
  <c r="P897" i="10"/>
  <c r="M933" i="10"/>
  <c r="P933" i="10" s="1"/>
  <c r="M953" i="10"/>
  <c r="P953" i="10" s="1"/>
  <c r="M969" i="10"/>
  <c r="P969" i="10" s="1"/>
  <c r="M1005" i="10"/>
  <c r="P1005" i="10" s="1"/>
  <c r="M1041" i="10"/>
  <c r="P1041" i="10" s="1"/>
  <c r="M1074" i="10"/>
  <c r="P1074" i="10" s="1"/>
  <c r="M1123" i="10"/>
  <c r="P1123" i="10" s="1"/>
  <c r="M1236" i="10"/>
  <c r="P1236" i="10" s="1"/>
  <c r="M871" i="10"/>
  <c r="P871" i="10" s="1"/>
  <c r="P954" i="10"/>
  <c r="M352" i="10"/>
  <c r="M392" i="10"/>
  <c r="P392" i="10" s="1"/>
  <c r="M395" i="10"/>
  <c r="P395" i="10" s="1"/>
  <c r="M398" i="10"/>
  <c r="P398" i="10" s="1"/>
  <c r="M421" i="10"/>
  <c r="P421" i="10" s="1"/>
  <c r="M435" i="10"/>
  <c r="P435" i="10" s="1"/>
  <c r="M470" i="10"/>
  <c r="P470" i="10" s="1"/>
  <c r="M473" i="10"/>
  <c r="P473" i="10" s="1"/>
  <c r="M476" i="10"/>
  <c r="P476" i="10" s="1"/>
  <c r="M499" i="10"/>
  <c r="P499" i="10" s="1"/>
  <c r="M502" i="10"/>
  <c r="P502" i="10" s="1"/>
  <c r="M505" i="10"/>
  <c r="P505" i="10" s="1"/>
  <c r="M508" i="10"/>
  <c r="P508" i="10" s="1"/>
  <c r="M511" i="10"/>
  <c r="P511" i="10" s="1"/>
  <c r="M514" i="10"/>
  <c r="P514" i="10" s="1"/>
  <c r="M517" i="10"/>
  <c r="P517" i="10" s="1"/>
  <c r="M520" i="10"/>
  <c r="P520" i="10" s="1"/>
  <c r="M555" i="10"/>
  <c r="P555" i="10" s="1"/>
  <c r="M558" i="10"/>
  <c r="P558" i="10" s="1"/>
  <c r="M652" i="10"/>
  <c r="P652" i="10" s="1"/>
  <c r="M655" i="10"/>
  <c r="P655" i="10" s="1"/>
  <c r="M723" i="10"/>
  <c r="P723" i="10" s="1"/>
  <c r="P746" i="10"/>
  <c r="M750" i="10"/>
  <c r="P750" i="10" s="1"/>
  <c r="M754" i="10"/>
  <c r="P754" i="10" s="1"/>
  <c r="P758" i="10"/>
  <c r="M762" i="10"/>
  <c r="P762" i="10" s="1"/>
  <c r="P766" i="10"/>
  <c r="M766" i="10"/>
  <c r="P770" i="10"/>
  <c r="M774" i="10"/>
  <c r="P774" i="10" s="1"/>
  <c r="M778" i="10"/>
  <c r="P778" i="10" s="1"/>
  <c r="P782" i="10"/>
  <c r="M786" i="10"/>
  <c r="P786" i="10" s="1"/>
  <c r="M790" i="10"/>
  <c r="P790" i="10" s="1"/>
  <c r="P794" i="10"/>
  <c r="M798" i="10"/>
  <c r="P798" i="10" s="1"/>
  <c r="M802" i="10"/>
  <c r="P802" i="10" s="1"/>
  <c r="P806" i="10"/>
  <c r="M810" i="10"/>
  <c r="P810" i="10" s="1"/>
  <c r="M814" i="10"/>
  <c r="P814" i="10" s="1"/>
  <c r="M824" i="10"/>
  <c r="P824" i="10" s="1"/>
  <c r="M842" i="10"/>
  <c r="P842" i="10" s="1"/>
  <c r="M894" i="10"/>
  <c r="P894" i="10" s="1"/>
  <c r="P909" i="10"/>
  <c r="M926" i="10"/>
  <c r="P926" i="10" s="1"/>
  <c r="M954" i="10"/>
  <c r="P986" i="10"/>
  <c r="M990" i="10"/>
  <c r="P990" i="10" s="1"/>
  <c r="M1026" i="10"/>
  <c r="P1026" i="10" s="1"/>
  <c r="M1062" i="10"/>
  <c r="P1062" i="10" s="1"/>
  <c r="M1091" i="10"/>
  <c r="P1091" i="10" s="1"/>
  <c r="M1141" i="10"/>
  <c r="P1141" i="10" s="1"/>
  <c r="M1170" i="10"/>
  <c r="P1170" i="10" s="1"/>
  <c r="M857" i="10"/>
  <c r="P857" i="10" s="1"/>
  <c r="P891" i="10"/>
  <c r="M950" i="10"/>
  <c r="P950" i="10" s="1"/>
  <c r="M986" i="10"/>
  <c r="P1108" i="10"/>
  <c r="M1112" i="10"/>
  <c r="P1112" i="10" s="1"/>
  <c r="M1160" i="10"/>
  <c r="P1160" i="10" s="1"/>
  <c r="P1165" i="10"/>
  <c r="M1225" i="10"/>
  <c r="P1225" i="10" s="1"/>
  <c r="P1022" i="10"/>
  <c r="P1040" i="10"/>
  <c r="P1058" i="10"/>
  <c r="P1097" i="10"/>
  <c r="P1115" i="10"/>
  <c r="P1133" i="10"/>
  <c r="P1228" i="10"/>
  <c r="P1235" i="10"/>
  <c r="P962" i="10"/>
  <c r="M863" i="10"/>
  <c r="P863" i="10" s="1"/>
  <c r="M883" i="10"/>
  <c r="P883" i="10" s="1"/>
  <c r="P901" i="10"/>
  <c r="M917" i="10"/>
  <c r="P917" i="10" s="1"/>
  <c r="M930" i="10"/>
  <c r="P930" i="10" s="1"/>
  <c r="M944" i="10"/>
  <c r="P944" i="10" s="1"/>
  <c r="P948" i="10"/>
  <c r="M962" i="10"/>
  <c r="P966" i="10"/>
  <c r="M980" i="10"/>
  <c r="P980" i="10" s="1"/>
  <c r="P984" i="10"/>
  <c r="M998" i="10"/>
  <c r="P998" i="10" s="1"/>
  <c r="P1002" i="10"/>
  <c r="M1016" i="10"/>
  <c r="P1016" i="10" s="1"/>
  <c r="P1020" i="10"/>
  <c r="M1034" i="10"/>
  <c r="P1034" i="10" s="1"/>
  <c r="P1038" i="10"/>
  <c r="M1052" i="10"/>
  <c r="P1052" i="10" s="1"/>
  <c r="P1056" i="10"/>
  <c r="P1070" i="10"/>
  <c r="P1075" i="10"/>
  <c r="M1085" i="10"/>
  <c r="P1085" i="10" s="1"/>
  <c r="P1102" i="10"/>
  <c r="M1109" i="10"/>
  <c r="P1109" i="10" s="1"/>
  <c r="P1120" i="10"/>
  <c r="M1127" i="10"/>
  <c r="P1127" i="10" s="1"/>
  <c r="P1138" i="10"/>
  <c r="M1145" i="10"/>
  <c r="P1145" i="10" s="1"/>
  <c r="M1157" i="10"/>
  <c r="P1157" i="10" s="1"/>
  <c r="M1166" i="10"/>
  <c r="P1166" i="10" s="1"/>
  <c r="M1175" i="10"/>
  <c r="P1175" i="10" s="1"/>
  <c r="P1179" i="10"/>
  <c r="P1191" i="10"/>
  <c r="P1209" i="10"/>
  <c r="M1219" i="10"/>
  <c r="P1219" i="10" s="1"/>
  <c r="M1241" i="10"/>
  <c r="P1241" i="10" s="1"/>
  <c r="P1106" i="10"/>
  <c r="P1142" i="10"/>
  <c r="P1237" i="10"/>
  <c r="M1237" i="10"/>
  <c r="M852" i="10"/>
  <c r="P852" i="10" s="1"/>
  <c r="M889" i="10"/>
  <c r="P889" i="10" s="1"/>
  <c r="P895" i="10"/>
  <c r="M908" i="10"/>
  <c r="P908" i="10" s="1"/>
  <c r="M924" i="10"/>
  <c r="P924" i="10" s="1"/>
  <c r="M941" i="10"/>
  <c r="P941" i="10" s="1"/>
  <c r="P945" i="10"/>
  <c r="M959" i="10"/>
  <c r="P959" i="10" s="1"/>
  <c r="P963" i="10"/>
  <c r="M977" i="10"/>
  <c r="P977" i="10" s="1"/>
  <c r="P981" i="10"/>
  <c r="M995" i="10"/>
  <c r="P995" i="10" s="1"/>
  <c r="P999" i="10"/>
  <c r="M1013" i="10"/>
  <c r="P1013" i="10" s="1"/>
  <c r="P1017" i="10"/>
  <c r="M1031" i="10"/>
  <c r="P1031" i="10" s="1"/>
  <c r="P1035" i="10"/>
  <c r="M1049" i="10"/>
  <c r="P1049" i="10" s="1"/>
  <c r="P1053" i="10"/>
  <c r="M1067" i="10"/>
  <c r="P1067" i="10" s="1"/>
  <c r="M1071" i="10"/>
  <c r="P1071" i="10" s="1"/>
  <c r="P1099" i="10"/>
  <c r="M1106" i="10"/>
  <c r="P1117" i="10"/>
  <c r="M1124" i="10"/>
  <c r="P1124" i="10" s="1"/>
  <c r="P1135" i="10"/>
  <c r="M1142" i="10"/>
  <c r="P1153" i="10"/>
  <c r="P1158" i="10"/>
  <c r="P1162" i="10"/>
  <c r="P1167" i="10"/>
  <c r="P1171" i="10"/>
  <c r="P1176" i="10"/>
  <c r="P1206" i="10"/>
  <c r="P1230" i="10"/>
  <c r="P1238" i="10"/>
  <c r="P1242" i="10"/>
  <c r="M938" i="10"/>
  <c r="P938" i="10" s="1"/>
  <c r="P942" i="10"/>
  <c r="M956" i="10"/>
  <c r="P956" i="10" s="1"/>
  <c r="P960" i="10"/>
  <c r="M974" i="10"/>
  <c r="P974" i="10" s="1"/>
  <c r="P978" i="10"/>
  <c r="M992" i="10"/>
  <c r="P992" i="10" s="1"/>
  <c r="P996" i="10"/>
  <c r="M1010" i="10"/>
  <c r="P1010" i="10" s="1"/>
  <c r="P1014" i="10"/>
  <c r="M1028" i="10"/>
  <c r="P1028" i="10" s="1"/>
  <c r="P1032" i="10"/>
  <c r="M1046" i="10"/>
  <c r="P1046" i="10" s="1"/>
  <c r="P1050" i="10"/>
  <c r="M1064" i="10"/>
  <c r="P1064" i="10" s="1"/>
  <c r="P1068" i="10"/>
  <c r="P1072" i="10"/>
  <c r="P1076" i="10"/>
  <c r="P1096" i="10"/>
  <c r="M1103" i="10"/>
  <c r="P1103" i="10" s="1"/>
  <c r="P1114" i="10"/>
  <c r="M1121" i="10"/>
  <c r="P1121" i="10" s="1"/>
  <c r="P1132" i="10"/>
  <c r="M1139" i="10"/>
  <c r="P1139" i="10" s="1"/>
  <c r="P1150" i="10"/>
  <c r="M1154" i="10"/>
  <c r="P1154" i="10" s="1"/>
  <c r="M1163" i="10"/>
  <c r="P1163" i="10" s="1"/>
  <c r="M1172" i="10"/>
  <c r="P1172" i="10" s="1"/>
  <c r="P1203" i="10"/>
  <c r="P1227" i="10"/>
  <c r="M1238" i="10"/>
  <c r="M1234" i="10"/>
  <c r="P1234" i="10" s="1"/>
  <c r="M1243" i="10"/>
  <c r="P1243" i="10" s="1"/>
  <c r="P939" i="10"/>
  <c r="P957" i="10"/>
  <c r="M971" i="10"/>
  <c r="P971" i="10" s="1"/>
  <c r="P975" i="10"/>
  <c r="M989" i="10"/>
  <c r="P989" i="10" s="1"/>
  <c r="P993" i="10"/>
  <c r="M1007" i="10"/>
  <c r="P1007" i="10" s="1"/>
  <c r="P1011" i="10"/>
  <c r="M1025" i="10"/>
  <c r="P1025" i="10" s="1"/>
  <c r="P1029" i="10"/>
  <c r="M1043" i="10"/>
  <c r="P1043" i="10" s="1"/>
  <c r="P1047" i="10"/>
  <c r="M1061" i="10"/>
  <c r="P1061" i="10" s="1"/>
  <c r="P1065" i="10"/>
  <c r="M1077" i="10"/>
  <c r="P1077" i="10" s="1"/>
  <c r="M1100" i="10"/>
  <c r="P1100" i="10" s="1"/>
  <c r="P1111" i="10"/>
  <c r="M1118" i="10"/>
  <c r="P1118" i="10" s="1"/>
  <c r="P1129" i="10"/>
  <c r="M1136" i="10"/>
  <c r="P1136" i="10" s="1"/>
  <c r="P1147" i="10"/>
  <c r="P1155" i="10"/>
  <c r="P1159" i="10"/>
  <c r="P1164" i="10"/>
  <c r="P1168" i="10"/>
  <c r="P1173" i="10"/>
  <c r="P1177" i="10"/>
  <c r="P1185" i="10"/>
  <c r="P1200" i="10"/>
  <c r="P1224" i="10"/>
  <c r="M1231" i="10"/>
  <c r="P1231" i="10" s="1"/>
  <c r="M1181" i="10"/>
  <c r="P1181" i="10" s="1"/>
  <c r="M1184" i="10"/>
  <c r="P1184" i="10" s="1"/>
  <c r="M1187" i="10"/>
  <c r="P1187" i="10" s="1"/>
  <c r="M1190" i="10"/>
  <c r="P1190" i="10" s="1"/>
  <c r="S247" i="12"/>
  <c r="S727" i="12"/>
  <c r="S430" i="12"/>
  <c r="S444" i="12"/>
  <c r="S656" i="12"/>
  <c r="S345" i="12"/>
  <c r="S307" i="12"/>
  <c r="S701" i="12"/>
  <c r="S731" i="12"/>
  <c r="P776" i="12"/>
  <c r="S776" i="12" s="1"/>
  <c r="S717" i="12"/>
  <c r="P183" i="12"/>
  <c r="S183" i="12" s="1"/>
  <c r="S254" i="12"/>
  <c r="S878" i="12"/>
  <c r="S850" i="12"/>
  <c r="S148" i="12"/>
  <c r="S888" i="12"/>
  <c r="S25" i="12"/>
  <c r="S122" i="12"/>
  <c r="S129" i="12"/>
  <c r="P511" i="12"/>
  <c r="S511" i="12" s="1"/>
  <c r="S739" i="12"/>
  <c r="S5" i="12"/>
  <c r="S213" i="12"/>
  <c r="S289" i="12"/>
  <c r="S505" i="12"/>
  <c r="P699" i="12"/>
  <c r="S699" i="12" s="1"/>
  <c r="S813" i="12"/>
  <c r="S817" i="12"/>
  <c r="S1073" i="12"/>
  <c r="S1095" i="12"/>
  <c r="S142" i="12"/>
  <c r="S233" i="12"/>
  <c r="S570" i="12"/>
  <c r="P753" i="12"/>
  <c r="S753" i="12" s="1"/>
  <c r="P1023" i="12"/>
  <c r="S1023" i="12" s="1"/>
  <c r="P1000" i="12"/>
  <c r="S1000" i="12" s="1"/>
  <c r="S982" i="12"/>
  <c r="P55" i="12"/>
  <c r="S55" i="12" s="1"/>
  <c r="S145" i="12"/>
  <c r="S427" i="12"/>
  <c r="P516" i="12"/>
  <c r="S516" i="12" s="1"/>
  <c r="S666" i="12"/>
  <c r="P815" i="12"/>
  <c r="S815" i="12" s="1"/>
  <c r="S33" i="12"/>
  <c r="S214" i="12"/>
  <c r="P432" i="12"/>
  <c r="S432" i="12" s="1"/>
  <c r="S571" i="12"/>
  <c r="S861" i="12"/>
  <c r="S880" i="12"/>
  <c r="S952" i="12"/>
  <c r="S1028" i="12"/>
  <c r="P1055" i="12"/>
  <c r="S1055" i="12" s="1"/>
  <c r="S1219" i="12"/>
  <c r="S42" i="12"/>
  <c r="S221" i="12"/>
  <c r="P242" i="12"/>
  <c r="S242" i="12" s="1"/>
  <c r="S365" i="12"/>
  <c r="S433" i="12"/>
  <c r="P674" i="12"/>
  <c r="S674" i="12" s="1"/>
  <c r="P960" i="12"/>
  <c r="S960" i="12" s="1"/>
  <c r="P1075" i="12"/>
  <c r="S1075" i="12" s="1"/>
  <c r="S568" i="12"/>
  <c r="S442" i="12"/>
  <c r="P559" i="12"/>
  <c r="S559" i="12" s="1"/>
  <c r="P692" i="12"/>
  <c r="S692" i="12" s="1"/>
  <c r="P718" i="12"/>
  <c r="S718" i="12" s="1"/>
  <c r="P726" i="12"/>
  <c r="S726" i="12" s="1"/>
  <c r="S792" i="12"/>
  <c r="S963" i="12"/>
  <c r="S1214" i="12"/>
  <c r="P191" i="12"/>
  <c r="S191" i="12" s="1"/>
  <c r="S210" i="12"/>
  <c r="S326" i="12"/>
  <c r="S807" i="12"/>
  <c r="P852" i="12"/>
  <c r="S852" i="12" s="1"/>
  <c r="S874" i="12"/>
  <c r="S1020" i="12"/>
  <c r="S1070" i="12"/>
  <c r="P66" i="12"/>
  <c r="S66" i="12" s="1"/>
  <c r="P238" i="12"/>
  <c r="S238" i="12" s="1"/>
  <c r="S286" i="12"/>
  <c r="P281" i="12"/>
  <c r="S281" i="12" s="1"/>
  <c r="S484" i="12"/>
  <c r="S664" i="12"/>
  <c r="P678" i="12"/>
  <c r="S678" i="12" s="1"/>
  <c r="P991" i="12"/>
  <c r="S991" i="12" s="1"/>
  <c r="P1051" i="12"/>
  <c r="S1051" i="12" s="1"/>
  <c r="P81" i="12"/>
  <c r="S81" i="12" s="1"/>
  <c r="P198" i="12"/>
  <c r="S198" i="12" s="1"/>
  <c r="P244" i="12"/>
  <c r="S244" i="12" s="1"/>
  <c r="P263" i="12"/>
  <c r="S263" i="12" s="1"/>
  <c r="P551" i="12"/>
  <c r="S551" i="12" s="1"/>
  <c r="P601" i="12"/>
  <c r="S601" i="12" s="1"/>
  <c r="P644" i="12"/>
  <c r="S644" i="12" s="1"/>
  <c r="P759" i="12"/>
  <c r="S759" i="12" s="1"/>
  <c r="P936" i="12"/>
  <c r="S936" i="12" s="1"/>
  <c r="S954" i="12"/>
  <c r="P112" i="12"/>
  <c r="S112" i="12" s="1"/>
  <c r="P300" i="12"/>
  <c r="S300" i="12" s="1"/>
  <c r="P318" i="12"/>
  <c r="S318" i="12" s="1"/>
  <c r="P360" i="12"/>
  <c r="S360" i="12" s="1"/>
  <c r="P976" i="12"/>
  <c r="S976" i="12" s="1"/>
  <c r="P377" i="12"/>
  <c r="S377" i="12" s="1"/>
  <c r="S390" i="12"/>
  <c r="P419" i="12"/>
  <c r="S419" i="12" s="1"/>
  <c r="P482" i="12"/>
  <c r="S482" i="12" s="1"/>
  <c r="P487" i="12"/>
  <c r="S487" i="12" s="1"/>
  <c r="P529" i="12"/>
  <c r="S529" i="12" s="1"/>
  <c r="P658" i="12"/>
  <c r="S658" i="12" s="1"/>
  <c r="P12" i="12"/>
  <c r="S12" i="12" s="1"/>
  <c r="P972" i="12"/>
  <c r="S972" i="12" s="1"/>
  <c r="P27" i="12"/>
  <c r="S27" i="12" s="1"/>
  <c r="S615" i="12"/>
  <c r="P1043" i="12"/>
  <c r="S1043" i="12" s="1"/>
  <c r="P135" i="12"/>
  <c r="S135" i="12" s="1"/>
  <c r="S34" i="12"/>
  <c r="P87" i="12"/>
  <c r="S87" i="12" s="1"/>
  <c r="P341" i="12"/>
  <c r="S341" i="12" s="1"/>
  <c r="S380" i="12"/>
  <c r="P577" i="12"/>
  <c r="S577" i="12" s="1"/>
  <c r="S648" i="12"/>
  <c r="P653" i="12"/>
  <c r="S653" i="12" s="1"/>
  <c r="P723" i="12"/>
  <c r="S723" i="12" s="1"/>
  <c r="P774" i="12"/>
  <c r="S774" i="12" s="1"/>
  <c r="P750" i="12"/>
  <c r="S750" i="12" s="1"/>
  <c r="P1017" i="12"/>
  <c r="S1017" i="12" s="1"/>
  <c r="P179" i="12"/>
  <c r="S179" i="12" s="1"/>
  <c r="P504" i="12"/>
  <c r="S504" i="12" s="1"/>
  <c r="P599" i="12"/>
  <c r="S599" i="12" s="1"/>
  <c r="P946" i="12"/>
  <c r="S946" i="12" s="1"/>
  <c r="P1029" i="12"/>
  <c r="S1029" i="12" s="1"/>
  <c r="P315" i="12"/>
  <c r="S315" i="12" s="1"/>
  <c r="P413" i="12"/>
  <c r="S413" i="12" s="1"/>
  <c r="S591" i="12"/>
  <c r="P767" i="12"/>
  <c r="S767" i="12" s="1"/>
  <c r="P978" i="12"/>
  <c r="S978" i="12" s="1"/>
  <c r="S1038" i="12"/>
  <c r="P43" i="12"/>
  <c r="S43" i="12" s="1"/>
  <c r="P261" i="12"/>
  <c r="S261" i="12" s="1"/>
  <c r="P364" i="12"/>
  <c r="S364" i="12" s="1"/>
  <c r="P651" i="12"/>
  <c r="S651" i="12" s="1"/>
  <c r="P811" i="12"/>
  <c r="S811" i="12" s="1"/>
  <c r="P1001" i="12"/>
  <c r="S1001" i="12" s="1"/>
  <c r="S53" i="12"/>
  <c r="P243" i="12"/>
  <c r="S243" i="12" s="1"/>
  <c r="P352" i="12"/>
  <c r="S352" i="12" s="1"/>
  <c r="S512" i="12"/>
  <c r="P849" i="12"/>
  <c r="S849" i="12" s="1"/>
  <c r="P938" i="12"/>
  <c r="S938" i="12" s="1"/>
  <c r="P1040" i="12"/>
  <c r="S1040" i="12" s="1"/>
  <c r="S47" i="12"/>
  <c r="S74" i="12"/>
  <c r="S440" i="12"/>
  <c r="S481" i="12"/>
  <c r="P579" i="12"/>
  <c r="S579" i="12" s="1"/>
  <c r="S633" i="12"/>
  <c r="S631" i="12"/>
  <c r="P639" i="12"/>
  <c r="S639" i="12" s="1"/>
  <c r="P673" i="12"/>
  <c r="S673" i="12" s="1"/>
  <c r="S696" i="12"/>
  <c r="P730" i="12"/>
  <c r="S730" i="12" s="1"/>
  <c r="S779" i="12"/>
  <c r="S790" i="12"/>
  <c r="P932" i="12"/>
  <c r="S932" i="12" s="1"/>
  <c r="P974" i="12"/>
  <c r="S974" i="12" s="1"/>
  <c r="P995" i="12"/>
  <c r="S995" i="12" s="1"/>
  <c r="S1027" i="12"/>
  <c r="S1042" i="12"/>
  <c r="S1067" i="12"/>
  <c r="S1077" i="12"/>
  <c r="S245" i="12"/>
  <c r="P353" i="12"/>
  <c r="S353" i="12" s="1"/>
  <c r="S426" i="12"/>
  <c r="P616" i="12"/>
  <c r="S616" i="12" s="1"/>
  <c r="P676" i="12"/>
  <c r="S676" i="12" s="1"/>
  <c r="S800" i="12"/>
  <c r="P851" i="12"/>
  <c r="S851" i="12" s="1"/>
  <c r="S873" i="12"/>
  <c r="S953" i="12"/>
  <c r="P1008" i="12"/>
  <c r="S1008" i="12" s="1"/>
  <c r="S1019" i="12"/>
  <c r="S992" i="12"/>
  <c r="S1035" i="12"/>
  <c r="P1220" i="12"/>
  <c r="S1220" i="12" s="1"/>
  <c r="P1106" i="12"/>
  <c r="S1106" i="12" s="1"/>
  <c r="P1122" i="12"/>
  <c r="S1122" i="12" s="1"/>
  <c r="P1133" i="12"/>
  <c r="S1133" i="12" s="1"/>
  <c r="S1149" i="12"/>
  <c r="S1165" i="12"/>
  <c r="P1227" i="12"/>
  <c r="S1227" i="12" s="1"/>
  <c r="S908" i="12"/>
  <c r="S1010" i="12"/>
  <c r="S1175" i="12"/>
  <c r="P215" i="12"/>
  <c r="S215" i="12" s="1"/>
  <c r="S313" i="12"/>
  <c r="S319" i="12"/>
  <c r="S347" i="12"/>
  <c r="S434" i="12"/>
  <c r="S449" i="12"/>
  <c r="P618" i="12"/>
  <c r="S618" i="12" s="1"/>
  <c r="S671" i="12"/>
  <c r="S709" i="12"/>
  <c r="S843" i="12"/>
  <c r="S871" i="12"/>
  <c r="S894" i="12"/>
  <c r="S930" i="12"/>
  <c r="S941" i="12"/>
  <c r="S1013" i="12"/>
  <c r="S1034" i="12"/>
  <c r="P1058" i="12"/>
  <c r="S1058" i="12" s="1"/>
  <c r="P1092" i="12"/>
  <c r="S1092" i="12" s="1"/>
  <c r="S1102" i="12"/>
  <c r="S1111" i="12"/>
  <c r="S1117" i="12"/>
  <c r="S1130" i="12"/>
  <c r="S1126" i="12"/>
  <c r="P1142" i="12"/>
  <c r="S1142" i="12" s="1"/>
  <c r="P1154" i="12"/>
  <c r="S1154" i="12" s="1"/>
  <c r="S1181" i="12"/>
  <c r="S1205" i="12"/>
  <c r="S1225" i="12"/>
  <c r="S1232" i="12"/>
  <c r="S801" i="12"/>
  <c r="S868" i="12"/>
  <c r="S964" i="12"/>
  <c r="S209" i="12"/>
  <c r="S285" i="12"/>
  <c r="S477" i="12"/>
  <c r="P483" i="12"/>
  <c r="S483" i="12" s="1"/>
  <c r="S661" i="12"/>
  <c r="S681" i="12"/>
  <c r="P693" i="12"/>
  <c r="S693" i="12" s="1"/>
  <c r="S703" i="12"/>
  <c r="P707" i="12"/>
  <c r="S707" i="12" s="1"/>
  <c r="P736" i="12"/>
  <c r="S736" i="12" s="1"/>
  <c r="P983" i="12"/>
  <c r="S983" i="12" s="1"/>
  <c r="P1024" i="12"/>
  <c r="S1024" i="12" s="1"/>
  <c r="P1049" i="12"/>
  <c r="S1049" i="12" s="1"/>
  <c r="S1088" i="12"/>
  <c r="P1141" i="12"/>
  <c r="S1141" i="12" s="1"/>
  <c r="P1162" i="12"/>
  <c r="S1162" i="12" s="1"/>
  <c r="S1193" i="12"/>
  <c r="S566" i="12"/>
  <c r="S578" i="12"/>
  <c r="P582" i="12"/>
  <c r="S582" i="12" s="1"/>
  <c r="P688" i="12"/>
  <c r="S688" i="12" s="1"/>
  <c r="P733" i="12"/>
  <c r="S733" i="12" s="1"/>
  <c r="P745" i="12"/>
  <c r="S745" i="12" s="1"/>
  <c r="P765" i="12"/>
  <c r="S765" i="12" s="1"/>
  <c r="S829" i="12"/>
  <c r="S859" i="12"/>
  <c r="P935" i="12"/>
  <c r="S935" i="12" s="1"/>
  <c r="P939" i="12"/>
  <c r="S939" i="12" s="1"/>
  <c r="P947" i="12"/>
  <c r="S947" i="12" s="1"/>
  <c r="P973" i="12"/>
  <c r="S973" i="12" s="1"/>
  <c r="P977" i="12"/>
  <c r="S977" i="12" s="1"/>
  <c r="P1004" i="12"/>
  <c r="S1004" i="12" s="1"/>
  <c r="P994" i="12"/>
  <c r="S994" i="12" s="1"/>
  <c r="P1032" i="12"/>
  <c r="S1032" i="12" s="1"/>
  <c r="P1213" i="12"/>
  <c r="S1213" i="12" s="1"/>
  <c r="P1115" i="12"/>
  <c r="S1115" i="12" s="1"/>
  <c r="P1118" i="12"/>
  <c r="S1118" i="12" s="1"/>
  <c r="P1153" i="12"/>
  <c r="S1153" i="12" s="1"/>
  <c r="S1200" i="12"/>
  <c r="P171" i="12"/>
  <c r="S171" i="12" s="1"/>
  <c r="S222" i="12"/>
  <c r="P420" i="12"/>
  <c r="S420" i="12" s="1"/>
  <c r="P429" i="12"/>
  <c r="S429" i="12" s="1"/>
  <c r="S486" i="12"/>
  <c r="S540" i="12"/>
  <c r="P603" i="12"/>
  <c r="S603" i="12" s="1"/>
  <c r="S752" i="12"/>
  <c r="P782" i="12"/>
  <c r="S782" i="12" s="1"/>
  <c r="P961" i="12"/>
  <c r="S961" i="12" s="1"/>
  <c r="P965" i="12"/>
  <c r="S965" i="12" s="1"/>
  <c r="S1138" i="12"/>
  <c r="S1125" i="12"/>
  <c r="S109" i="12"/>
  <c r="P119" i="12"/>
  <c r="S119" i="12" s="1"/>
  <c r="S203" i="12"/>
  <c r="S394" i="12"/>
  <c r="S443" i="12"/>
  <c r="S689" i="12"/>
  <c r="P737" i="12"/>
  <c r="S737" i="12" s="1"/>
  <c r="P877" i="12"/>
  <c r="S877" i="12" s="1"/>
  <c r="S933" i="12"/>
  <c r="S997" i="12"/>
  <c r="S970" i="12"/>
  <c r="P986" i="12"/>
  <c r="S986" i="12" s="1"/>
  <c r="P1021" i="12"/>
  <c r="S1021" i="12" s="1"/>
  <c r="S989" i="12"/>
  <c r="P999" i="12"/>
  <c r="S999" i="12" s="1"/>
  <c r="P1047" i="12"/>
  <c r="S1047" i="12" s="1"/>
  <c r="S1056" i="12"/>
  <c r="P1059" i="12"/>
  <c r="S1059" i="12" s="1"/>
  <c r="S1086" i="12"/>
  <c r="S1105" i="12"/>
  <c r="P1145" i="12"/>
  <c r="S1145" i="12" s="1"/>
  <c r="S1159" i="12"/>
  <c r="S1184" i="12"/>
  <c r="P370" i="12"/>
  <c r="S370" i="12" s="1"/>
  <c r="P575" i="12"/>
  <c r="S575" i="12" s="1"/>
  <c r="P841" i="12"/>
  <c r="S841" i="12" s="1"/>
  <c r="P40" i="12"/>
  <c r="S40" i="12" s="1"/>
  <c r="P48" i="12"/>
  <c r="S48" i="12" s="1"/>
  <c r="P77" i="12"/>
  <c r="S77" i="12" s="1"/>
  <c r="P232" i="12"/>
  <c r="S232" i="12" s="1"/>
  <c r="P418" i="12"/>
  <c r="S418" i="12" s="1"/>
  <c r="P746" i="12"/>
  <c r="S746" i="12" s="1"/>
  <c r="P20" i="12"/>
  <c r="S20" i="12" s="1"/>
  <c r="P28" i="12"/>
  <c r="S28" i="12" s="1"/>
  <c r="P105" i="12"/>
  <c r="S105" i="12" s="1"/>
  <c r="P125" i="12"/>
  <c r="S125" i="12" s="1"/>
  <c r="P140" i="12"/>
  <c r="S140" i="12" s="1"/>
  <c r="P156" i="12"/>
  <c r="S156" i="12" s="1"/>
  <c r="P161" i="12"/>
  <c r="S161" i="12" s="1"/>
  <c r="P172" i="12"/>
  <c r="S172" i="12" s="1"/>
  <c r="P186" i="12"/>
  <c r="S186" i="12" s="1"/>
  <c r="P194" i="12"/>
  <c r="S194" i="12" s="1"/>
  <c r="P218" i="12"/>
  <c r="S218" i="12" s="1"/>
  <c r="P216" i="12"/>
  <c r="S216" i="12" s="1"/>
  <c r="S224" i="12"/>
  <c r="P266" i="12"/>
  <c r="S266" i="12" s="1"/>
  <c r="P282" i="12"/>
  <c r="S282" i="12" s="1"/>
  <c r="P480" i="12"/>
  <c r="S480" i="12" s="1"/>
  <c r="P489" i="12"/>
  <c r="S489" i="12" s="1"/>
  <c r="P741" i="12"/>
  <c r="S741" i="12" s="1"/>
  <c r="P872" i="12"/>
  <c r="S872" i="12" s="1"/>
  <c r="P11" i="12"/>
  <c r="S11" i="12" s="1"/>
  <c r="P14" i="12"/>
  <c r="S14" i="12" s="1"/>
  <c r="P17" i="12"/>
  <c r="S17" i="12" s="1"/>
  <c r="P51" i="12"/>
  <c r="S51" i="12" s="1"/>
  <c r="S54" i="12"/>
  <c r="P60" i="12"/>
  <c r="S60" i="12" s="1"/>
  <c r="P84" i="12"/>
  <c r="S84" i="12" s="1"/>
  <c r="P97" i="12"/>
  <c r="S97" i="12" s="1"/>
  <c r="P102" i="12"/>
  <c r="S102" i="12" s="1"/>
  <c r="P127" i="12"/>
  <c r="S127" i="12" s="1"/>
  <c r="P137" i="12"/>
  <c r="S137" i="12" s="1"/>
  <c r="P151" i="12"/>
  <c r="S151" i="12" s="1"/>
  <c r="P163" i="12"/>
  <c r="S163" i="12" s="1"/>
  <c r="S182" i="12"/>
  <c r="P184" i="12"/>
  <c r="S184" i="12" s="1"/>
  <c r="S201" i="12"/>
  <c r="P294" i="12"/>
  <c r="S294" i="12" s="1"/>
  <c r="P291" i="12"/>
  <c r="S291" i="12" s="1"/>
  <c r="P349" i="12"/>
  <c r="S349" i="12" s="1"/>
  <c r="P368" i="12"/>
  <c r="S368" i="12" s="1"/>
  <c r="P374" i="12"/>
  <c r="S374" i="12" s="1"/>
  <c r="P406" i="12"/>
  <c r="S406" i="12" s="1"/>
  <c r="P422" i="12"/>
  <c r="S422" i="12" s="1"/>
  <c r="S457" i="12"/>
  <c r="S461" i="12"/>
  <c r="S468" i="12"/>
  <c r="P472" i="12"/>
  <c r="S472" i="12" s="1"/>
  <c r="S497" i="12"/>
  <c r="S498" i="12"/>
  <c r="S515" i="12"/>
  <c r="P532" i="12"/>
  <c r="S532" i="12" s="1"/>
  <c r="P628" i="12"/>
  <c r="S628" i="12" s="1"/>
  <c r="P708" i="12"/>
  <c r="S708" i="12" s="1"/>
  <c r="P810" i="12"/>
  <c r="S810" i="12" s="1"/>
  <c r="S838" i="12"/>
  <c r="P866" i="12"/>
  <c r="S866" i="12" s="1"/>
  <c r="P955" i="12"/>
  <c r="S955" i="12" s="1"/>
  <c r="P1167" i="12"/>
  <c r="S1167" i="12" s="1"/>
  <c r="P73" i="12"/>
  <c r="S73" i="12" s="1"/>
  <c r="S416" i="12"/>
  <c r="P665" i="12"/>
  <c r="S665" i="12" s="1"/>
  <c r="P687" i="12"/>
  <c r="S687" i="12" s="1"/>
  <c r="P780" i="12"/>
  <c r="S780" i="12" s="1"/>
  <c r="P791" i="12"/>
  <c r="S791" i="12" s="1"/>
  <c r="P962" i="12"/>
  <c r="S962" i="12" s="1"/>
  <c r="P63" i="12"/>
  <c r="S63" i="12" s="1"/>
  <c r="P166" i="12"/>
  <c r="S166" i="12" s="1"/>
  <c r="S178" i="12"/>
  <c r="S211" i="12"/>
  <c r="S227" i="12"/>
  <c r="S249" i="12"/>
  <c r="P320" i="12"/>
  <c r="S320" i="12" s="1"/>
  <c r="P391" i="12"/>
  <c r="S391" i="12" s="1"/>
  <c r="S396" i="12"/>
  <c r="S403" i="12"/>
  <c r="S414" i="12"/>
  <c r="S502" i="12"/>
  <c r="P638" i="12"/>
  <c r="S638" i="12" s="1"/>
  <c r="S663" i="12"/>
  <c r="P743" i="12"/>
  <c r="S743" i="12" s="1"/>
  <c r="S1157" i="12"/>
  <c r="P287" i="12"/>
  <c r="S287" i="12" s="1"/>
  <c r="P549" i="12"/>
  <c r="S549" i="12" s="1"/>
  <c r="P561" i="12"/>
  <c r="S561" i="12" s="1"/>
  <c r="P588" i="12"/>
  <c r="S588" i="12" s="1"/>
  <c r="P610" i="12"/>
  <c r="S610" i="12" s="1"/>
  <c r="P761" i="12"/>
  <c r="S761" i="12" s="1"/>
  <c r="P824" i="12"/>
  <c r="S824" i="12" s="1"/>
  <c r="P853" i="12"/>
  <c r="S853" i="12" s="1"/>
  <c r="P990" i="12"/>
  <c r="S990" i="12" s="1"/>
  <c r="P32" i="12"/>
  <c r="S32" i="12" s="1"/>
  <c r="P35" i="12"/>
  <c r="S35" i="12" s="1"/>
  <c r="P49" i="12"/>
  <c r="S49" i="12" s="1"/>
  <c r="S52" i="12"/>
  <c r="P58" i="12"/>
  <c r="S58" i="12" s="1"/>
  <c r="P78" i="12"/>
  <c r="S78" i="12" s="1"/>
  <c r="P115" i="12"/>
  <c r="S115" i="12" s="1"/>
  <c r="P126" i="12"/>
  <c r="S126" i="12" s="1"/>
  <c r="P158" i="12"/>
  <c r="S158" i="12" s="1"/>
  <c r="P207" i="12"/>
  <c r="S207" i="12" s="1"/>
  <c r="P212" i="12"/>
  <c r="S212" i="12" s="1"/>
  <c r="S246" i="12"/>
  <c r="P280" i="12"/>
  <c r="S280" i="12" s="1"/>
  <c r="P333" i="12"/>
  <c r="S333" i="12" s="1"/>
  <c r="P338" i="12"/>
  <c r="S338" i="12" s="1"/>
  <c r="P393" i="12"/>
  <c r="S393" i="12" s="1"/>
  <c r="P410" i="12"/>
  <c r="S410" i="12" s="1"/>
  <c r="P450" i="12"/>
  <c r="S450" i="12" s="1"/>
  <c r="S491" i="12"/>
  <c r="S494" i="12"/>
  <c r="P542" i="12"/>
  <c r="S542" i="12" s="1"/>
  <c r="P682" i="12"/>
  <c r="S682" i="12" s="1"/>
  <c r="S711" i="12"/>
  <c r="P712" i="12"/>
  <c r="S712" i="12" s="1"/>
  <c r="S826" i="12"/>
  <c r="P848" i="12"/>
  <c r="S848" i="12" s="1"/>
  <c r="P957" i="12"/>
  <c r="S957" i="12" s="1"/>
  <c r="P1045" i="12"/>
  <c r="S1045" i="12" s="1"/>
  <c r="S1198" i="12"/>
  <c r="P1208" i="12"/>
  <c r="S1208" i="12" s="1"/>
  <c r="P21" i="12"/>
  <c r="S21" i="12" s="1"/>
  <c r="P88" i="12"/>
  <c r="S88" i="12" s="1"/>
  <c r="P18" i="12"/>
  <c r="S18" i="12" s="1"/>
  <c r="P506" i="12"/>
  <c r="S506" i="12" s="1"/>
  <c r="P537" i="12"/>
  <c r="S537" i="12" s="1"/>
  <c r="P624" i="12"/>
  <c r="S624" i="12" s="1"/>
  <c r="P822" i="12"/>
  <c r="S822" i="12" s="1"/>
  <c r="P64" i="12"/>
  <c r="S64" i="12" s="1"/>
  <c r="P149" i="12"/>
  <c r="S149" i="12" s="1"/>
  <c r="P192" i="12"/>
  <c r="S192" i="12" s="1"/>
  <c r="P381" i="12"/>
  <c r="S381" i="12" s="1"/>
  <c r="P82" i="12"/>
  <c r="S82" i="12" s="1"/>
  <c r="P424" i="12"/>
  <c r="S424" i="12" s="1"/>
  <c r="P660" i="12"/>
  <c r="S660" i="12" s="1"/>
  <c r="P839" i="12"/>
  <c r="S839" i="12" s="1"/>
  <c r="P951" i="12"/>
  <c r="S951" i="12" s="1"/>
  <c r="P1091" i="12"/>
  <c r="S1091" i="12" s="1"/>
  <c r="P4" i="12"/>
  <c r="S4" i="12" s="1"/>
  <c r="P22" i="12"/>
  <c r="S22" i="12" s="1"/>
  <c r="P110" i="12"/>
  <c r="S110" i="12" s="1"/>
  <c r="P259" i="12"/>
  <c r="S259" i="12" s="1"/>
  <c r="P292" i="12"/>
  <c r="S292" i="12" s="1"/>
  <c r="P464" i="12"/>
  <c r="S464" i="12" s="1"/>
  <c r="P1080" i="12"/>
  <c r="S1080" i="12" s="1"/>
  <c r="P1110" i="12"/>
  <c r="S1110" i="12" s="1"/>
  <c r="P1114" i="12"/>
  <c r="S1114" i="12" s="1"/>
  <c r="P1192" i="12"/>
  <c r="S1192" i="12" s="1"/>
  <c r="S6" i="12"/>
  <c r="P9" i="12"/>
  <c r="S9" i="12" s="1"/>
  <c r="S26" i="12"/>
  <c r="P56" i="12"/>
  <c r="S56" i="12" s="1"/>
  <c r="P67" i="12"/>
  <c r="S67" i="12" s="1"/>
  <c r="P72" i="12"/>
  <c r="S72" i="12" s="1"/>
  <c r="S75" i="12"/>
  <c r="P79" i="12"/>
  <c r="S79" i="12" s="1"/>
  <c r="P85" i="12"/>
  <c r="S85" i="12" s="1"/>
  <c r="P95" i="12"/>
  <c r="S95" i="12" s="1"/>
  <c r="P104" i="12"/>
  <c r="S104" i="12" s="1"/>
  <c r="P107" i="12"/>
  <c r="S107" i="12" s="1"/>
  <c r="P120" i="12"/>
  <c r="S120" i="12" s="1"/>
  <c r="S124" i="12"/>
  <c r="P143" i="12"/>
  <c r="S143" i="12" s="1"/>
  <c r="S146" i="12"/>
  <c r="P168" i="12"/>
  <c r="S168" i="12" s="1"/>
  <c r="P173" i="12"/>
  <c r="S173" i="12" s="1"/>
  <c r="P236" i="12"/>
  <c r="S236" i="12" s="1"/>
  <c r="P288" i="12"/>
  <c r="S288" i="12" s="1"/>
  <c r="P415" i="12"/>
  <c r="S415" i="12" s="1"/>
  <c r="S492" i="12"/>
  <c r="P501" i="12"/>
  <c r="S501" i="12" s="1"/>
  <c r="P538" i="12"/>
  <c r="S538" i="12" s="1"/>
  <c r="P569" i="12"/>
  <c r="S569" i="12" s="1"/>
  <c r="P573" i="12"/>
  <c r="S573" i="12" s="1"/>
  <c r="S593" i="12"/>
  <c r="S604" i="12"/>
  <c r="P695" i="12"/>
  <c r="S695" i="12" s="1"/>
  <c r="P706" i="12"/>
  <c r="S706" i="12" s="1"/>
  <c r="P744" i="12"/>
  <c r="S744" i="12" s="1"/>
  <c r="P758" i="12"/>
  <c r="S758" i="12" s="1"/>
  <c r="P921" i="12"/>
  <c r="S921" i="12" s="1"/>
  <c r="P929" i="12"/>
  <c r="S929" i="12" s="1"/>
  <c r="P944" i="12"/>
  <c r="S944" i="12" s="1"/>
  <c r="P1151" i="12"/>
  <c r="S1151" i="12" s="1"/>
  <c r="P476" i="12"/>
  <c r="S476" i="12" s="1"/>
  <c r="P858" i="12"/>
  <c r="S858" i="12" s="1"/>
  <c r="P44" i="12"/>
  <c r="S44" i="12" s="1"/>
  <c r="P335" i="12"/>
  <c r="S335" i="12" s="1"/>
  <c r="S348" i="12"/>
  <c r="P369" i="12"/>
  <c r="S369" i="12" s="1"/>
  <c r="P384" i="12"/>
  <c r="S384" i="12" s="1"/>
  <c r="P401" i="12"/>
  <c r="S401" i="12" s="1"/>
  <c r="S408" i="12"/>
  <c r="S521" i="12"/>
  <c r="P524" i="12"/>
  <c r="S524" i="12" s="1"/>
  <c r="S576" i="12"/>
  <c r="P596" i="12"/>
  <c r="S596" i="12" s="1"/>
  <c r="P683" i="12"/>
  <c r="S683" i="12" s="1"/>
  <c r="P735" i="12"/>
  <c r="S735" i="12" s="1"/>
  <c r="P802" i="12"/>
  <c r="S802" i="12" s="1"/>
  <c r="S36" i="12"/>
  <c r="P39" i="12"/>
  <c r="S39" i="12" s="1"/>
  <c r="S219" i="12"/>
  <c r="S230" i="12"/>
  <c r="S240" i="12"/>
  <c r="P256" i="12"/>
  <c r="S256" i="12" s="1"/>
  <c r="S283" i="12"/>
  <c r="P339" i="12"/>
  <c r="S339" i="12" s="1"/>
  <c r="S372" i="12"/>
  <c r="P397" i="12"/>
  <c r="S397" i="12" s="1"/>
  <c r="P478" i="12"/>
  <c r="S478" i="12" s="1"/>
  <c r="P535" i="12"/>
  <c r="S535" i="12" s="1"/>
  <c r="S598" i="12"/>
  <c r="P635" i="12"/>
  <c r="S635" i="12" s="1"/>
  <c r="P655" i="12"/>
  <c r="S655" i="12" s="1"/>
  <c r="S670" i="12"/>
  <c r="P702" i="12"/>
  <c r="S702" i="12" s="1"/>
  <c r="S714" i="12"/>
  <c r="P722" i="12"/>
  <c r="S722" i="12" s="1"/>
  <c r="P845" i="12"/>
  <c r="S845" i="12" s="1"/>
  <c r="S1060" i="12"/>
  <c r="S217" i="12"/>
  <c r="S202" i="12"/>
  <c r="P229" i="12"/>
  <c r="S229" i="12" s="1"/>
  <c r="S314" i="12"/>
  <c r="S456" i="12"/>
  <c r="S508" i="12"/>
  <c r="S620" i="12"/>
  <c r="P789" i="12"/>
  <c r="S789" i="12" s="1"/>
  <c r="P76" i="12"/>
  <c r="S76" i="12" s="1"/>
  <c r="P316" i="12"/>
  <c r="S316" i="12" s="1"/>
  <c r="P446" i="12"/>
  <c r="S446" i="12" s="1"/>
  <c r="P522" i="12"/>
  <c r="S522" i="12" s="1"/>
  <c r="P585" i="12"/>
  <c r="S585" i="12" s="1"/>
  <c r="P621" i="12"/>
  <c r="S621" i="12" s="1"/>
  <c r="P842" i="12"/>
  <c r="S842" i="12" s="1"/>
  <c r="P879" i="12"/>
  <c r="S879" i="12" s="1"/>
  <c r="S175" i="12"/>
  <c r="S15" i="12"/>
  <c r="P614" i="12"/>
  <c r="S614" i="12" s="1"/>
  <c r="S3" i="12"/>
  <c r="P7" i="12"/>
  <c r="S7" i="12" s="1"/>
  <c r="S144" i="12"/>
  <c r="P147" i="12"/>
  <c r="S147" i="12" s="1"/>
  <c r="S235" i="12"/>
  <c r="P269" i="12"/>
  <c r="S269" i="12" s="1"/>
  <c r="P290" i="12"/>
  <c r="S290" i="12" s="1"/>
  <c r="S311" i="12"/>
  <c r="S321" i="12"/>
  <c r="P344" i="12"/>
  <c r="S344" i="12" s="1"/>
  <c r="P383" i="12"/>
  <c r="S383" i="12" s="1"/>
  <c r="P398" i="12"/>
  <c r="S398" i="12" s="1"/>
  <c r="P405" i="12"/>
  <c r="S405" i="12" s="1"/>
  <c r="P411" i="12"/>
  <c r="S411" i="12" s="1"/>
  <c r="P453" i="12"/>
  <c r="S453" i="12" s="1"/>
  <c r="P475" i="12"/>
  <c r="S475" i="12" s="1"/>
  <c r="P471" i="12"/>
  <c r="S471" i="12" s="1"/>
  <c r="P488" i="12"/>
  <c r="S488" i="12" s="1"/>
  <c r="S496" i="12"/>
  <c r="P510" i="12"/>
  <c r="S510" i="12" s="1"/>
  <c r="S514" i="12"/>
  <c r="P527" i="12"/>
  <c r="S527" i="12" s="1"/>
  <c r="S547" i="12"/>
  <c r="P555" i="12"/>
  <c r="S555" i="12" s="1"/>
  <c r="P565" i="12"/>
  <c r="S565" i="12" s="1"/>
  <c r="P581" i="12"/>
  <c r="S581" i="12" s="1"/>
  <c r="P594" i="12"/>
  <c r="S594" i="12" s="1"/>
  <c r="P617" i="12"/>
  <c r="S617" i="12" s="1"/>
  <c r="P643" i="12"/>
  <c r="S643" i="12" s="1"/>
  <c r="P677" i="12"/>
  <c r="S677" i="12" s="1"/>
  <c r="P770" i="12"/>
  <c r="S770" i="12" s="1"/>
  <c r="S832" i="12"/>
  <c r="S378" i="12"/>
  <c r="P421" i="12"/>
  <c r="S421" i="12" s="1"/>
  <c r="P507" i="12"/>
  <c r="S507" i="12" s="1"/>
  <c r="P530" i="12"/>
  <c r="S530" i="12" s="1"/>
  <c r="S580" i="12"/>
  <c r="S584" i="12"/>
  <c r="P567" i="12"/>
  <c r="S567" i="12" s="1"/>
  <c r="P632" i="12"/>
  <c r="S632" i="12" s="1"/>
  <c r="P642" i="12"/>
  <c r="S642" i="12" s="1"/>
  <c r="S672" i="12"/>
  <c r="S697" i="12"/>
  <c r="S704" i="12"/>
  <c r="S751" i="12"/>
  <c r="P785" i="12"/>
  <c r="S785" i="12" s="1"/>
  <c r="P805" i="12"/>
  <c r="S805" i="12" s="1"/>
  <c r="P958" i="12"/>
  <c r="S958" i="12" s="1"/>
  <c r="P1044" i="12"/>
  <c r="S1044" i="12" s="1"/>
  <c r="P1127" i="12"/>
  <c r="S1127" i="12" s="1"/>
  <c r="P1148" i="12"/>
  <c r="S1148" i="12" s="1"/>
  <c r="P1228" i="12"/>
  <c r="S1228" i="12" s="1"/>
  <c r="P332" i="12"/>
  <c r="S332" i="12" s="1"/>
  <c r="S375" i="12"/>
  <c r="P541" i="12"/>
  <c r="S541" i="12" s="1"/>
  <c r="S545" i="12"/>
  <c r="S597" i="12"/>
  <c r="S667" i="12"/>
  <c r="S698" i="12"/>
  <c r="P917" i="12"/>
  <c r="S917" i="12" s="1"/>
  <c r="S922" i="12"/>
  <c r="S1030" i="12"/>
  <c r="S366" i="12"/>
  <c r="P503" i="12"/>
  <c r="S503" i="12" s="1"/>
  <c r="P519" i="12"/>
  <c r="S519" i="12" s="1"/>
  <c r="P625" i="12"/>
  <c r="S625" i="12" s="1"/>
  <c r="P742" i="12"/>
  <c r="S742" i="12" s="1"/>
  <c r="P772" i="12"/>
  <c r="S772" i="12" s="1"/>
  <c r="P786" i="12"/>
  <c r="S786" i="12" s="1"/>
  <c r="P1134" i="12"/>
  <c r="S1134" i="12" s="1"/>
  <c r="P1226" i="12"/>
  <c r="S1226" i="12" s="1"/>
  <c r="P331" i="12"/>
  <c r="S331" i="12" s="1"/>
  <c r="S436" i="12"/>
  <c r="P439" i="12"/>
  <c r="S439" i="12" s="1"/>
  <c r="P586" i="12"/>
  <c r="S586" i="12" s="1"/>
  <c r="S719" i="12"/>
  <c r="S734" i="12"/>
  <c r="P781" i="12"/>
  <c r="S781" i="12" s="1"/>
  <c r="S903" i="12"/>
  <c r="P937" i="12"/>
  <c r="S937" i="12" s="1"/>
  <c r="S1168" i="12"/>
  <c r="P1216" i="12"/>
  <c r="S1216" i="12" s="1"/>
  <c r="P1094" i="12"/>
  <c r="S1094" i="12" s="1"/>
  <c r="P273" i="12"/>
  <c r="S273" i="12" s="1"/>
  <c r="P304" i="12"/>
  <c r="S304" i="12" s="1"/>
  <c r="P336" i="12"/>
  <c r="S336" i="12" s="1"/>
  <c r="P363" i="12"/>
  <c r="S363" i="12" s="1"/>
  <c r="P386" i="12"/>
  <c r="S386" i="12" s="1"/>
  <c r="P611" i="12"/>
  <c r="S611" i="12" s="1"/>
  <c r="P262" i="12"/>
  <c r="S262" i="12" s="1"/>
  <c r="P275" i="12"/>
  <c r="S275" i="12" s="1"/>
  <c r="P297" i="12"/>
  <c r="S297" i="12" s="1"/>
  <c r="P373" i="12"/>
  <c r="S373" i="12" s="1"/>
  <c r="P517" i="12"/>
  <c r="S517" i="12" s="1"/>
  <c r="P669" i="12"/>
  <c r="S669" i="12" s="1"/>
  <c r="P193" i="12"/>
  <c r="S193" i="12" s="1"/>
  <c r="P284" i="12"/>
  <c r="S284" i="12" s="1"/>
  <c r="S342" i="12"/>
  <c r="P351" i="12"/>
  <c r="S351" i="12" s="1"/>
  <c r="P346" i="12"/>
  <c r="S346" i="12" s="1"/>
  <c r="P359" i="12"/>
  <c r="S359" i="12" s="1"/>
  <c r="P371" i="12"/>
  <c r="S371" i="12" s="1"/>
  <c r="P379" i="12"/>
  <c r="S379" i="12" s="1"/>
  <c r="S388" i="12"/>
  <c r="P412" i="12"/>
  <c r="S412" i="12" s="1"/>
  <c r="P423" i="12"/>
  <c r="S423" i="12" s="1"/>
  <c r="P448" i="12"/>
  <c r="S448" i="12" s="1"/>
  <c r="P452" i="12"/>
  <c r="S452" i="12" s="1"/>
  <c r="P455" i="12"/>
  <c r="S455" i="12" s="1"/>
  <c r="P459" i="12"/>
  <c r="S459" i="12" s="1"/>
  <c r="P465" i="12"/>
  <c r="S465" i="12" s="1"/>
  <c r="P463" i="12"/>
  <c r="S463" i="12" s="1"/>
  <c r="P467" i="12"/>
  <c r="S467" i="12" s="1"/>
  <c r="P470" i="12"/>
  <c r="S470" i="12" s="1"/>
  <c r="P499" i="12"/>
  <c r="S499" i="12" s="1"/>
  <c r="P509" i="12"/>
  <c r="S509" i="12" s="1"/>
  <c r="P520" i="12"/>
  <c r="S520" i="12" s="1"/>
  <c r="S539" i="12"/>
  <c r="P543" i="12"/>
  <c r="S543" i="12" s="1"/>
  <c r="P574" i="12"/>
  <c r="S574" i="12" s="1"/>
  <c r="P619" i="12"/>
  <c r="S619" i="12" s="1"/>
  <c r="P622" i="12"/>
  <c r="S622" i="12" s="1"/>
  <c r="P634" i="12"/>
  <c r="S634" i="12" s="1"/>
  <c r="P654" i="12"/>
  <c r="S654" i="12" s="1"/>
  <c r="P694" i="12"/>
  <c r="S694" i="12" s="1"/>
  <c r="P715" i="12"/>
  <c r="S715" i="12" s="1"/>
  <c r="P738" i="12"/>
  <c r="S738" i="12" s="1"/>
  <c r="P769" i="12"/>
  <c r="S769" i="12" s="1"/>
  <c r="P794" i="12"/>
  <c r="S794" i="12" s="1"/>
  <c r="P795" i="12"/>
  <c r="S795" i="12" s="1"/>
  <c r="P923" i="12"/>
  <c r="S923" i="12" s="1"/>
  <c r="P1074" i="12"/>
  <c r="S1074" i="12" s="1"/>
  <c r="P1101" i="12"/>
  <c r="S1101" i="12" s="1"/>
  <c r="P1121" i="12"/>
  <c r="S1121" i="12" s="1"/>
  <c r="S1160" i="12"/>
  <c r="P1191" i="12"/>
  <c r="S1191" i="12" s="1"/>
  <c r="S312" i="12"/>
  <c r="S395" i="12"/>
  <c r="P153" i="12"/>
  <c r="S153" i="12" s="1"/>
  <c r="S270" i="12"/>
  <c r="S279" i="12"/>
  <c r="P10" i="12"/>
  <c r="S10" i="12" s="1"/>
  <c r="P91" i="12"/>
  <c r="S91" i="12" s="1"/>
  <c r="P93" i="12"/>
  <c r="S93" i="12" s="1"/>
  <c r="P96" i="12"/>
  <c r="S96" i="12" s="1"/>
  <c r="P99" i="12"/>
  <c r="S99" i="12" s="1"/>
  <c r="P103" i="12"/>
  <c r="S103" i="12" s="1"/>
  <c r="S150" i="12"/>
  <c r="S170" i="12"/>
  <c r="P162" i="12"/>
  <c r="S162" i="12" s="1"/>
  <c r="P169" i="12"/>
  <c r="S169" i="12" s="1"/>
  <c r="S190" i="12"/>
  <c r="P195" i="12"/>
  <c r="S195" i="12" s="1"/>
  <c r="P199" i="12"/>
  <c r="S199" i="12" s="1"/>
  <c r="P204" i="12"/>
  <c r="S204" i="12" s="1"/>
  <c r="P206" i="12"/>
  <c r="S206" i="12" s="1"/>
  <c r="P228" i="12"/>
  <c r="S228" i="12" s="1"/>
  <c r="P231" i="12"/>
  <c r="S231" i="12" s="1"/>
  <c r="P234" i="12"/>
  <c r="S234" i="12" s="1"/>
  <c r="P330" i="12"/>
  <c r="S330" i="12" s="1"/>
  <c r="P334" i="12"/>
  <c r="S334" i="12" s="1"/>
  <c r="P343" i="12"/>
  <c r="S343" i="12" s="1"/>
  <c r="P367" i="12"/>
  <c r="S367" i="12" s="1"/>
  <c r="P382" i="12"/>
  <c r="S382" i="12" s="1"/>
  <c r="P445" i="12"/>
  <c r="S445" i="12" s="1"/>
  <c r="P473" i="12"/>
  <c r="S473" i="12" s="1"/>
  <c r="P479" i="12"/>
  <c r="S479" i="12" s="1"/>
  <c r="P500" i="12"/>
  <c r="S500" i="12" s="1"/>
  <c r="P513" i="12"/>
  <c r="S513" i="12" s="1"/>
  <c r="P528" i="12"/>
  <c r="S528" i="12" s="1"/>
  <c r="P525" i="12"/>
  <c r="S525" i="12" s="1"/>
  <c r="P534" i="12"/>
  <c r="S534" i="12" s="1"/>
  <c r="P536" i="12"/>
  <c r="S536" i="12" s="1"/>
  <c r="P550" i="12"/>
  <c r="S550" i="12" s="1"/>
  <c r="P557" i="12"/>
  <c r="S557" i="12" s="1"/>
  <c r="P563" i="12"/>
  <c r="S563" i="12" s="1"/>
  <c r="P589" i="12"/>
  <c r="S589" i="12" s="1"/>
  <c r="S609" i="12"/>
  <c r="P613" i="12"/>
  <c r="S613" i="12" s="1"/>
  <c r="P636" i="12"/>
  <c r="S636" i="12" s="1"/>
  <c r="P641" i="12"/>
  <c r="S641" i="12" s="1"/>
  <c r="P652" i="12"/>
  <c r="S652" i="12" s="1"/>
  <c r="S680" i="12"/>
  <c r="P691" i="12"/>
  <c r="S691" i="12" s="1"/>
  <c r="P728" i="12"/>
  <c r="S728" i="12" s="1"/>
  <c r="S729" i="12"/>
  <c r="P773" i="12"/>
  <c r="S773" i="12" s="1"/>
  <c r="P856" i="12"/>
  <c r="S856" i="12" s="1"/>
  <c r="P1048" i="12"/>
  <c r="S1048" i="12" s="1"/>
  <c r="S1062" i="12"/>
  <c r="P1131" i="12"/>
  <c r="S1131" i="12" s="1"/>
  <c r="P1143" i="12"/>
  <c r="S1143" i="12" s="1"/>
  <c r="P327" i="12"/>
  <c r="S327" i="12" s="1"/>
  <c r="S552" i="12"/>
  <c r="P647" i="12"/>
  <c r="S647" i="12" s="1"/>
  <c r="S668" i="12"/>
  <c r="P740" i="12"/>
  <c r="S740" i="12" s="1"/>
  <c r="S749" i="12"/>
  <c r="P919" i="12"/>
  <c r="S919" i="12" s="1"/>
  <c r="P1089" i="12"/>
  <c r="S1089" i="12" s="1"/>
  <c r="S387" i="12"/>
  <c r="P389" i="12"/>
  <c r="S389" i="12" s="1"/>
  <c r="P546" i="12"/>
  <c r="S546" i="12" s="1"/>
  <c r="S544" i="12"/>
  <c r="S583" i="12"/>
  <c r="P679" i="12"/>
  <c r="S679" i="12" s="1"/>
  <c r="S705" i="12"/>
  <c r="P716" i="12"/>
  <c r="S716" i="12" s="1"/>
  <c r="S721" i="12"/>
  <c r="P763" i="12"/>
  <c r="S763" i="12" s="1"/>
  <c r="P778" i="12"/>
  <c r="S778" i="12" s="1"/>
  <c r="P808" i="12"/>
  <c r="S808" i="12" s="1"/>
  <c r="S821" i="12"/>
  <c r="P825" i="12"/>
  <c r="S825" i="12" s="1"/>
  <c r="S840" i="12"/>
  <c r="P837" i="12"/>
  <c r="S837" i="12" s="1"/>
  <c r="P847" i="12"/>
  <c r="S847" i="12" s="1"/>
  <c r="P869" i="12"/>
  <c r="S869" i="12" s="1"/>
  <c r="P895" i="12"/>
  <c r="S895" i="12" s="1"/>
  <c r="S900" i="12"/>
  <c r="P910" i="12"/>
  <c r="S910" i="12" s="1"/>
  <c r="S1079" i="12"/>
  <c r="P1119" i="12"/>
  <c r="S1119" i="12" s="1"/>
  <c r="P1180" i="12"/>
  <c r="S1180" i="12" s="1"/>
  <c r="P775" i="12"/>
  <c r="S775" i="12" s="1"/>
  <c r="P788" i="12"/>
  <c r="S788" i="12" s="1"/>
  <c r="P927" i="12"/>
  <c r="S927" i="12" s="1"/>
  <c r="P1026" i="12"/>
  <c r="S1026" i="12" s="1"/>
  <c r="P1041" i="12"/>
  <c r="S1041" i="12" s="1"/>
  <c r="P1054" i="12"/>
  <c r="S1054" i="12" s="1"/>
  <c r="P1206" i="12"/>
  <c r="S1206" i="12" s="1"/>
  <c r="S612" i="12"/>
  <c r="S690" i="12"/>
  <c r="S713" i="12"/>
  <c r="S747" i="12"/>
  <c r="S755" i="12"/>
  <c r="P784" i="12"/>
  <c r="S784" i="12" s="1"/>
  <c r="S806" i="12"/>
  <c r="P865" i="12"/>
  <c r="S865" i="12" s="1"/>
  <c r="P924" i="12"/>
  <c r="S924" i="12" s="1"/>
  <c r="P956" i="12"/>
  <c r="S956" i="12" s="1"/>
  <c r="P1007" i="12"/>
  <c r="S1007" i="12" s="1"/>
  <c r="P1057" i="12"/>
  <c r="S1057" i="12" s="1"/>
  <c r="P1099" i="12"/>
  <c r="S1099" i="12" s="1"/>
  <c r="P1197" i="12"/>
  <c r="S1197" i="12" s="1"/>
  <c r="P1098" i="12"/>
  <c r="S1098" i="12" s="1"/>
  <c r="P1202" i="12"/>
  <c r="S1202" i="12" s="1"/>
  <c r="P553" i="12"/>
  <c r="S553" i="12" s="1"/>
  <c r="S572" i="12"/>
  <c r="S590" i="12"/>
  <c r="S608" i="12"/>
  <c r="P629" i="12"/>
  <c r="S629" i="12" s="1"/>
  <c r="P649" i="12"/>
  <c r="S649" i="12" s="1"/>
  <c r="S686" i="12"/>
  <c r="S732" i="12"/>
  <c r="P768" i="12"/>
  <c r="S768" i="12" s="1"/>
  <c r="P793" i="12"/>
  <c r="S793" i="12" s="1"/>
  <c r="P857" i="12"/>
  <c r="S857" i="12" s="1"/>
  <c r="S898" i="12"/>
  <c r="S967" i="12"/>
  <c r="P975" i="12"/>
  <c r="S975" i="12" s="1"/>
  <c r="P1076" i="12"/>
  <c r="S1076" i="12" s="1"/>
  <c r="P1112" i="12"/>
  <c r="S1112" i="12" s="1"/>
  <c r="P1172" i="12"/>
  <c r="S1172" i="12" s="1"/>
  <c r="S1187" i="12"/>
  <c r="S855" i="12"/>
  <c r="P940" i="12"/>
  <c r="S940" i="12" s="1"/>
  <c r="P966" i="12"/>
  <c r="S966" i="12" s="1"/>
  <c r="P979" i="12"/>
  <c r="S979" i="12" s="1"/>
  <c r="P1006" i="12"/>
  <c r="S1006" i="12" s="1"/>
  <c r="P1018" i="12"/>
  <c r="S1018" i="12" s="1"/>
  <c r="P1002" i="12"/>
  <c r="S1002" i="12" s="1"/>
  <c r="P987" i="12"/>
  <c r="S987" i="12" s="1"/>
  <c r="S1065" i="12"/>
  <c r="S1078" i="12"/>
  <c r="P934" i="12"/>
  <c r="S934" i="12" s="1"/>
  <c r="P959" i="12"/>
  <c r="S959" i="12" s="1"/>
  <c r="P971" i="12"/>
  <c r="S971" i="12" s="1"/>
  <c r="P985" i="12"/>
  <c r="S985" i="12" s="1"/>
  <c r="P1014" i="12"/>
  <c r="S1014" i="12" s="1"/>
  <c r="P1022" i="12"/>
  <c r="S1022" i="12" s="1"/>
  <c r="P1003" i="12"/>
  <c r="S1003" i="12" s="1"/>
  <c r="P1036" i="12"/>
  <c r="S1036" i="12" s="1"/>
  <c r="S1081" i="12"/>
  <c r="P657" i="12"/>
  <c r="S657" i="12" s="1"/>
  <c r="S830" i="12"/>
  <c r="S834" i="12"/>
  <c r="S950" i="12"/>
  <c r="P1037" i="12"/>
  <c r="S1037" i="12" s="1"/>
  <c r="P1050" i="12"/>
  <c r="S1050" i="12" s="1"/>
  <c r="P1071" i="12"/>
  <c r="S1071" i="12" s="1"/>
  <c r="P1084" i="12"/>
  <c r="S1084" i="12" s="1"/>
  <c r="P1189" i="12"/>
  <c r="S1189" i="12" s="1"/>
  <c r="P1185" i="12"/>
  <c r="S1185" i="12" s="1"/>
  <c r="P1194" i="12"/>
  <c r="S1194" i="12" s="1"/>
  <c r="P1203" i="12"/>
  <c r="S1203" i="12" s="1"/>
  <c r="P884" i="12"/>
  <c r="S884" i="12" s="1"/>
  <c r="P1083" i="12"/>
  <c r="S1083" i="12" s="1"/>
  <c r="P1212" i="12"/>
  <c r="S1212" i="12" s="1"/>
  <c r="P1137" i="12"/>
  <c r="S1137" i="12" s="1"/>
  <c r="P1108" i="12"/>
  <c r="S1108" i="12" s="1"/>
  <c r="P1120" i="12"/>
  <c r="S1120" i="12" s="1"/>
  <c r="P931" i="12"/>
  <c r="S931" i="12" s="1"/>
  <c r="P1231" i="12"/>
  <c r="S1231" i="12" s="1"/>
  <c r="P816" i="12"/>
  <c r="S816" i="12" s="1"/>
  <c r="S823" i="12"/>
  <c r="S915" i="12"/>
  <c r="P918" i="12"/>
  <c r="S918" i="12" s="1"/>
  <c r="S928" i="12"/>
  <c r="P1103" i="12"/>
  <c r="S1103" i="12" s="1"/>
  <c r="P969" i="12"/>
  <c r="S969" i="12" s="1"/>
  <c r="P981" i="12"/>
  <c r="S981" i="12" s="1"/>
  <c r="P1011" i="12"/>
  <c r="S1011" i="12" s="1"/>
  <c r="P1016" i="12"/>
  <c r="S1016" i="12" s="1"/>
  <c r="P988" i="12"/>
  <c r="S988" i="12" s="1"/>
  <c r="P1031" i="12"/>
  <c r="S1031" i="12" s="1"/>
  <c r="P1068" i="12"/>
  <c r="S1068" i="12" s="1"/>
  <c r="S1072" i="12"/>
  <c r="S1082" i="12"/>
  <c r="P854" i="12"/>
  <c r="S854" i="12" s="1"/>
  <c r="P860" i="12"/>
  <c r="S860" i="12" s="1"/>
  <c r="P863" i="12"/>
  <c r="S863" i="12" s="1"/>
  <c r="P887" i="12"/>
  <c r="S887" i="12" s="1"/>
  <c r="P882" i="12"/>
  <c r="S882" i="12" s="1"/>
  <c r="P891" i="12"/>
  <c r="S891" i="12" s="1"/>
  <c r="P899" i="12"/>
  <c r="S899" i="12" s="1"/>
  <c r="P902" i="12"/>
  <c r="S902" i="12" s="1"/>
  <c r="P906" i="12"/>
  <c r="S906" i="12" s="1"/>
  <c r="P907" i="12"/>
  <c r="S907" i="12" s="1"/>
  <c r="P911" i="12"/>
  <c r="S911" i="12" s="1"/>
  <c r="P914" i="12"/>
  <c r="S914" i="12" s="1"/>
  <c r="P1061" i="12"/>
  <c r="S1061" i="12" s="1"/>
  <c r="P1064" i="12"/>
  <c r="S1064" i="12" s="1"/>
  <c r="P1066" i="12"/>
  <c r="S1066" i="12" s="1"/>
  <c r="P1140" i="12"/>
  <c r="S1140" i="12" s="1"/>
  <c r="P1144" i="12"/>
  <c r="S1144" i="12" s="1"/>
  <c r="P1146" i="12"/>
  <c r="S1146" i="12" s="1"/>
  <c r="P1155" i="12"/>
  <c r="S1155" i="12" s="1"/>
  <c r="P1150" i="12"/>
  <c r="S1150" i="12" s="1"/>
  <c r="P1156" i="12"/>
  <c r="S1156" i="12" s="1"/>
  <c r="P1158" i="12"/>
  <c r="S1158" i="12" s="1"/>
  <c r="P1161" i="12"/>
  <c r="S1161" i="12" s="1"/>
  <c r="P1164" i="12"/>
  <c r="S1164" i="12" s="1"/>
  <c r="P1166" i="12"/>
  <c r="S1166" i="12" s="1"/>
  <c r="P1169" i="12"/>
  <c r="S1169" i="12" s="1"/>
  <c r="P1173" i="12"/>
  <c r="S1173" i="12" s="1"/>
  <c r="P1171" i="12"/>
  <c r="S1171" i="12" s="1"/>
  <c r="P1176" i="12"/>
  <c r="S1176" i="12" s="1"/>
  <c r="P1182" i="12"/>
  <c r="S1182" i="12" s="1"/>
  <c r="P1183" i="12"/>
  <c r="S1183" i="12" s="1"/>
  <c r="P1179" i="12"/>
  <c r="S1179" i="12" s="1"/>
  <c r="P1188" i="12"/>
  <c r="S1188" i="12" s="1"/>
  <c r="P1177" i="12"/>
  <c r="S1177" i="12" s="1"/>
  <c r="P1196" i="12"/>
  <c r="S1196" i="12" s="1"/>
  <c r="P1199" i="12"/>
  <c r="S1199" i="12" s="1"/>
  <c r="P1201" i="12"/>
  <c r="S1201" i="12" s="1"/>
  <c r="S323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55" authorId="0" shapeId="0" xr:uid="{CF05443A-77EB-46B8-A929-8CBDBD2E5DC0}">
      <text>
        <r>
          <rPr>
            <sz val="10"/>
            <rFont val="Arial"/>
            <family val="2"/>
          </rPr>
          <t xml:space="preserve">USER:
Used for CRRI-AGRI Drone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62" authorId="0" shapeId="0" xr:uid="{126194A0-05A6-419E-BE02-6AF1D7231BA6}">
      <text>
        <r>
          <rPr>
            <sz val="10"/>
            <rFont val="Arial"/>
            <family val="2"/>
          </rPr>
          <t xml:space="preserve">USER:
Used for CRRI-AGRI Drone
</t>
        </r>
      </text>
    </comment>
  </commentList>
</comments>
</file>

<file path=xl/sharedStrings.xml><?xml version="1.0" encoding="utf-8"?>
<sst xmlns="http://schemas.openxmlformats.org/spreadsheetml/2006/main" count="27082" uniqueCount="3902">
  <si>
    <t>Invoice Date</t>
  </si>
  <si>
    <t>Inward Date</t>
  </si>
  <si>
    <t>IPMS</t>
  </si>
  <si>
    <t xml:space="preserve">Component Specification </t>
  </si>
  <si>
    <t>Qty</t>
  </si>
  <si>
    <t>Unit Price</t>
  </si>
  <si>
    <t>Sub Total</t>
  </si>
  <si>
    <t>GST %</t>
  </si>
  <si>
    <t>GST Price</t>
  </si>
  <si>
    <t>Shipping</t>
  </si>
  <si>
    <t>Round-off</t>
  </si>
  <si>
    <t>Project</t>
  </si>
  <si>
    <t>Vendor Name</t>
  </si>
  <si>
    <t>Rack No</t>
  </si>
  <si>
    <t>Box No</t>
  </si>
  <si>
    <t>Qty in Use</t>
  </si>
  <si>
    <t>Drone Name</t>
  </si>
  <si>
    <t>Remark</t>
  </si>
  <si>
    <t>Tally Ref</t>
  </si>
  <si>
    <t>T-Motor Antigravity MN1005 V2.0 90KV</t>
  </si>
  <si>
    <t>INVENTORY</t>
  </si>
  <si>
    <t>FOXTECH</t>
  </si>
  <si>
    <t>R18</t>
  </si>
  <si>
    <t>A56</t>
  </si>
  <si>
    <t>T-Motor Alpha 60A ESC 6-12S LiPo 500Hz No BEC</t>
  </si>
  <si>
    <t>R33</t>
  </si>
  <si>
    <t>A65</t>
  </si>
  <si>
    <t>Herelink Controller Unit (V1.1)</t>
  </si>
  <si>
    <t>herelink hd remote controller (QTY)</t>
  </si>
  <si>
    <t>R48</t>
  </si>
  <si>
    <t>Gemfan Hurricane Super Light SL 5125 Tri-Blade 5" Prop 4 Pack (1.5mm Mounting)</t>
  </si>
  <si>
    <t>Gemfan Hurricane SL 5125 Tri-Blade 5" Prop - Clear Grey</t>
  </si>
  <si>
    <t>DRK STORES</t>
  </si>
  <si>
    <t>R3</t>
  </si>
  <si>
    <t>C3</t>
  </si>
  <si>
    <t>Waveshare Industrial Grade Isolated RS232 to RS485 Converter (Without Power Adapter)</t>
  </si>
  <si>
    <t>WAVESHARE RS232CONVERTER</t>
  </si>
  <si>
    <t>NA</t>
  </si>
  <si>
    <t>R31</t>
  </si>
  <si>
    <t>PO-177</t>
  </si>
  <si>
    <t>Centrifugal Nozzle Spray System for Agriculture Drone</t>
  </si>
  <si>
    <t>Centrifugal Spray Nozzle For Spraying Drone(Item Code: UF0138)QTY-8, 
Lechler Ceramic Hollow Cone Nozzles High Pressure Atomizing Nozzle(Item Code: UF0134-Purple) QTY-8</t>
  </si>
  <si>
    <t>AGRI R&amp;D</t>
  </si>
  <si>
    <t xml:space="preserve">EFT </t>
  </si>
  <si>
    <t>R52</t>
  </si>
  <si>
    <t>A41</t>
  </si>
  <si>
    <t>Lechler Ceramic Hollow Cone Nozzles High Pressure Atomizing Nozzle</t>
  </si>
  <si>
    <t xml:space="preserve">Hollow Cone Nozzles High Pressure Atomizing Nozzle(Item Code: UF0134-Purple) </t>
  </si>
  <si>
    <t>R53</t>
  </si>
  <si>
    <t>Inv IPMS</t>
  </si>
  <si>
    <t>Here 3 GPS</t>
  </si>
  <si>
    <t>GPS Here 3</t>
  </si>
  <si>
    <t>R34</t>
  </si>
  <si>
    <t>A22</t>
  </si>
  <si>
    <t>Airframe</t>
  </si>
  <si>
    <t>M 1500 Frame+Power System</t>
  </si>
  <si>
    <t>T-MOTORS</t>
  </si>
  <si>
    <t>BHIMA M</t>
  </si>
  <si>
    <t>M1500 T-Drone Landing gear</t>
  </si>
  <si>
    <t>M1500 Landing gear</t>
  </si>
  <si>
    <t>M1500 T-Drone Motor arm Motor+ESC+Mount</t>
  </si>
  <si>
    <t>M1500 Motor arm - Motor+ESC+Mount</t>
  </si>
  <si>
    <t>ECO II Series 2207 1700KV Brushless Motor</t>
  </si>
  <si>
    <t>[1114474]ECO II Series 2207 1700KV Brushless Motor</t>
  </si>
  <si>
    <t>R19</t>
  </si>
  <si>
    <t>A48</t>
  </si>
  <si>
    <t>EFT Y Shaped High Pressure Nozzles for Agriculture Drone</t>
  </si>
  <si>
    <t xml:space="preserve">Y nozzle </t>
  </si>
  <si>
    <t>R51</t>
  </si>
  <si>
    <t>A36</t>
  </si>
  <si>
    <t>Y nozzle</t>
  </si>
  <si>
    <t>433MHz Telemetry module pair for Pixhawk and APM 100mw 2Km range</t>
  </si>
  <si>
    <t>R26</t>
  </si>
  <si>
    <t>A21</t>
  </si>
  <si>
    <t>M1500PDB, Shipping charge via Fedex</t>
  </si>
  <si>
    <t>Gemfan Hurricane SL 5125 Tri-Blade 5" Prop 4 Pack (5mm &amp; 1.5mm Mounting) - Clear Grey</t>
  </si>
  <si>
    <t xml:space="preserve"> INVENTORY</t>
  </si>
  <si>
    <t>Cyclone 35A 2-6S Blheli_S DSHOT600 OPTO Brushless ESC for RC Drone FPV Racing</t>
  </si>
  <si>
    <t>R22</t>
  </si>
  <si>
    <t>T-24</t>
  </si>
  <si>
    <t>5S 8400mAh Li Battery</t>
  </si>
  <si>
    <t>used</t>
  </si>
  <si>
    <t>Pro-Range Propellers 5042 WinDancer PC 3 Blade Propellers 2CW+2CCW- Clear</t>
  </si>
  <si>
    <t>Gemfan WinDancer 5043 3-Blade Propeller - Clear</t>
  </si>
  <si>
    <t>Gemfan WinDancer Clear 5042 Durable 3 Blade - Set of 4 (2CW, 2CCW) - Clear</t>
  </si>
  <si>
    <t>Emax ECOII-2004-2000KV Brushless Motor</t>
  </si>
  <si>
    <t>Benewake TFMini-S Micro LiDAR Distance Sensor for Drones UAV UAS Robots (12m) UART</t>
  </si>
  <si>
    <t>[715935] TFMini-S Micro LiDAR Distance Sensor forDrones UAV UAS Robots (12m)</t>
  </si>
  <si>
    <t>INDOOR R&amp;D</t>
  </si>
  <si>
    <t>R28</t>
  </si>
  <si>
    <t>A26</t>
  </si>
  <si>
    <t>TFMini-S Micro LiDAR Distance Sensor forDrones UAV UAS Robots (12m)</t>
  </si>
  <si>
    <t>Raspberry Pi 3 Model B+</t>
  </si>
  <si>
    <t>[BOA1009] Raspberry Pi 4 Board (8GB)</t>
  </si>
  <si>
    <t>A58</t>
  </si>
  <si>
    <t>RASBERRY PI BOARD (PACK)</t>
  </si>
  <si>
    <t xml:space="preserve">
Raspberry Pi 4 Model-B</t>
  </si>
  <si>
    <t>BETAFPV SMO 4K CAMERA</t>
  </si>
  <si>
    <t>L5</t>
  </si>
  <si>
    <t>C1</t>
  </si>
  <si>
    <t>1575 Mhz GPS Antenna for GPS and GSM module</t>
  </si>
  <si>
    <t>GPS ANTENNA 1575.42mhz 2.7-5.0V(PCS)</t>
  </si>
  <si>
    <t>3V-12V Big Buzzer with Wire</t>
  </si>
  <si>
    <t>R16</t>
  </si>
  <si>
    <t>A6</t>
  </si>
  <si>
    <t>Adafruit Perma-Proto Half-sized Breadboard PCB - Single</t>
  </si>
  <si>
    <t>adafruit perma-proto 
half-sized breadboard</t>
  </si>
  <si>
    <t>R21</t>
  </si>
  <si>
    <t>A32</t>
  </si>
  <si>
    <t>adafruit perma-proto half-sized breadboard</t>
  </si>
  <si>
    <t>Arduino Nano v3.0</t>
  </si>
  <si>
    <t>NANO V3.0 Development Board - Clone Compatible Model(PCS)</t>
  </si>
  <si>
    <t>DC 3-6V Liquid Level Sensor</t>
  </si>
  <si>
    <t>LIQUID LEVEL SENSOR</t>
  </si>
  <si>
    <t>DA2</t>
  </si>
  <si>
    <t>Emax ES08MD II Servo</t>
  </si>
  <si>
    <t>ES 08MD DIGITAL SERVO</t>
  </si>
  <si>
    <t>A67</t>
  </si>
  <si>
    <t>FitSpark Eagle i6 PRO Real 4K WiFi Action Camera 16MP Ultra HD 170° Wide-Angle Lens</t>
  </si>
  <si>
    <t>FITSPARK CAMERA 
WITH ACCESSORIES</t>
  </si>
  <si>
    <t>"FITSPARK CAMERA WITH ACCESSORIES"</t>
  </si>
  <si>
    <t>FLAME 60A 12S V2.0 Multi-Rotor UAVs ESC</t>
  </si>
  <si>
    <t>FLAME 60A ESC</t>
  </si>
  <si>
    <t>T-MOTORS FLAME 6-12S ESC</t>
  </si>
  <si>
    <t>Foxtech Diamond 3010 CF Propeller 1CW 1CCW-1pair</t>
  </si>
  <si>
    <t>1PAIR DIAMOND 30*10 PROPELLOR</t>
  </si>
  <si>
    <t>Before L1</t>
  </si>
  <si>
    <t>Generic Aluminium 2-axle brushless gimbal camera mount controller plug &amp; play, Multicolour</t>
  </si>
  <si>
    <t>GIMBAL CAMERA MOUNT PLUG 
PLAY ALUMINIUM 2-AXLE BRUSHLESS</t>
  </si>
  <si>
    <t>KM-01</t>
  </si>
  <si>
    <t>Gremsy S1 V3 Gimbal</t>
  </si>
  <si>
    <t>Gremsey S1V3(QTY)</t>
  </si>
  <si>
    <t>Gremsy</t>
  </si>
  <si>
    <t>L2</t>
  </si>
  <si>
    <t>"Gremsey (QTY)</t>
  </si>
  <si>
    <t>Herelink Antenna</t>
  </si>
  <si>
    <t>HERELINK ANTENNA</t>
  </si>
  <si>
    <t>Herelink Antenna (air unit)</t>
  </si>
  <si>
    <t>Herelink Antenna (air unit) in India</t>
  </si>
  <si>
    <t>HS-75BB Retract Nylon Gear Analog Low Profile Servo</t>
  </si>
  <si>
    <t>HIGHTECH HS75BB</t>
  </si>
  <si>
    <t>Johnnette Technologies' NPNT U2.0 Module</t>
  </si>
  <si>
    <t>JOHNNETTE NTPT 
MODULE U2.0 &amp; AIRTEL WIFI 
ROUTER MODULE(PACK)</t>
  </si>
  <si>
    <t>KDE2315XF-885 Brushless Motor for Electric Multi-Rotor (sUAS) Series</t>
  </si>
  <si>
    <t xml:space="preserve">KDE 885KV </t>
  </si>
  <si>
    <t>Warehouse</t>
  </si>
  <si>
    <t>KDE2315XF-965 BRUSHLESS MOTOR 
FOR ELECTRIC MULTI-ROTOR (sUAS) SERIES</t>
  </si>
  <si>
    <t>"KDE2315XF-965 BRUSHLESS MOTOR FOR ELECTRIC MULTI-ROTOR (sUAS) SERIES"</t>
  </si>
  <si>
    <t>KDEXF-UAS20LV 20A + Electronic Speed Controller (ESC) for Electric Multi-Rotor (UAS) Series</t>
  </si>
  <si>
    <t>KDEXF-UAS20LV+ELECTRONIC SPEED CONTROLLER 
(ESC) FOR ELECTRIC MULTIROTO (UAS) SERIES</t>
  </si>
  <si>
    <t>T24</t>
  </si>
  <si>
    <t>"KDEXF-UAS20LV+ELECTRONIC SPEED CONTROLLER 
(ESC) FOR ELECTRIC MULTIROTO (UAS) SERIES"</t>
  </si>
  <si>
    <t>Mini OSD FOR APM 2.6/2.8</t>
  </si>
  <si>
    <t>A27</t>
  </si>
  <si>
    <t>Orange HD Propellers 1045 (10X4.5) ABS 1CW 1CCW-1pair</t>
  </si>
  <si>
    <t>ORANGE HD PROPS 10*4.5 PAIR CW,CCW</t>
  </si>
  <si>
    <t>R4</t>
  </si>
  <si>
    <t>PR1</t>
  </si>
  <si>
    <t>Pro-Range Propellers 1245MR (12X4.5) Glass Fiber Nylon MR Grey 1CW 1CCW-1pair</t>
  </si>
  <si>
    <t>ORANGE HD 12x4.5</t>
  </si>
  <si>
    <t>Seagull UAV #REC Camera Controller</t>
  </si>
  <si>
    <t>Seagull #REC</t>
  </si>
  <si>
    <t>A8</t>
  </si>
  <si>
    <t>Storm32 - 3 Axis Brushless Gimbal Controller Board</t>
  </si>
  <si>
    <t xml:space="preserve">STorM32 BGC GIMBAL 
CONTROL BOARD(PCS) </t>
  </si>
  <si>
    <t>T-Motor Air 40A Esc</t>
  </si>
  <si>
    <t>AIR ESC 40amphs(QTY)</t>
  </si>
  <si>
    <t>"AIR ESC 40amphs(QTY)</t>
  </si>
  <si>
    <t>T-Motor Antigravity 4004 300KV</t>
  </si>
  <si>
    <t>T Motor Antigravity KV300
(QTY)</t>
  </si>
  <si>
    <t>"T Motor Antigravity KV300
(QTY)"</t>
  </si>
  <si>
    <t>T-Motor FA15.2x5 Prop - 2PCS/PAIR</t>
  </si>
  <si>
    <t>FA 15.2*5 PROPS</t>
  </si>
  <si>
    <t>PR4</t>
  </si>
  <si>
    <t>T-Motor GB2208 KV128 Gimbal Motor</t>
  </si>
  <si>
    <t>GB2208 GIMBAL MOTOR</t>
  </si>
  <si>
    <t>T-Motor MN3110 Multirotor Fixed Wing UAV Motor KV470</t>
  </si>
  <si>
    <t>T-MOTORS MN3110 KV470(PCS)</t>
  </si>
  <si>
    <t>T-Motor P11x3.7 Propellers</t>
  </si>
  <si>
    <t>P11*3.7 
PROPELLORS(PACKS)</t>
  </si>
  <si>
    <t>PR5</t>
  </si>
  <si>
    <t>"P11*3.7 PROPELLORS(PACKS)"</t>
  </si>
  <si>
    <t>P11x3.7 PROPELLORS PAIR CW+CCW(SET)</t>
  </si>
  <si>
    <t>T-Motor U Power U7 490KV</t>
  </si>
  <si>
    <t>UPOWER TECH
 299G BLDC MOTOR(PACK)(exc.gst)</t>
  </si>
  <si>
    <t>AD1</t>
  </si>
  <si>
    <t>"UPOWER TECH 299G BLDC MOTOR(PACK)(exc.gst)"</t>
  </si>
  <si>
    <t>TAROT FLIR Metal 3 Axis gimbal TL02FLIR</t>
  </si>
  <si>
    <t>GIMBAL 
CAMERA HOLDER LITI 3AXIS FLIR</t>
  </si>
  <si>
    <t>"GIMBAL CAMERA HOLDER LITI 3AXIS FLIR"</t>
  </si>
  <si>
    <t>TBS M8.2 GPS Glonass Blacksheep</t>
  </si>
  <si>
    <t>TBS M8.2 GPS GLONASS BLACKSHEEP</t>
  </si>
  <si>
    <t>TF03 IP67 Long Range LiDAR Sensor</t>
  </si>
  <si>
    <t>TF03 LIDAR</t>
  </si>
  <si>
    <t>Benewake TF03 - Lidar</t>
  </si>
  <si>
    <t>TowerPro MG90S Mini Digital Servo Motor (180Â° Rotation)</t>
  </si>
  <si>
    <t>Towerpro MG90S Mini 
Digital 180 Degree Servo 2.2kg/ 0.08sec/13g</t>
  </si>
  <si>
    <t>TowerPro SG90 Continuous Rotation 360 Degree Servo Motor</t>
  </si>
  <si>
    <t>Ublox NEO M8N GPS For Pixhawk Flight Controller With Compass</t>
  </si>
  <si>
    <t>UBLOX 
GPS MODULE (PACK)</t>
  </si>
  <si>
    <t>"UBLOX GPS MODULE (PACK)"</t>
  </si>
  <si>
    <t>Velbon QRA-635LII Quick Release Adapter and Plate - Black</t>
  </si>
  <si>
    <t>Winch</t>
  </si>
  <si>
    <t>Winch
(QTY)</t>
  </si>
  <si>
    <t>A77</t>
  </si>
  <si>
    <t>"Winch
(QTY)"</t>
  </si>
  <si>
    <t>DYS XSD12A ESC</t>
  </si>
  <si>
    <t>12M DYS ESC</t>
  </si>
  <si>
    <t>Chakra</t>
  </si>
  <si>
    <t>Arducam OV9281 Monochrome Global Shutter Camera Module for Raspberry Pi</t>
  </si>
  <si>
    <t>ARDUCAM</t>
  </si>
  <si>
    <t>BHIMA R&amp;D</t>
  </si>
  <si>
    <t>Carrycase ID: 30.75x30.75x29.75'' with wheels</t>
  </si>
  <si>
    <t>FLIGHT CASE FOR DRONE (INNER DIMENSION: 30.75" x 30.75" x 29.75") WITH 4 WHEELS</t>
  </si>
  <si>
    <t>NRA24 24GHz Alimeter Radar</t>
  </si>
  <si>
    <t xml:space="preserve">NRA24 24GHz Alimeter Radar NRA24 </t>
  </si>
  <si>
    <t>Nanoradar</t>
  </si>
  <si>
    <t>A3</t>
  </si>
  <si>
    <t>"NRA24 24GHz Alimeter Radar NRA24,  MR72 77GHz Collision Avoidance sensor MR72"</t>
  </si>
  <si>
    <t>Skycat X85-CF package (Fruity 120" Ultra Light Parachute,Skycat Fuse Ready Fuse for X85, 5 PCS, Skycat Trigger V4 Pro Upgrade)</t>
  </si>
  <si>
    <t>Skycat X85-CF package - Fruity 120" Ultra Light Parachute, 
Skycat Fuse® Ready Fuse for X85, 5 PCS, Skycat Trigger V4 Pro Upgrade</t>
  </si>
  <si>
    <t>Skycat</t>
  </si>
  <si>
    <t>BHIMA (Bhumi 16L)</t>
  </si>
  <si>
    <t>"Skycat X85-CF package - Fruity 120"" Ultra Light Parachute, 
Skycat Fuse® Ready Fuse for X85, 5 PCS, Skycat Trigger V4 Pro Upgrade</t>
  </si>
  <si>
    <t>AT19 Lightweight 19mm 640*512 Thermal Camera with AI Tracking Objects</t>
  </si>
  <si>
    <t>Viewpro</t>
  </si>
  <si>
    <t>ASTRA-X</t>
  </si>
  <si>
    <t>"AT19 Radiometric Version qty-1,Q10T Viewport Version without hatpat qty-1</t>
  </si>
  <si>
    <t>Q10T 10x Optical Zoom Object Tracking Gimbal Camera</t>
  </si>
  <si>
    <t>Raspberry Pi Camera Module V2 - 8 Megapixel,1080p</t>
  </si>
  <si>
    <t>RunCam Link Wasp Digital HD FPV Camera System</t>
  </si>
  <si>
    <t>AHMEDNAGAR NANO</t>
  </si>
  <si>
    <t>Arduino Uno R3</t>
  </si>
  <si>
    <t>[6337] Arduino Uno R3 with Cable</t>
  </si>
  <si>
    <t>Beitian Dual BN-220 GPS GLONASS Antenna Module TTL Level RC Drone</t>
  </si>
  <si>
    <t>[797540] Beitian Dual BN-220 GPS GLONASS 
Antenna Module TTL Level RC Drone</t>
  </si>
  <si>
    <t>[797540] Beitian Dual BN-220 GPS GLONASS Antenna Module TTL Level RC Drone</t>
  </si>
  <si>
    <t>T-Motor Quick Attach-Detach Propeller Adapter Q1824</t>
  </si>
  <si>
    <t>[1422756] T Motor Quick-Attach-Detach PropellerAdapter Q1824</t>
  </si>
  <si>
    <t>T-Motor P30x10 Prop 1CW 1CCW-1Pair</t>
  </si>
  <si>
    <t>T-motor P series Polished Prop 3010 (pair)(SET)</t>
  </si>
  <si>
    <t>Holybro Kakute H7 V2 Flight Controller</t>
  </si>
  <si>
    <t>HOLYBRO KAKUTE H7 V2 FLIGHT CONTROLLER</t>
  </si>
  <si>
    <t>MACFOS LIMITED</t>
  </si>
  <si>
    <t>R32</t>
  </si>
  <si>
    <t>VTOL</t>
  </si>
  <si>
    <t>Arace</t>
  </si>
  <si>
    <t>Vyoma S&amp;m</t>
  </si>
  <si>
    <t>Toy Drone - RC Drone</t>
  </si>
  <si>
    <t>Toy Drone</t>
  </si>
  <si>
    <t>R&amp;D</t>
  </si>
  <si>
    <t>ToyDrone</t>
  </si>
  <si>
    <t>R30</t>
  </si>
  <si>
    <t>Add in IPMS Inv</t>
  </si>
  <si>
    <t>Toy Drone  &amp; BIR V2</t>
  </si>
  <si>
    <t>Toy Drone - Falcon</t>
  </si>
  <si>
    <t>Toy Drone - SU-35</t>
  </si>
  <si>
    <t>Toy Drone - BIR v2</t>
  </si>
  <si>
    <t>Ubec-8A 6-36V 2-8S Lipo Esc</t>
  </si>
  <si>
    <t>UBEC-8A</t>
  </si>
  <si>
    <t>CRRI</t>
  </si>
  <si>
    <t>R27</t>
  </si>
  <si>
    <t>A17</t>
  </si>
  <si>
    <t>Ubec-8A</t>
  </si>
  <si>
    <t>Towerpro MG996R Digital High Torque Servo Motor</t>
  </si>
  <si>
    <t>Towerpro MG996R Digital High Torque servo motor</t>
  </si>
  <si>
    <t>Metal Gear Servo Motor RDS5180 80kg</t>
  </si>
  <si>
    <t>Metal gear servo motor RDS5180. 80kg</t>
  </si>
  <si>
    <t>R42</t>
  </si>
  <si>
    <t>in payload dropper old</t>
  </si>
  <si>
    <t>UNO R3 Board without Cable compatible with Arduino</t>
  </si>
  <si>
    <t>Moved to Scrap</t>
  </si>
  <si>
    <t>HOLYBRO KAKUTE H7 V2 FC &amp; TEKKO 32 F4 4in1 50A ESC STACK</t>
  </si>
  <si>
    <t>CHAKRA</t>
  </si>
  <si>
    <t>Flysky FS-I6x 2.4gHZ 6CHAFHDS 2A RC Transmitter with FS-iA10B 10CH Receiver</t>
  </si>
  <si>
    <t>Flysky FS-I6x 2.4gHZ 6CHAFHDS 2A RC TRANSMITTER with FS-iA10B 10CH Receiver</t>
  </si>
  <si>
    <t>"FLYSKY FS-I6 2.4G 6CH PPM RC TRANSMITTER WITH FS-IA6B RECEIVER"</t>
  </si>
  <si>
    <t>FrSky R9 MX + OTA 900MHz Long Range Receiver</t>
  </si>
  <si>
    <t>FrSky R9 MX Enhanced R9 Series Access OTA Long Range Receivers | B087BXZ498 ( 4361640165 ) HSN:85285900</t>
  </si>
  <si>
    <t>Cart2india Online Retail Pvt Ltd</t>
  </si>
  <si>
    <t>Rekon 4 FR Freestyle Frame Kit 4 Inches Frame</t>
  </si>
  <si>
    <t>QUAD KART</t>
  </si>
  <si>
    <t>Ready to sky BN-880 GPS Module</t>
  </si>
  <si>
    <t>Ready to Sky BN-880 GPS Module</t>
  </si>
  <si>
    <t>Tekko32 F4 4in1 50A ESC(AM32)</t>
  </si>
  <si>
    <t>Fat Shark Recon FPV HD Goggles fsv1127</t>
  </si>
  <si>
    <t>FPV Goggles</t>
  </si>
  <si>
    <t>GETFPV</t>
  </si>
  <si>
    <t>FrSky Taranis X9D Plus 2019 ACCESS 2.4G 24CH Radio Transmitter</t>
  </si>
  <si>
    <t>FrSky Taranis</t>
  </si>
  <si>
    <t>VYOM DRONES</t>
  </si>
  <si>
    <t>FrSky R9M Transmitter Module</t>
  </si>
  <si>
    <t>Frsky R9M 2019 Transmitter Module</t>
  </si>
  <si>
    <t>NEXT CC Integration Support</t>
  </si>
  <si>
    <t>UrbanMatrix Technologies Pvt. Ltd</t>
  </si>
  <si>
    <t>TC Documentation</t>
  </si>
  <si>
    <t>HGLRC AEOLUS 1202.5 5600/8000/11600KV Brushless Motor</t>
  </si>
  <si>
    <t>aeolus 1202-8000kv motor</t>
  </si>
  <si>
    <t>Original Arduino Nano</t>
  </si>
  <si>
    <t>Arduino Nano</t>
  </si>
  <si>
    <t>Skydroid H16 Remote Controller</t>
  </si>
  <si>
    <t>H16 Remote Controller W/O Camera</t>
  </si>
  <si>
    <t>INDIAN ROBOTICS SOLUTION PVT LTD</t>
  </si>
  <si>
    <t>Tarot 1760 Propellers TL100D10 1CW 1CCW-1Pair</t>
  </si>
  <si>
    <t>Tarot Propeller 1760 with mount TL100D10</t>
  </si>
  <si>
    <t>Nighthawk 2 Next Vision Camera</t>
  </si>
  <si>
    <t>Night hawk2 + Trip6</t>
  </si>
  <si>
    <t>VYOMA</t>
  </si>
  <si>
    <t>Next Vision Stabilized Ltd</t>
  </si>
  <si>
    <t>Trip 6 &amp;</t>
  </si>
  <si>
    <t>Doodle Labs - EK-915 &amp; EK-2450 Evaluation Kits</t>
  </si>
  <si>
    <t>Evaluation Kit</t>
  </si>
  <si>
    <t>AqTronics Technologies Pvt. Ltd.</t>
  </si>
  <si>
    <t>L4</t>
  </si>
  <si>
    <t>Doodle Labs - RM-2450 - 12M3 - Radio Unit</t>
  </si>
  <si>
    <t>Doodle labs</t>
  </si>
  <si>
    <t>Walksnail Avatar HD Pro Kit (Dual Antennas Version) 32G With Gyroflow</t>
  </si>
  <si>
    <t>Available Scrap</t>
  </si>
  <si>
    <t>Walksnail Avatar HD</t>
  </si>
  <si>
    <t>200MM, 7mm/S, 1500N, 12V Linear Actuator</t>
  </si>
  <si>
    <t>Linear Actuator stroke length 200MM,7mm/s,1500N,12V</t>
  </si>
  <si>
    <t>Matek AP Periph CAN Node CAN-L4-PWM</t>
  </si>
  <si>
    <t>Matek CAN Module</t>
  </si>
  <si>
    <t>RC MUMBAI</t>
  </si>
  <si>
    <t>1710-2400Mhz Airtel 4G Patch Panel Antenna</t>
  </si>
  <si>
    <t>Patch Panel Antenna</t>
  </si>
  <si>
    <t>SYNERGY TELECOM PVT LTD</t>
  </si>
  <si>
    <t>R35</t>
  </si>
  <si>
    <t>A72</t>
  </si>
  <si>
    <t>LM2577 3A DC-DC Step UP LED Voltmeter 3-34 to 4-35V Adjustable Boost Converter module</t>
  </si>
  <si>
    <t>LM2577 3A DC-DC Step up LED voltmeter converter module</t>
  </si>
  <si>
    <t>BHIMA</t>
  </si>
  <si>
    <t>A37</t>
  </si>
  <si>
    <t>LM2596 2A Buck Step-down Power Converter Module DC 4-40 to 1.3-37V LED Voltmeter</t>
  </si>
  <si>
    <t>LM2596 2A Buck Step down power converter module</t>
  </si>
  <si>
    <t>VAJRA UP</t>
  </si>
  <si>
    <t>Oneclap Micro- Wired GPS tracker</t>
  </si>
  <si>
    <t>SIYI HM30 DUAL LONGE RANGE MODULE</t>
  </si>
  <si>
    <t>TILTAS SYSTEMS LLP</t>
  </si>
  <si>
    <t>R50</t>
  </si>
  <si>
    <t>RF Cables</t>
  </si>
  <si>
    <t>SRFS/23-24/930</t>
  </si>
  <si>
    <t>RF-01</t>
  </si>
  <si>
    <t>SRFS TELEINFRA</t>
  </si>
  <si>
    <t>100A Multirotor ESC Power Distribution Battery Board (PBD)</t>
  </si>
  <si>
    <t>100A Multirotor ESC Power Distribution Battery Board For Quadcopte</t>
  </si>
  <si>
    <t>VYOMA(TA)</t>
  </si>
  <si>
    <t>INV2324/225177</t>
  </si>
  <si>
    <t>1 in vajra; 1 in crashed</t>
  </si>
  <si>
    <t>[28954] 100A Multirotor ESC Power Distribution BatteryBoard For Quadcopter</t>
  </si>
  <si>
    <t>Aq/GD/23-24/4245</t>
  </si>
  <si>
    <t>Ultra Torque Quarter Scale 60kgcm Metal Gear Servo Motor</t>
  </si>
  <si>
    <t>A18</t>
  </si>
  <si>
    <t>60KG Servo Motor</t>
  </si>
  <si>
    <t>Pixhawk 2.4.8</t>
  </si>
  <si>
    <t>A63</t>
  </si>
  <si>
    <t>Doodle Lab Housing Top</t>
  </si>
  <si>
    <t>Doodle Labs housing</t>
  </si>
  <si>
    <t>Amuse</t>
  </si>
  <si>
    <t>INV001560</t>
  </si>
  <si>
    <t>R9</t>
  </si>
  <si>
    <t>A73</t>
  </si>
  <si>
    <t>Doodle labs-Radio Module</t>
  </si>
  <si>
    <t>Aq/GD/23-24/4331</t>
  </si>
  <si>
    <t>Connecting arm</t>
  </si>
  <si>
    <t>Talon</t>
  </si>
  <si>
    <t>Electronic Housing</t>
  </si>
  <si>
    <t>Pixhawk enclosure</t>
  </si>
  <si>
    <t>Mateksys M10-5883 GN</t>
  </si>
  <si>
    <t>Talon extension kit with 16mm square tubes</t>
  </si>
  <si>
    <t>Talon plane 1.7meter</t>
  </si>
  <si>
    <t>VTOL motor mounts</t>
  </si>
  <si>
    <t>MAX615TR-PP Carrycase with XLPE Foam Accessories</t>
  </si>
  <si>
    <t>MAX615TR-PP carrycase with customized XLPE foam Accessories</t>
  </si>
  <si>
    <t>TOOLFIT</t>
  </si>
  <si>
    <t>2023-24/1669</t>
  </si>
  <si>
    <t>PP Carry Case</t>
  </si>
  <si>
    <t>Customized Foam</t>
  </si>
  <si>
    <t>Vyoma Foam</t>
  </si>
  <si>
    <t>YRRC 2-13S 5V 5A BEC</t>
  </si>
  <si>
    <t>2-13S 5V 5A Bec for Drones</t>
  </si>
  <si>
    <t>Vyoma</t>
  </si>
  <si>
    <t>2-13S 5V 5A BEC</t>
  </si>
  <si>
    <t>Cable creation USB Type C cable</t>
  </si>
  <si>
    <t>Amazon</t>
  </si>
  <si>
    <t>SIYI A8 mini 4K 8MP Ultra HD 6X Digital Zoom Gimbal Camera</t>
  </si>
  <si>
    <t>A8 mini camera</t>
  </si>
  <si>
    <t>Robokits</t>
  </si>
  <si>
    <t>L1</t>
  </si>
  <si>
    <t>GPS enclosure</t>
  </si>
  <si>
    <t>Patch Antenna mount</t>
  </si>
  <si>
    <t>Tripod mounting plate</t>
  </si>
  <si>
    <t>Robot Servo 60kg RDS5160 Metal Gear Digital servo Motor 180 Degree</t>
  </si>
  <si>
    <t>Robot servo 60kg RDS5160 Metal Gear</t>
  </si>
  <si>
    <t>ROBOCRAZE</t>
  </si>
  <si>
    <t>6S 21000mAh Li-Ion Battery</t>
  </si>
  <si>
    <t xml:space="preserve">6S 21000mAh Lithium Battery </t>
  </si>
  <si>
    <t>MAGNIPOWER TECHNOLOGY</t>
  </si>
  <si>
    <t>Charging Room</t>
  </si>
  <si>
    <t>6S 21000MAH LITHIUM Battery</t>
  </si>
  <si>
    <t>MAX620H340TR-Pelican Carrycase</t>
  </si>
  <si>
    <t>MAX620H340TR-Pelican Carrycase(Empty)</t>
  </si>
  <si>
    <t>Accessories - Carry Case</t>
  </si>
  <si>
    <t>Polulu 1350/1352/1354/1356 Mini/Micro Maestro 6/12/18/24 Channel USB servo</t>
  </si>
  <si>
    <t xml:space="preserve">Polulu 1350/1352/1354/1356 Mini/Micro Maestro 6/12/18/24 Channel USB servo </t>
  </si>
  <si>
    <t>FAB TO LAB</t>
  </si>
  <si>
    <t xml:space="preserve">A8 </t>
  </si>
  <si>
    <t>Scraped</t>
  </si>
  <si>
    <t>2.4Ghz 11 dBi Dual Polarization Diversity/MIMO/802.11n Antenna-3ft RP-SMA</t>
  </si>
  <si>
    <t>ARROW TECHNOLOGIES</t>
  </si>
  <si>
    <t>Night hawk2</t>
  </si>
  <si>
    <t>NEXTVISION</t>
  </si>
  <si>
    <t>TRIP 5 for Night Hawk 2</t>
  </si>
  <si>
    <t>Trip 5</t>
  </si>
  <si>
    <t>Trip5</t>
  </si>
  <si>
    <t>SIYI AI Tracking module</t>
  </si>
  <si>
    <t>TAWANG</t>
  </si>
  <si>
    <t>INDIAN ROBO STORE</t>
  </si>
  <si>
    <t>SIYI MK15 Camera Hub</t>
  </si>
  <si>
    <t xml:space="preserve">SIYI MK15 Camera Hub </t>
  </si>
  <si>
    <t>R12</t>
  </si>
  <si>
    <t>A46</t>
  </si>
  <si>
    <t xml:space="preserve">BHIMA </t>
  </si>
  <si>
    <t>C Bhima</t>
  </si>
  <si>
    <t>Tarot 4008 TL2955 330KV</t>
  </si>
  <si>
    <t>Tarot 4008MT 330KV</t>
  </si>
  <si>
    <t>A49</t>
  </si>
  <si>
    <t>ReadytoSky 30A 2-6S ESC Banana connector</t>
  </si>
  <si>
    <t>Readytosky 30A 2-6S ESC Banana Connector</t>
  </si>
  <si>
    <t>Sunny Sky X3108S KV900 Brushless Motors</t>
  </si>
  <si>
    <t>Sunnysky X3108 - KV 900 Brushless motor</t>
  </si>
  <si>
    <t xml:space="preserve">A45 </t>
  </si>
  <si>
    <t>Sunny Sky 1038 Propellers CW &amp; CCW Rotation Pair</t>
  </si>
  <si>
    <t>Sunnysky 1038 propellers CW &amp;amp CCW Rotation pair</t>
  </si>
  <si>
    <t>PR3</t>
  </si>
  <si>
    <t>TowerPro MG995 Plastic Gear Servo Motor (180Â° Rotation)</t>
  </si>
  <si>
    <t>Towerpro MG995 Plastic Gear servo motor(180 Rotation)</t>
  </si>
  <si>
    <t>IA SRINAGAR</t>
  </si>
  <si>
    <t>Payload Dropper</t>
  </si>
  <si>
    <t>2388 propellers 1CW 1CCW-1Pair</t>
  </si>
  <si>
    <t>Aerotek Products and Services Pvt. Ltd.</t>
  </si>
  <si>
    <t>PR2</t>
  </si>
  <si>
    <t>EFT Aluminum Main Arm Dia 40x37x315mm with Arm Folding Parts Dia40</t>
  </si>
  <si>
    <t>EFT Aluminium Inner with arm folding</t>
  </si>
  <si>
    <t>Elecdrone Technologies</t>
  </si>
  <si>
    <t>R10</t>
  </si>
  <si>
    <t>B7</t>
  </si>
  <si>
    <t>EFT Arm Locking Cap Dia 35mm</t>
  </si>
  <si>
    <t>Arm Locking cap</t>
  </si>
  <si>
    <t>Arm Locking Cap</t>
  </si>
  <si>
    <t>EFT Carbon Fiber Folding Arm Dia 40x37x380mm</t>
  </si>
  <si>
    <t>EFT CF arm tube</t>
  </si>
  <si>
    <t>EFT Dia 20x420mm Vertical Landing Gear Kit</t>
  </si>
  <si>
    <t>Vertical rod with tank mount</t>
  </si>
  <si>
    <t>Vertical Rod</t>
  </si>
  <si>
    <t>EFT PDB</t>
  </si>
  <si>
    <t>Power distribution board</t>
  </si>
  <si>
    <t>A9</t>
  </si>
  <si>
    <t>Motor X6 Plus - 6218-150KV-D30-CCW</t>
  </si>
  <si>
    <t>Hobbywing X6 plus motor CCW</t>
  </si>
  <si>
    <t>A38</t>
  </si>
  <si>
    <t>Motor X6 Plus - 6218-150KV-D30-CW</t>
  </si>
  <si>
    <t>Hobbywing X6 plus motor CW</t>
  </si>
  <si>
    <t>Tattu 16000mAh 6S Lipo Battery</t>
  </si>
  <si>
    <t>20mm PU tube Holding ring</t>
  </si>
  <si>
    <t>EFT Spares</t>
  </si>
  <si>
    <t>30mm PU holding ring</t>
  </si>
  <si>
    <t>EFT 10L Sprayer tank</t>
  </si>
  <si>
    <t xml:space="preserve">Hexagonal PU tube rings </t>
  </si>
  <si>
    <t>Pump - 5L-Brushless</t>
  </si>
  <si>
    <t>Spray system</t>
  </si>
  <si>
    <t>Camera mount for E610P frame</t>
  </si>
  <si>
    <t>3.5mm Male Female Banana Plug Bullet Connector (Pack of 10)</t>
  </si>
  <si>
    <t>VAJRA R&amp;D</t>
  </si>
  <si>
    <t>Used</t>
  </si>
  <si>
    <t>24GHZ Alimeter Radar NRA24</t>
  </si>
  <si>
    <t>Alimeter Radar 24GHz</t>
  </si>
  <si>
    <t>Data Acquistion system</t>
  </si>
  <si>
    <t>APICO</t>
  </si>
  <si>
    <t>A57</t>
  </si>
  <si>
    <t>EFT 10L Tank</t>
  </si>
  <si>
    <t>Scrap</t>
  </si>
  <si>
    <t>FrSky 900MHz Super 8 Antenna for R9M and R9M Lite Module</t>
  </si>
  <si>
    <t>FrSky 900MHz Super 8 Antenna for R9M and R9M Lite Module_ FCC version</t>
  </si>
  <si>
    <t>Amass XT150 Gold Plated Male Connector</t>
  </si>
  <si>
    <t>Amass XT150 Gold plated Male connector 1 Piece</t>
  </si>
  <si>
    <t>AGRI-TC</t>
  </si>
  <si>
    <t>A64</t>
  </si>
  <si>
    <t>AS150_Banana Connector</t>
  </si>
  <si>
    <t>Amass XT150 Gold plated Male/Female connector with High current(130A Max)</t>
  </si>
  <si>
    <t>Amass XT150 Gold Plated Female Connector</t>
  </si>
  <si>
    <t>XT150 Gold plated female connector 1 piece</t>
  </si>
  <si>
    <t>X150 Connectors Male/Female</t>
  </si>
  <si>
    <t>EFT Hexa PDB</t>
  </si>
  <si>
    <t>SafeConnect Twisted 60CM 22AWG Servo Lead Extension (Futaba) Cable</t>
  </si>
  <si>
    <t>Safeconnect twisted 60cm servo cable</t>
  </si>
  <si>
    <t>A35</t>
  </si>
  <si>
    <t>60Cm Servo Cable</t>
  </si>
  <si>
    <t>Here 3+ GPS with I-stand</t>
  </si>
  <si>
    <t>Here 3+ GPS</t>
  </si>
  <si>
    <t>Indoor Drone</t>
  </si>
  <si>
    <t>Cube Orange Plus with ADS-B Carrier Board</t>
  </si>
  <si>
    <t>Cube Orange Plus with ADSB</t>
  </si>
  <si>
    <t>Vyoma Blue</t>
  </si>
  <si>
    <t>SS Ball &amp; SS Rod</t>
  </si>
  <si>
    <t>R44</t>
  </si>
  <si>
    <t>CRRI Spares</t>
  </si>
  <si>
    <t>E616P frame without tank</t>
  </si>
  <si>
    <t>P0006</t>
  </si>
  <si>
    <t>IITR</t>
  </si>
  <si>
    <t>3DR 100mW Radio Telemetry 433MHZ For APM PX4 Pixhawk</t>
  </si>
  <si>
    <t>3DR Telemetry module 433mHz</t>
  </si>
  <si>
    <t>NRSC</t>
  </si>
  <si>
    <t>3DR Telemetry Module 433MHz</t>
  </si>
  <si>
    <t>AI Computational Board</t>
  </si>
  <si>
    <t>AI Computation Board</t>
  </si>
  <si>
    <t>NANO-IA</t>
  </si>
  <si>
    <t>NANO</t>
  </si>
  <si>
    <t>Bus Bar</t>
  </si>
  <si>
    <t>Bus Bar 12V Power Distribution Block</t>
  </si>
  <si>
    <t>Servo mechanism 60kg</t>
  </si>
  <si>
    <t>Hobbywing X8 CW Combo</t>
  </si>
  <si>
    <t>Hobbywing X8 motor(CW/CCW Combo)</t>
  </si>
  <si>
    <t>V1</t>
  </si>
  <si>
    <t>Hobbywing X8 CCW Combo</t>
  </si>
  <si>
    <t>MG 996R Servo TowerPro (with attachments)</t>
  </si>
  <si>
    <t>Here 3+</t>
  </si>
  <si>
    <t>Bhima (Bhumi-16L)</t>
  </si>
  <si>
    <t>Matek GNSS M10-L4-3100 DroneCAN</t>
  </si>
  <si>
    <t>GPS (AP_Periph DroneCAN GNSS M10-L4-3100)</t>
  </si>
  <si>
    <t>P0004</t>
  </si>
  <si>
    <t>Anubis RC</t>
  </si>
  <si>
    <t>Matek MICRO BEC 5V/12V-ADJ</t>
  </si>
  <si>
    <t>BEC (Matek MICRO BEC 5V/12V-ADJ)</t>
  </si>
  <si>
    <t>Cube Orange Plus</t>
  </si>
  <si>
    <t>Cube Orange Plus Flight Controller</t>
  </si>
  <si>
    <t>Vajra</t>
  </si>
  <si>
    <t>T-motor NS30x10 Propellers 1CW 1CCW - 1Pair</t>
  </si>
  <si>
    <t>Propellers NS30*10</t>
  </si>
  <si>
    <t>M1500 T-Drone PDB</t>
  </si>
  <si>
    <t>M1500 PDB</t>
  </si>
  <si>
    <t>A52</t>
  </si>
  <si>
    <t>T-Motor Antigravity MN8017 120KV</t>
  </si>
  <si>
    <t>MN8017 Motor</t>
  </si>
  <si>
    <t>[618530] TowerPro MG996R Digital High Torque Servo Motor(360°Rotation)</t>
  </si>
  <si>
    <t>1 x SIYI A8 mini 3 Axis 4K 8MP Ultra HD 6X Digital Zoom Gimbal Camera for UAV UGV USV RC Planes and FPV Drones</t>
  </si>
  <si>
    <t>[618521] Ultra Torque Quarter Scale 60kgcm Metal Gear Servo Motor</t>
  </si>
  <si>
    <t>HENGE 8A UBEC</t>
  </si>
  <si>
    <t>[1345177] HENGE 8A UBEC</t>
  </si>
  <si>
    <t>CF Sheet 300mmx300mmx2mm</t>
  </si>
  <si>
    <t>2mm 300*300mm Carbon fiber sheet</t>
  </si>
  <si>
    <t>Vortex RC</t>
  </si>
  <si>
    <t>Above L1</t>
  </si>
  <si>
    <t>Radiomaster TX16S MKII Hall v4.0 ELRS Radio with RP1 ExpressLRS 2.4Ghz Nano receiver</t>
  </si>
  <si>
    <t>Inventory Drones</t>
  </si>
  <si>
    <t>TowerPro MG996R Digital High Torque Servo Motor (360° Rotation)</t>
  </si>
  <si>
    <t>XKC-Y25 NPN Intelligent Non-Contact Liquid Water Level Sensor</t>
  </si>
  <si>
    <t>XKC-Y25 NPN Intelligent NonContact Liquid Water Level Sensor</t>
  </si>
  <si>
    <t>SafeConnect Flat 30CM 22AWG Servo Lead Extension (Futaba) Cable</t>
  </si>
  <si>
    <t>SafeConnect Twisted 15CM 22AWG Servo Lead Extension (Futaba) Cable</t>
  </si>
  <si>
    <t>Vector BEC VOLTROX 12V 1.5A (6S -12S)</t>
  </si>
  <si>
    <t>Vector 12V 1.5A BEC</t>
  </si>
  <si>
    <t>Water Flow Sensor (Sea) YFS401 Flowmeter 0.3-6L/min3.5mm White</t>
  </si>
  <si>
    <t>1/8 inch water flow sensor-YF-S401</t>
  </si>
  <si>
    <t>Zbotics</t>
  </si>
  <si>
    <t xml:space="preserve">SIYI A8 Mini 3 Axis 4K 8MP Ultra HD 6x Digital Zoom Gimbal camera </t>
  </si>
  <si>
    <t>Here Pro GNSS</t>
  </si>
  <si>
    <t>Here Pro RTK Module</t>
  </si>
  <si>
    <t>A55</t>
  </si>
  <si>
    <t>Proximity Sensor</t>
  </si>
  <si>
    <t>Advanced Electronic fuzes with proximity sensors</t>
  </si>
  <si>
    <t>Adafruit Accessories Electric Heating Pad 14cmx5cm</t>
  </si>
  <si>
    <t>adafruit Accessories Electric Heating Pad 14cm*5cm</t>
  </si>
  <si>
    <t>R17</t>
  </si>
  <si>
    <t>Aluminium Mount</t>
  </si>
  <si>
    <t>Aluminum Mount</t>
  </si>
  <si>
    <t>T-Motor Antigravity MN5008 400KV</t>
  </si>
  <si>
    <t>T Motor Antigravity MN5008 400KV</t>
  </si>
  <si>
    <t>Mauch 003 PL 200A Sensor Board 10 AWG</t>
  </si>
  <si>
    <t xml:space="preserve">Mauch 003 PL 200A Sensor Board 10 AWG </t>
  </si>
  <si>
    <t>A19</t>
  </si>
  <si>
    <t>Mauch 053 Power cube 3 V3</t>
  </si>
  <si>
    <t>Mauch 053 Power cube 3 V3-2*5.3v/10A + 1x 12.0V/10A + Cable set</t>
  </si>
  <si>
    <t>Meatech</t>
  </si>
  <si>
    <t>6S 22000mAh Solid State Battery</t>
  </si>
  <si>
    <t>6s 22Ah Solid stated battery</t>
  </si>
  <si>
    <t>AVD</t>
  </si>
  <si>
    <t>Magnipower</t>
  </si>
  <si>
    <t>in use</t>
  </si>
  <si>
    <t>6S 22Ah Solid Stated Battery</t>
  </si>
  <si>
    <t>Mini Carrier Board</t>
  </si>
  <si>
    <t>Robot Servo 60kg RDS5160 Metal Gear Digital servo Motor</t>
  </si>
  <si>
    <t>CRRI - 8mm Ball Pin</t>
  </si>
  <si>
    <t>8mm Ball Pin</t>
  </si>
  <si>
    <t>HVID</t>
  </si>
  <si>
    <t>CRRI - 14mm Ball Pin</t>
  </si>
  <si>
    <t>14mm Ball Pin</t>
  </si>
  <si>
    <t>Tarot 1765 CF Propellers 1CW 1CCW-1Pair</t>
  </si>
  <si>
    <t>Tarot 1765 CF Propeller</t>
  </si>
  <si>
    <t>RACEWAY IMPEX</t>
  </si>
  <si>
    <t>A8 mini mounting CF plate_water jet cutting</t>
  </si>
  <si>
    <t>Alind</t>
  </si>
  <si>
    <t>AVD camera plate_water jet cutting</t>
  </si>
  <si>
    <t>Carbon fiber 2mm thick_Water jet cutting</t>
  </si>
  <si>
    <t>Male Dupont Terminal Reed Connector 2.54mm 5 Pins</t>
  </si>
  <si>
    <t>Male Dupont terminal reed connector 2.54mm 5 pin</t>
  </si>
  <si>
    <t>BHUMI</t>
  </si>
  <si>
    <t>Bhumi</t>
  </si>
  <si>
    <t>Female Dupont Terminal Connector 2.54mm 5 pins</t>
  </si>
  <si>
    <t>Female Dupont terminal reed connector 2.54mm 5 pin</t>
  </si>
  <si>
    <t>Hobbywing X8 3011 Propellers CCW</t>
  </si>
  <si>
    <t>Hobbywing 3011 propeller with adaptor CCW</t>
  </si>
  <si>
    <t>16L</t>
  </si>
  <si>
    <t>Hobbywing X8 3011 Propellers CW</t>
  </si>
  <si>
    <t>Hobbywing 3011 propeller with adaptor CW</t>
  </si>
  <si>
    <t>CMERI</t>
  </si>
  <si>
    <t>Toy Drone - DM002 DIY</t>
  </si>
  <si>
    <t>DIY Drone kit with wifi and camera</t>
  </si>
  <si>
    <t>DRONE KIT</t>
  </si>
  <si>
    <t>DIY Drone Kit</t>
  </si>
  <si>
    <t>Toy Drone - Aasma BYOD</t>
  </si>
  <si>
    <t>Aasma BYOD</t>
  </si>
  <si>
    <t>Aasma Aerospace</t>
  </si>
  <si>
    <t>Toy Drone - Pluto 1.2 Kit</t>
  </si>
  <si>
    <t>Pluto 1.2 Kit</t>
  </si>
  <si>
    <t>DRONA AVIATION</t>
  </si>
  <si>
    <t>Toy Drone - Pluto X</t>
  </si>
  <si>
    <t>Pluto X</t>
  </si>
  <si>
    <t>MR72 77GHZ Collision Avoidance Radar</t>
  </si>
  <si>
    <t>Obstacle detection sensor</t>
  </si>
  <si>
    <t>SPH Engineering</t>
  </si>
  <si>
    <t xml:space="preserve">A3 </t>
  </si>
  <si>
    <t>SMA Male to SMA Female Adapter</t>
  </si>
  <si>
    <t>HAHER20</t>
  </si>
  <si>
    <t>Macfos / Robu</t>
  </si>
  <si>
    <t>Bonka 3.7V 1000mAh 25C 1S Lithium Polymer Battery</t>
  </si>
  <si>
    <t>Bonka 3.7V 1000mAh 25C 1S Lithium Polymer Battery Pack</t>
  </si>
  <si>
    <t>NANO DRONE KIT</t>
  </si>
  <si>
    <t>R23</t>
  </si>
  <si>
    <t>Battery - Drone Kit</t>
  </si>
  <si>
    <t>JST GH Connector Housing 1.25mm Pitch 5 Way 1</t>
  </si>
  <si>
    <t xml:space="preserve">JST GH Connector Housing 1.25mm Pitch 5 Way 1 </t>
  </si>
  <si>
    <t>RS Components &amp; Controls Limited</t>
  </si>
  <si>
    <t>JST GH Female Crimp Terminal 26AWG SSHL-002T-P0.2</t>
  </si>
  <si>
    <t>High Quality Ultra Flexible 26AWG Silicone Wire - Black</t>
  </si>
  <si>
    <t>High Quality Ultra Flexible 26AWG Silicone Wire - Green</t>
  </si>
  <si>
    <t>High Quality Ultra Flexible 26AWG Silicone Wire - Red</t>
  </si>
  <si>
    <t>High Quality Ultra Flexible 26AWG Silicone Wire - White</t>
  </si>
  <si>
    <t>High Quality Ultra Flexible 26AWG Silicone Wire - Yellow</t>
  </si>
  <si>
    <t>15x20 cm Universal PCB Prototype Board Double-Sided</t>
  </si>
  <si>
    <t>R45</t>
  </si>
  <si>
    <t>ARIS Spare</t>
  </si>
  <si>
    <t>3.7V to 12V Mini DC-DC Boost Step Up Converter Board Module 5V/8V/9V 12V Output</t>
  </si>
  <si>
    <t>3.7V to 12V Mini DC-DC Boost Step Up Converter Board Module 5V/ 8V/ 9V 12V Output</t>
  </si>
  <si>
    <t>55MM Blade Propeller Prop with 8520CW &amp; CCW Coreless Brushed Motor for Indoor Racing Drone Quad</t>
  </si>
  <si>
    <t>55mm (2.2inch) Blade Propeller Propeller for 6x15mm, 7x20mm 8.5x20mm Coreless Motor DIY Microcopter</t>
  </si>
  <si>
    <t>ARIS</t>
  </si>
  <si>
    <t>720 Magnetic Micro Coreless Motor for Micro Quadcopters  2CW &amp; 2CCW</t>
  </si>
  <si>
    <t>720 Magnetic Micro Coreless Motor for Micro Quadcopters - 2xCW &amp; 2xCCW</t>
  </si>
  <si>
    <t>8x12 cm Universal PCB Prototype Board Double-Sided</t>
  </si>
  <si>
    <t>BMP Barometric Pressure and Altitude Sensor I2C/SPI Module</t>
  </si>
  <si>
    <t xml:space="preserve">BMP Barometric Pressure and Altitude Sensor I2C/SPI Module </t>
  </si>
  <si>
    <t>Barometric Pressure and Altitude Sensor</t>
  </si>
  <si>
    <t>ESP WROOM 32 MCU Module Version 1.1</t>
  </si>
  <si>
    <t>ESP Wroom 32 MCU Module Version: 1.1</t>
  </si>
  <si>
    <t>ESP-12F ESP8266 Wifi Wireless IoT Board Module</t>
  </si>
  <si>
    <t>GY-271 HMC5883 3-axis Electronic Compass Module Magnetic Field Sensor</t>
  </si>
  <si>
    <t>GY-271 HMC5883 3-axis Electronic Compass Module Magnetic Field Sensor - Original Chip</t>
  </si>
  <si>
    <t>3-Axis Electronic Field Sensor</t>
  </si>
  <si>
    <t>GY-63 MS5611-01BA03 High Precision Pressure Sensor Height Sensor Module</t>
  </si>
  <si>
    <t>MB102 830 Point Breadboard+ Power Supply+ 140 Jump Wires Kit</t>
  </si>
  <si>
    <t>Breadboard+Power Supply</t>
  </si>
  <si>
    <t>Teensy 4.0 Development Board</t>
  </si>
  <si>
    <t>Holybro PMW3901 Optical Flow Sensor</t>
  </si>
  <si>
    <t>ARIS Spares</t>
  </si>
  <si>
    <t>MPU6050 Module TIFSS0063</t>
  </si>
  <si>
    <t>Accelerometer_Sensor</t>
  </si>
  <si>
    <t>Unsoldered MPU9250 9-Axis Attitude +Gyro+Accelerator+Magnetometer Sensor Module</t>
  </si>
  <si>
    <t>2.54mm 1×40 Pin Male Single Row Straight Short Header Strip (Pack of 3)</t>
  </si>
  <si>
    <t>2.54mm Female Headers Berg Strip – 1×40 Pins</t>
  </si>
  <si>
    <t>N-Channel MOSFET 47A 55V 3-Pin TO-220AB Infineon</t>
  </si>
  <si>
    <t>N-Channel MOSFET 47A 55V 3-Pin TO-220AB Infin</t>
  </si>
  <si>
    <t>RS Components&amp;Control(India)Limited</t>
  </si>
  <si>
    <t>Vishay 60V 5A Schotty Diode 2-Pin DO-201AD SB56</t>
  </si>
  <si>
    <t>Vishay 60V 5A</t>
  </si>
  <si>
    <t>ESP 32 Drone</t>
  </si>
  <si>
    <t>ESP32 based Drone (Smart Phone Controlled) - Red</t>
  </si>
  <si>
    <t>ESC Labs</t>
  </si>
  <si>
    <t>R2</t>
  </si>
  <si>
    <t>ESP32 Drone</t>
  </si>
  <si>
    <t>Female Dupont Terminal Connector 2.54mm (5 pins)</t>
  </si>
  <si>
    <t>Robu / Macfos</t>
  </si>
  <si>
    <t>A85</t>
  </si>
  <si>
    <t>Bhumi 11,21</t>
  </si>
  <si>
    <t>SafeConnect FLAT 60CM 22AWG Servo Lead Extension (Futaba) Cable</t>
  </si>
  <si>
    <t>SafeConnect Flat 45 CM 22AWG Servo Lead Extension (Futaba) Cable with Self-Locking Hook</t>
  </si>
  <si>
    <t>SafeConnect Flat 45CM 22AWG Servo Lead Extension (JR) Cable with Self Locking Hook - 1PCS</t>
  </si>
  <si>
    <t>45Cm Servo Cable</t>
  </si>
  <si>
    <t>Nylon 14mm Expandable Braided Sleeve for Wire Protection-2M Length</t>
  </si>
  <si>
    <t>R13</t>
  </si>
  <si>
    <t>A90</t>
  </si>
  <si>
    <t>Braided Sleeve</t>
  </si>
  <si>
    <t>Male Dupont Terminal Reed Connector 2.54mm-5 Pins</t>
  </si>
  <si>
    <t>Anti-Vibration Shock Absorber for APM/KK/MWC/PixHawk</t>
  </si>
  <si>
    <t>(28958) Anti-Vibration ShockAbsorber for APM/KK/MWC/PixHawk</t>
  </si>
  <si>
    <t>Amass XT60H Male Connectors with Housing</t>
  </si>
  <si>
    <t>Amass XT60H Male Connector with Housing</t>
  </si>
  <si>
    <t>XT60 Connectors_Male</t>
  </si>
  <si>
    <t>EFT 610P Frame Set with Tank</t>
  </si>
  <si>
    <t>Bharat Skytech</t>
  </si>
  <si>
    <t>R19, R20</t>
  </si>
  <si>
    <t>A38,B6</t>
  </si>
  <si>
    <t>Hobbywing 2480 CCW Propellers</t>
  </si>
  <si>
    <t>Propeller (2480 Prop CCW)</t>
  </si>
  <si>
    <t>Hobbywing 2480 CW Propellers</t>
  </si>
  <si>
    <t>Propeller (2480 Prop CW)</t>
  </si>
  <si>
    <t>T-12 Remote Controller with camera</t>
  </si>
  <si>
    <t>R46, R47</t>
  </si>
  <si>
    <t>Bhumi v.1.1-7 - 12</t>
  </si>
  <si>
    <t>Universal Pneumatic Kit</t>
  </si>
  <si>
    <t>5L Spraying System</t>
  </si>
  <si>
    <t>Skyrc 1080PC charger</t>
  </si>
  <si>
    <t>JIYI K++ v2 Flight Controller Kit</t>
  </si>
  <si>
    <t>EFT Extension Rod High Pressure Nozzles</t>
  </si>
  <si>
    <t>Pressure Nozzle Extended</t>
  </si>
  <si>
    <t>SS34 Schottky Diode for High-Speed Switching</t>
  </si>
  <si>
    <t>A.R.I.S NANO</t>
  </si>
  <si>
    <t>13pcs AO3400 SMD MOSFET 30V 5.8A A09T SOT-23 C  N-Channel</t>
  </si>
  <si>
    <t>CF Sheet 400mmx380mmx3mm thk</t>
  </si>
  <si>
    <t>CF Sheet 400mm x 380mm x 3mm thk</t>
  </si>
  <si>
    <t>Hindustan Engineers</t>
  </si>
  <si>
    <t>CF Sheet 300mmx200mmx1mm thk</t>
  </si>
  <si>
    <t>CF Sheet 300mm x 200mm x 1mm thk</t>
  </si>
  <si>
    <t>65MM Blade Propeller Prop with 8520CW &amp; CCW Coreless Brushed Motor for Indoor Racing Drone Quad</t>
  </si>
  <si>
    <t>65MM (2.5inch) CW CCW Blade Propeller for 7X20MM 8.5X20MM Coreless Motor</t>
  </si>
  <si>
    <t>Prop Box</t>
  </si>
  <si>
    <t>scrap</t>
  </si>
  <si>
    <t>PH-A-2mm-2 pin Wafer Male Connector Through Hole Straight</t>
  </si>
  <si>
    <t>1x40 Pin 2.54MM Berg Strip Male Connector - 10pcs</t>
  </si>
  <si>
    <t>2.54mm 1x40 Pin Female Single Row Header Strip (Pack of 10)</t>
  </si>
  <si>
    <t>8520 Magnetic Micro Coreless Motor for Micro Quadcopters â€“ 2xCW &amp; 2xCCW</t>
  </si>
  <si>
    <t>8520 Magnetic Micro Coreless Motor for Micro Quadcopters – 2xCW &amp; 2xCCW</t>
  </si>
  <si>
    <t>CL21A106MPFNNNE-Samsang-10V 10uF X5R Â±20% 0805 Multilayer Ceramic Capacitors MLCC â€“ SMD/SMT ROHS</t>
  </si>
  <si>
    <t>CL21A106MPFNNNE-Samsung-10V 10uF X5R +20% 0805 Multilayer Ceramic Capacitors MLCC - SMD/SMT ROHS</t>
  </si>
  <si>
    <t>Gemfan 35mm Durable Tri-blade Propellers 1mm Shaft (4cw+4ccw) Grey</t>
  </si>
  <si>
    <t>Gemfan 35mm durable tri-blade propellers 1mm shaft (4cw+4ccw) grey</t>
  </si>
  <si>
    <t>RC Mumbai</t>
  </si>
  <si>
    <t>Tattu 600mAh 3.7V 30C 1S1P Lipo Battry Pack with JST Plug</t>
  </si>
  <si>
    <t>Tattu 600mAh 3.7V 30C 1S1P Lipo Battry Pack with JST Plug (1pcs/pack)</t>
  </si>
  <si>
    <t>Quadkart</t>
  </si>
  <si>
    <t>ESCLABS ESP Drone</t>
  </si>
  <si>
    <t>Orange 3.7V 360mAh 30C 1S Lithium Polymer Battery Pack</t>
  </si>
  <si>
    <t xml:space="preserve"> Orange 3.7V 360mAh 30C 1S Lithium Polymer Battery Pack</t>
  </si>
  <si>
    <t>M3x6mm OD 4.8mm Brass Inserts (Pack of 25)</t>
  </si>
  <si>
    <t>M3x6 mm Brass Inserts 50pcs</t>
  </si>
  <si>
    <t>Brass Insert</t>
  </si>
  <si>
    <t>Bonka 3.7V 600mAh 25C 1S Lithium Polymer Battery</t>
  </si>
  <si>
    <t>Bonka 3.7V 600mAh 25C 1S Lithium Polymer Battery Pack</t>
  </si>
  <si>
    <t>Bonka 3.7v 600mAh Lithium Polymer</t>
  </si>
  <si>
    <t>12 x 18 cm Universal PCB Prototype Board Single-Sided 2.54mm Hole Pitch</t>
  </si>
  <si>
    <t>A85 DA2</t>
  </si>
  <si>
    <t>1 in A85, 5 in DA2(scrap), 5 in v.1.0-11,21,v.1.1-01, 07, 09</t>
  </si>
  <si>
    <t>AL6061 Braking Disk Mount</t>
  </si>
  <si>
    <t>Training</t>
  </si>
  <si>
    <t>HYC Precision Engineering pvt. Ltd.</t>
  </si>
  <si>
    <t>Braking Disc Mount</t>
  </si>
  <si>
    <t>AL6061 Braking Disk Rod</t>
  </si>
  <si>
    <t>Braking Disc Rod</t>
  </si>
  <si>
    <t>Top Plate - 3mm</t>
  </si>
  <si>
    <t>Non Metallic Mineral Product Water Jet Cutting Job CF 3mm Thk Top Plate</t>
  </si>
  <si>
    <t>Top Plate_Waterjet Cutting</t>
  </si>
  <si>
    <t>Bottom Plate - 3mm</t>
  </si>
  <si>
    <t>Non Metallic Mineral Product Water Jet Cutting Job CF 3mm Thk Bottom Plate</t>
  </si>
  <si>
    <t>Bottom Plate_Waterjet Cutting</t>
  </si>
  <si>
    <t>1N4148WS-KEXIN-100V Independent Type 1.25V 150mA 4ns 150mA SOD-323F Switching Diodes ROHS</t>
  </si>
  <si>
    <t>1N4148WS-KEXIN-100V Independent Type 1.25V@150mA 4ns 150mA SOD-323F Switching Diodes ROHS</t>
  </si>
  <si>
    <t>720 Magnetic Micro Coreless Motor for Micro Quadcopters – 2xCW &amp; 2xCCW</t>
  </si>
  <si>
    <t>B2B-PH-SM4-TB(LF)(SN)-JST-1x2P 2P PH Tin 2</t>
  </si>
  <si>
    <t>B2B-PH-SM4-TB(LF)(SN)-JST-1x2P 2P PH Tin 2 -25℃~+85℃ 2A 1 2mm Copper alloy Standing paste SMD,P=2mm Wire To Board Connector ROHS</t>
  </si>
  <si>
    <t>CL21A106MPFNNNE-Samsang-10V 10uF X5R ±20% 0805 Multilayer Ceramic Capacitors MLCC – SMD/SMT ROHS</t>
  </si>
  <si>
    <t>Espressif ESP32-WROOM-32E-N8 Modules</t>
  </si>
  <si>
    <t>MPU-6500 TDK InvenSense QFN-24-EP(3×3) Accelerometer gyroscope QFN-24-EP(3×3) Accelerometers ROHS</t>
  </si>
  <si>
    <t>MPU-6500</t>
  </si>
  <si>
    <t>Orange HD 500PCS 0.1uf-1000uf Plug-in Electrolytic Capacitor Kit</t>
  </si>
  <si>
    <t>BC1</t>
  </si>
  <si>
    <t>Capacitor Kit</t>
  </si>
  <si>
    <t>VL53L1X Laser Time-of-Flight(ToF) 4 meters Ranging Sensor Module I2C Interface</t>
  </si>
  <si>
    <t>VL53L1X Laser Time of Flight Ranging Sensor Module</t>
  </si>
  <si>
    <t>Flyrobo Technologies</t>
  </si>
  <si>
    <t>VL53L1X - Sensor Module</t>
  </si>
  <si>
    <t>QS8 Male &amp; Female Pair Anti-Spark Connectors</t>
  </si>
  <si>
    <t>QS-8 Anti-Spark Connectors Male-Female Pair</t>
  </si>
  <si>
    <t>Dazzle Robotics Pvt. Ltd. / Robokits India</t>
  </si>
  <si>
    <t>Anti Spark Connector</t>
  </si>
  <si>
    <t>Vyom Drones Pvt Ltd</t>
  </si>
  <si>
    <t>1-vyom drones, 1-Bhumi 11, 1-Bhumi-21</t>
  </si>
  <si>
    <t>1 in InvA63, 1-C.Bhima, 2-Bhumi 21,11, 1-bhumi-16L</t>
  </si>
  <si>
    <t>High Quality Ultra Flexible 10AWG Silicone Wire â€“ Black</t>
  </si>
  <si>
    <t>High Quality Ultra Flexible 10AWG Silicone Wire – Black</t>
  </si>
  <si>
    <t>High Quality Ultra Flexible 10AWG Silicone Wire â€“ Red</t>
  </si>
  <si>
    <t>High Quality Ultra Flexible 10AWG Silicone Wire – Red</t>
  </si>
  <si>
    <t>A4</t>
  </si>
  <si>
    <t>Bhumi 11,21,3,17</t>
  </si>
  <si>
    <t>Mauch 086 Adapter cable for Pixhawk 2 Bec</t>
  </si>
  <si>
    <t>Mauch 084 4-14S HYB-BEC / 5.3V DF-13 - 4p</t>
  </si>
  <si>
    <t>Mauch 076 HS 200A HV Sensor Board 10AWG Current Sensor</t>
  </si>
  <si>
    <t>Sidewall</t>
  </si>
  <si>
    <t>3D Printed Plastic Prototypes side wall_v3</t>
  </si>
  <si>
    <t>Rapidproto Labs Pvt. Ltd.</t>
  </si>
  <si>
    <t>R5</t>
  </si>
  <si>
    <t>Canopy - BHUMI</t>
  </si>
  <si>
    <t>3D Printed Plastic Prototypes Canopy_v9</t>
  </si>
  <si>
    <t>Bhima</t>
  </si>
  <si>
    <t>3D Printing_Canopy</t>
  </si>
  <si>
    <t>MK15 Telemetry Cable</t>
  </si>
  <si>
    <t>MK-15 Telemetry Cable</t>
  </si>
  <si>
    <t>High Quality Ultra Flexible 8AWG Silicone Wire â€“ Black</t>
  </si>
  <si>
    <t>8AWG Wire Black 30meter</t>
  </si>
  <si>
    <t>High Quality Ultra Flexible 8AWG Silicone Wire â€“ Red</t>
  </si>
  <si>
    <t>8AWG Wire Red 30meter</t>
  </si>
  <si>
    <t>HVID Mechsoft Pvt. Ltd</t>
  </si>
  <si>
    <t>Blue Bin Bhima</t>
  </si>
  <si>
    <t>CF Sheet 150mmx150mmx2mm Thk</t>
  </si>
  <si>
    <t>CF Sheet 150mm x 150mm x 2mm Thk</t>
  </si>
  <si>
    <t>Obstacle Sensor Plate - 2mm</t>
  </si>
  <si>
    <t>Obstacle Sensor Plate CF-2mm waterjet cutting</t>
  </si>
  <si>
    <t>2mm Plate_Waterjet Cutting</t>
  </si>
  <si>
    <t>6S 22000mAh Tattu Battery</t>
  </si>
  <si>
    <t>Syfero</t>
  </si>
  <si>
    <t>Monotech Systems Limited</t>
  </si>
  <si>
    <t>R5-3, R10B7-1, 8-bhumi 11,21,16L,IITR,paintsprayer, 3, v.1.1-1&amp;9</t>
  </si>
  <si>
    <t>3D Printing_Sidewall</t>
  </si>
  <si>
    <t>CP2102N-A02-GQFN28 - USB to UART TTL</t>
  </si>
  <si>
    <t>R25</t>
  </si>
  <si>
    <t>CR0603-FX-1002ELF Capacitor</t>
  </si>
  <si>
    <t>SEN-14722 SparkFun - Sensor</t>
  </si>
  <si>
    <t>SI2302CDS-T1-GE3 - Vishay Mosfet</t>
  </si>
  <si>
    <t>Pneumatic Connector Straight 12x14 Aluminium</t>
  </si>
  <si>
    <t>R&amp;D Horizontal Sprayer</t>
  </si>
  <si>
    <t>R52-2</t>
  </si>
  <si>
    <t>A.R.I.S Airframe</t>
  </si>
  <si>
    <t>Top Frame</t>
  </si>
  <si>
    <t>Top Frame 3D Printing</t>
  </si>
  <si>
    <t>Prototype PCB</t>
  </si>
  <si>
    <t>PCB (refer invoice)</t>
  </si>
  <si>
    <t>PCB 3D Printing</t>
  </si>
  <si>
    <t>Hose Pipe 10mm</t>
  </si>
  <si>
    <t>BHUMI 11</t>
  </si>
  <si>
    <t>Hose Pipe 12mm</t>
  </si>
  <si>
    <t>Hose Pipe 6mm</t>
  </si>
  <si>
    <t>Hose Pipe 8mm</t>
  </si>
  <si>
    <t>Stright Type Pneumatic Connector 6mm - 6mm</t>
  </si>
  <si>
    <t>T-Type Pneumatic Connector 6-8-6 mm</t>
  </si>
  <si>
    <t>T-Type Pneumatic Connector 8-10-8 mm</t>
  </si>
  <si>
    <t>Gold Thread L-type Pneumatic Connector 12mm Dia</t>
  </si>
  <si>
    <t>L-type Pneumatic Connector 12mm - 10mm</t>
  </si>
  <si>
    <t>SIYI MK15 Remote Controller</t>
  </si>
  <si>
    <t>MK15</t>
  </si>
  <si>
    <t>C0603C104J5RACTU - Kemet Capacitor</t>
  </si>
  <si>
    <t>C0603C104J5RACTU - Capacitors</t>
  </si>
  <si>
    <t>C0603C475K8PAC7411 - Kemet Capacitors</t>
  </si>
  <si>
    <t>C0603C475K8PAC7411 - Capacitors</t>
  </si>
  <si>
    <t>C1608X7R1A106M080AT - TDK Capacitors</t>
  </si>
  <si>
    <t>C1608X7R1A106M080AT - Capacitors</t>
  </si>
  <si>
    <t>PIM373 Pimoroni TOF</t>
  </si>
  <si>
    <t>RC0603FR-1047k5l - Yageo Resistor</t>
  </si>
  <si>
    <t>RC0603FR-1310KL - Yageo Resistor</t>
  </si>
  <si>
    <t>VL53L1CXV0FY/1 - STMicroelectronics - Time-of-Flight(ToF)</t>
  </si>
  <si>
    <t>VL53L1CXV0FY/1 - STMicroelectronics - TOF</t>
  </si>
  <si>
    <t>VL53L1CXV0FY/1 - TOF</t>
  </si>
  <si>
    <t>Canopy</t>
  </si>
  <si>
    <t xml:space="preserve">55MM Blade Propeller Prop with 8520CW &amp; CCW Coreless Brushed Motor for Indoor Racing Drone Quad </t>
  </si>
  <si>
    <t xml:space="preserve">65MM Blade Propeller Prop with 8520CW &amp; CCW Coreless Brushed Motor for Indoor Racing Drone Quad </t>
  </si>
  <si>
    <t>Dupont Housing 3-Pin</t>
  </si>
  <si>
    <t>Interfacing kit for Radio Transmitter and wired Joystick with integraton box including accessories and cables</t>
  </si>
  <si>
    <t>Deltatek Solutions</t>
  </si>
  <si>
    <t>Simulation Software as per DGCA RPTO standard Version 1.01 Licensing Premium Version: 1 user per system license for a year</t>
  </si>
  <si>
    <t>Controller Systems - Customised 6/8 CH Transmitter including receiver and wired joystick controller with inbuilt firmware</t>
  </si>
  <si>
    <t>Lug Connector Enclosure</t>
  </si>
  <si>
    <t>lug connector enclosing plate</t>
  </si>
  <si>
    <t>3D Printing_Lug Connector</t>
  </si>
  <si>
    <t>PDB Enclosure</t>
  </si>
  <si>
    <t>3D Printing_PCB Enclosure</t>
  </si>
  <si>
    <t>Bottom Frame v2, Top Frame v2</t>
  </si>
  <si>
    <t>Bonka 850mAh - 1S Lipo Battery 3.7V 25c</t>
  </si>
  <si>
    <t>Bonka 3.7V 850mAh 25C 1S Lithium Polymer Battery Pack</t>
  </si>
  <si>
    <t>The Hobby Shop</t>
  </si>
  <si>
    <t>Bonka 3.7v 850mAh - Lithium Polymer Battery</t>
  </si>
  <si>
    <t>T-Motor Air Gear 450 Package: 4x AIR2216II/920KV Brushless Drone Motors 4x AIR 20A v2.0 ESC 2x T1045II CW Propellers 2x T1045II CCW Propellers</t>
  </si>
  <si>
    <t>T-Motor Air Gear 450 Package Includes: 4x AIR2216II/920KV Brushless Drone Motors 4x AIR 20A v2.0 ESC 2x T1045II CW Propellers 2x T1045II CCW Propellers</t>
  </si>
  <si>
    <t>R&amp;D Warehouse</t>
  </si>
  <si>
    <t>PCB A.R.I.S</t>
  </si>
  <si>
    <t>PCB Baro with BMS</t>
  </si>
  <si>
    <t>Circuit Systems (India) Pvt. Ltd. - PCB Power</t>
  </si>
  <si>
    <t>PCB Baro without BMS</t>
  </si>
  <si>
    <t>QS8 blue (Male &amp; Female) Tattu Battery 6S 22000mAh  - connector service</t>
  </si>
  <si>
    <t>Magnipower Technology Pvt Ltd</t>
  </si>
  <si>
    <t>Gemfan Hurricane 2023 Durable Propeller (set of 8) 1mm, Clear Yellow</t>
  </si>
  <si>
    <t>3.7V Lipo Batteries - BIS High Quality - 850mAh</t>
  </si>
  <si>
    <t>Atlantis Robotics Pvt. Ltd. / Think Robotics</t>
  </si>
  <si>
    <t>Flywoo 4pcs Explorer 1S 750mAh HV V2 A30 Plug</t>
  </si>
  <si>
    <t xml:space="preserve"> Flywoo 4pcs Explorer 1S 750mAh HV V2 A30 Plug</t>
  </si>
  <si>
    <t>scrap in r2</t>
  </si>
  <si>
    <t>QS-8 Male Connectors</t>
  </si>
  <si>
    <t>Top Frame v2</t>
  </si>
  <si>
    <t>Air Frame reduced</t>
  </si>
  <si>
    <t>EFT G Series 6L Tank 6L/quick-release/G06</t>
  </si>
  <si>
    <t>R&amp;D 5L Agri</t>
  </si>
  <si>
    <t>R54</t>
  </si>
  <si>
    <t>Air Frame 1.2 mm</t>
  </si>
  <si>
    <t>Air Frame 1.1 mm</t>
  </si>
  <si>
    <t>Battery Holder</t>
  </si>
  <si>
    <t>Battery PCB Holder</t>
  </si>
  <si>
    <t>3D Printing_Battery PCB Holder</t>
  </si>
  <si>
    <t>4S-6S 12V 3A UBEC</t>
  </si>
  <si>
    <t>550 Diaphragm Pump 12V Water Pump for water Spray Fish Tank Reflux Pump</t>
  </si>
  <si>
    <t>Diaphragm 12V Water Pump</t>
  </si>
  <si>
    <t>Cable Power Module for Compansion Computer, Flight Controller &amp; ESCs (Drones &amp; Robots) (MDK-M0041) VOXL 2, VOXL &amp; VOXL-Flight (4-Pin to 4-pin Cable)</t>
  </si>
  <si>
    <t>ModalAI</t>
  </si>
  <si>
    <t>VOXL Cable Power Module</t>
  </si>
  <si>
    <t>Flight Core v2 - PX4 &amp; ArduPilot Flight Controller NDAA '20 Section 848 Compliant Blue UAS Framework (Board Only)</t>
  </si>
  <si>
    <t>Flight Core - PX4 &amp; Ardupilot Flight Controller</t>
  </si>
  <si>
    <t>TP4056 Battery Charger C type Module with protection</t>
  </si>
  <si>
    <t>TP4056 Battery Charger C Type Module</t>
  </si>
  <si>
    <t>VOXL 2 Ethernet and USB Hub Add-on</t>
  </si>
  <si>
    <t>VOXL Ethernet and USB Hub Add-on</t>
  </si>
  <si>
    <t>VOXL 2 Expander Board (Board only)</t>
  </si>
  <si>
    <t>VOXL I/O Expander Board</t>
  </si>
  <si>
    <t>VOXL 2 Flight Deck 2.4/5ghz wifi</t>
  </si>
  <si>
    <t>VOXL - Flight Deck</t>
  </si>
  <si>
    <t>VOXL 2 Time of Flight (ToF) Depth Sensor Sensor with Adapter PCB &amp; Extension Flex PCB (Panasonic AXT 36-Pin)</t>
  </si>
  <si>
    <t>VOXL TOF Depth Sensor</t>
  </si>
  <si>
    <t>VOXL 2 Wifi Add-on &amp; I/O Breakout Board with Alfa Networks Wifi Adapter</t>
  </si>
  <si>
    <t>VOXL Wifi Add-on and I/O Breakout</t>
  </si>
  <si>
    <t>Z25 CNC Aluminium Folding Arm Tube Joint</t>
  </si>
  <si>
    <t>Aluminum Folding Arm Tube Joint</t>
  </si>
  <si>
    <t>5L</t>
  </si>
  <si>
    <t>EFT Dia 20x580mm Horizontal Landing Gear Kit</t>
  </si>
  <si>
    <t>16L Frame Horizontal Landing Gear Full set</t>
  </si>
  <si>
    <t>BHIMA - 16L Agri</t>
  </si>
  <si>
    <t>3011 inch Propeller with Adapter CCW</t>
  </si>
  <si>
    <t>3011 inch Propeller with Adapter CW</t>
  </si>
  <si>
    <t>1mm Heat Shrinkable Sleeves Black</t>
  </si>
  <si>
    <t>MR Enterprises</t>
  </si>
  <si>
    <t>R14</t>
  </si>
  <si>
    <t>Heat Shirnkable Sleeves</t>
  </si>
  <si>
    <t>2mm Heat Shrinkable Sleeves Black</t>
  </si>
  <si>
    <t>EFT 16L Tank</t>
  </si>
  <si>
    <t>16L Tank</t>
  </si>
  <si>
    <t>25x22x1000mm Carbon Fiber Tube</t>
  </si>
  <si>
    <t>25x22x1000mm 3K CF Tube Carbon Fibre 3K Roll Wrapped</t>
  </si>
  <si>
    <t>EFT Dia 20x580mm Horizontal Landing Gear</t>
  </si>
  <si>
    <t>580mm tube</t>
  </si>
  <si>
    <t>580mm Tube</t>
  </si>
  <si>
    <t>Glass Fibre Sheet 600x500x2mm</t>
  </si>
  <si>
    <t>Glass Fiber Sheet 600*500*2mm</t>
  </si>
  <si>
    <t>Avian Aerospace</t>
  </si>
  <si>
    <t>Tank Screws Pack of 4</t>
  </si>
  <si>
    <t xml:space="preserve">PDB Enclosure for BHIMA	</t>
  </si>
  <si>
    <t>PDB Enclosure for BHIMA</t>
  </si>
  <si>
    <t>A79</t>
  </si>
  <si>
    <t>PDB Enclosure_3D Printing</t>
  </si>
  <si>
    <t>4S 10000mAh Lithium Battery</t>
  </si>
  <si>
    <t>Airframe Nano - Aris</t>
  </si>
  <si>
    <t>PCB-DIY</t>
  </si>
  <si>
    <t>R29</t>
  </si>
  <si>
    <t>bangalore outward</t>
  </si>
  <si>
    <t>200A Power Distribution Board (PDB)</t>
  </si>
  <si>
    <t>Indian Robotics Solutions Pvt. Ltd.</t>
  </si>
  <si>
    <t>QS8 Male &amp; Female Pair Connectors</t>
  </si>
  <si>
    <t>training</t>
  </si>
  <si>
    <t>1S 850mAh Lithium Battery</t>
  </si>
  <si>
    <t>Amass XT90E Male Connectors</t>
  </si>
  <si>
    <t>Amass XT90E - Male Connector</t>
  </si>
  <si>
    <t>XT90S - Anti Spark Connectors</t>
  </si>
  <si>
    <t>Flywoo Kevlar Strap 15x250mm</t>
  </si>
  <si>
    <t>Battery Holder - Reduced Tattu</t>
  </si>
  <si>
    <t>Bottom Frame 3D Printing</t>
  </si>
  <si>
    <t>Battery Holder - Reduced both battery</t>
  </si>
  <si>
    <t>Kreo Lynx Full HD Video Capture Card</t>
  </si>
  <si>
    <t>Kamikaze - FPV</t>
  </si>
  <si>
    <t>SKT - 24AWG Crimp Cable - ASPHSPH24K102</t>
  </si>
  <si>
    <t>ASPHSPH24K102 - SKT 24 AWG Cable</t>
  </si>
  <si>
    <t>ASSHSSH28K102 Connectors</t>
  </si>
  <si>
    <t>ASSHSSH28K102 - Crimp Cable</t>
  </si>
  <si>
    <t>ASSHSSH28K305 Connectors</t>
  </si>
  <si>
    <t>ASSHSSH28K305 - Crimp Cable</t>
  </si>
  <si>
    <t>GHR-02V-S Connectors</t>
  </si>
  <si>
    <t>GHR-06V-S Connectors</t>
  </si>
  <si>
    <t>GHR-10V-S Connectors</t>
  </si>
  <si>
    <t>GHR-12V-S Connectors</t>
  </si>
  <si>
    <t>JST - 15cm Crimp Cable - AGHGH28K152</t>
  </si>
  <si>
    <t>AGHGH28K152 - JST 15cm Crimping Cable</t>
  </si>
  <si>
    <t>PHR-2 Connectors</t>
  </si>
  <si>
    <t>SHR-02V-S-B Connectors</t>
  </si>
  <si>
    <t>SHR-08V-S Connectors</t>
  </si>
  <si>
    <t>2mm thk GF Plate waterjet cutting</t>
  </si>
  <si>
    <t>Glass Fibre water Jet cutting 2mm</t>
  </si>
  <si>
    <t>3D-10-6 CU Ring Lug (Lug Connector)</t>
  </si>
  <si>
    <t>DK Elektro and Industrial Solutions LLP</t>
  </si>
  <si>
    <t>Motor Arm - 8mm</t>
  </si>
  <si>
    <t>CF 8mm thk waterjet cutting -Motor Arm</t>
  </si>
  <si>
    <t>Motor Arm_Waterjet Cutting</t>
  </si>
  <si>
    <t>Motor Mount - 2mm</t>
  </si>
  <si>
    <t>CF 2mm thk waterjet cutting - Motor Mount</t>
  </si>
  <si>
    <t>Propeller Guard Top - 1mm</t>
  </si>
  <si>
    <t>CF 1mm thk waterjet cutting - Propeller Guard Top</t>
  </si>
  <si>
    <t>Prop Guard Top_Waterjet Cutting</t>
  </si>
  <si>
    <t>18650 SNMC Li-ion Cell</t>
  </si>
  <si>
    <t>NEOCELL Industries</t>
  </si>
  <si>
    <t>Aluminium C Clamp for 25mm CF Tube</t>
  </si>
  <si>
    <t>Horizontal Mechanism</t>
  </si>
  <si>
    <t>Aluminum C Clamp</t>
  </si>
  <si>
    <t>Warehouse 3D Printed Parts - (Back Cover, Back Cover Motor Wire, Battery Support, Sider Cover)</t>
  </si>
  <si>
    <t>01. Back Cover - 1qty
02. Back Cover motor wire - 2qty
03. Battery Support - 1qty
04. Side Cover - 1qty</t>
  </si>
  <si>
    <t>Airframe - Exp logo 5mm fillet</t>
  </si>
  <si>
    <t>Airframe-Exp logo 5mm fillet</t>
  </si>
  <si>
    <t>Cadqua 3D</t>
  </si>
  <si>
    <t>Airframe_3D Printing_5mm Fillet</t>
  </si>
  <si>
    <t>Airframe - Exp logo 5mm</t>
  </si>
  <si>
    <t>Airframe-Exp logo 5mm</t>
  </si>
  <si>
    <t>Airframe_3D Printing_5mm</t>
  </si>
  <si>
    <t>Airframe - Exp logo 4mm</t>
  </si>
  <si>
    <t>Airframe-Exp logo 4mm</t>
  </si>
  <si>
    <t>ARIS - Bangalore</t>
  </si>
  <si>
    <t>Airframe_3D Printing_4mm</t>
  </si>
  <si>
    <t>Battery Holder - Bonka</t>
  </si>
  <si>
    <t>ESP-32 CAM-MB wifi bluetooth Development Board with OV2640 Camera Micro USB Connection to Serial</t>
  </si>
  <si>
    <t>used &amp; scrap</t>
  </si>
  <si>
    <t>Walksnail Avatar VRX</t>
  </si>
  <si>
    <t>Walksnails Avatar VRX</t>
  </si>
  <si>
    <t>850mAh Battery Sample</t>
  </si>
  <si>
    <t>In use</t>
  </si>
  <si>
    <t>4S 2P 4000mAh Battery</t>
  </si>
  <si>
    <t>18650 SNMC Li-ion Cell - Converted into 4S 2P 4000mAh Battery</t>
  </si>
  <si>
    <t>4S 2P Battery</t>
  </si>
  <si>
    <t>30cm Nozzle Gun</t>
  </si>
  <si>
    <t>Evergreen Agro Tools</t>
  </si>
  <si>
    <t>B2B-PH-K-S Connectors</t>
  </si>
  <si>
    <t>B2B-PH-K-S - Connector</t>
  </si>
  <si>
    <t>Water Flow Sensor YFS401</t>
  </si>
  <si>
    <t>1 Road/Channel Relay Module (with light coupling) 12V</t>
  </si>
  <si>
    <t>Channel Relay Module 12V</t>
  </si>
  <si>
    <t>XL3608 Boost Module 5V</t>
  </si>
  <si>
    <t>CADDXFPV GM1/GM2/GM3 GM1 (No camera)</t>
  </si>
  <si>
    <t>CADDX FPV</t>
  </si>
  <si>
    <t>L3</t>
  </si>
  <si>
    <t>CADDEXFPV GM1/GM2/GM3</t>
  </si>
  <si>
    <t>Motor Mount_Waterjet Cutting</t>
  </si>
  <si>
    <t>CF 3mm Bottom Plate BHIMA</t>
  </si>
  <si>
    <t>CF 3mm Top Plate BHIMA</t>
  </si>
  <si>
    <t>SkyRC B6neo Smart Charger</t>
  </si>
  <si>
    <t>SkyRC B6neo Smart Charger(red+black+blue)</t>
  </si>
  <si>
    <t>SkyRC Technology Co., Ltd</t>
  </si>
  <si>
    <t>Servo 20kg DS3218 270deg Metal Gear digital servo motor Arduino High Torque</t>
  </si>
  <si>
    <t>20Kg Servo motor</t>
  </si>
  <si>
    <t>Ocean Student Project</t>
  </si>
  <si>
    <t>Servo Horns</t>
  </si>
  <si>
    <t>25Kg Full Metal Gear Digital Servo with 25T Arm Default 90-180 Degrees</t>
  </si>
  <si>
    <t>25Kg full metal gear digital servo with 25T Arm Default 90-180 degrees</t>
  </si>
  <si>
    <t>Zbotic</t>
  </si>
  <si>
    <t>25KG Metal Digital Servo Gear</t>
  </si>
  <si>
    <t>Battery Clamp Bottom</t>
  </si>
  <si>
    <t>Battery Clamp_Bottom</t>
  </si>
  <si>
    <t>Battery Clamp Top</t>
  </si>
  <si>
    <t>Battery Clamp_Top</t>
  </si>
  <si>
    <t>Oblivion Node MK3 Autonomous Tactical AI Compute Hub</t>
  </si>
  <si>
    <t>Sentinel Core X900 Tactical Compute Engine</t>
  </si>
  <si>
    <t>5L Agriculture drone tank</t>
  </si>
  <si>
    <t>5L Drone Tank</t>
  </si>
  <si>
    <t>Hobbywing X6-SE CCW Combo (2270 propellers)</t>
  </si>
  <si>
    <t>Hobbywing X6-SE CW Combo (2270 propellers)</t>
  </si>
  <si>
    <t>Elbow Joint Mount</t>
  </si>
  <si>
    <t>BHIMA - Paint Sprayer</t>
  </si>
  <si>
    <t>Local Purchase</t>
  </si>
  <si>
    <t>Paint Sprayer</t>
  </si>
  <si>
    <t>Extension Rod for Spraying</t>
  </si>
  <si>
    <t>Extension rod for spraying</t>
  </si>
  <si>
    <t>R&amp;R Construction &amp; Industrial Hardware</t>
  </si>
  <si>
    <t>7 Semi ICM-20948 9DoF IMU Breakout (MPU-9250 Upgrade) (BO-10167) (472)</t>
  </si>
  <si>
    <t>Robocraze</t>
  </si>
  <si>
    <t>Amass XT60 Male-Female Pair Connectors</t>
  </si>
  <si>
    <t>Amass XT60H Female Connector with Housing</t>
  </si>
  <si>
    <t>Micro-Railway</t>
  </si>
  <si>
    <t>A62</t>
  </si>
  <si>
    <t>XT60H Male-Female Connector</t>
  </si>
  <si>
    <t>Railway</t>
  </si>
  <si>
    <t>Battery Plate - 2mm</t>
  </si>
  <si>
    <t>Bottom Plate -Glass Fiber 2mm thick</t>
  </si>
  <si>
    <t>FRP 2mm thk waterjet cut - Bottom Plate</t>
  </si>
  <si>
    <t>Siyi ZT6 Mini Optical Pod Dual Sensor 4K 8MP 6X Digital Zoom Gimbal Camera Thermal Imaging Temperature 3-Axis Payload Surveillance Inspection</t>
  </si>
  <si>
    <t>Top Plate - 2mm</t>
  </si>
  <si>
    <t>FRP 2mm thk waterjet cut - Top Plate</t>
  </si>
  <si>
    <t>Skyroid H16 Receiver</t>
  </si>
  <si>
    <t>H16 box</t>
  </si>
  <si>
    <t>Nozzle Mount - 1</t>
  </si>
  <si>
    <t>Nozzle Mount 1_3D Printing</t>
  </si>
  <si>
    <t>Nozzle Mount - 2</t>
  </si>
  <si>
    <t>Nozzle Mount 2_3D Printing</t>
  </si>
  <si>
    <t>HILEX 5 Amp 3 Pin Plug Computer Conversion Plug - HEPL-6619</t>
  </si>
  <si>
    <t>In Use</t>
  </si>
  <si>
    <t>5Amps 3pin Plug</t>
  </si>
  <si>
    <t>H-RTK Septentrio Elite Mosaic-H (Dual Antenna Heading) Anti Jamming Anti Spoofing GPS Module</t>
  </si>
  <si>
    <t>30cm Battery Strap</t>
  </si>
  <si>
    <t xml:space="preserve">30cm Battery Strap </t>
  </si>
  <si>
    <t>Clamp - 1</t>
  </si>
  <si>
    <t>Clamp - 2</t>
  </si>
  <si>
    <t>Counter Weight</t>
  </si>
  <si>
    <t>Sri Ganapathi Engineering Works</t>
  </si>
  <si>
    <t>20kg servo holder</t>
  </si>
  <si>
    <t>C Clamp for 20mm rod</t>
  </si>
  <si>
    <t>Bottom Battery Stopper</t>
  </si>
  <si>
    <t>Battery Stopper_3D Printing</t>
  </si>
  <si>
    <t>Canopy for 5L Agri</t>
  </si>
  <si>
    <t>Gun Holder Clamp</t>
  </si>
  <si>
    <t>paint sprayer</t>
  </si>
  <si>
    <t>Gun Holder Clamp_3D Printing</t>
  </si>
  <si>
    <t>Thamira Aerospace private limited</t>
  </si>
  <si>
    <t>Dangling Arm 1 &amp; 2</t>
  </si>
  <si>
    <t>Dangling Arm1 &amp; 2</t>
  </si>
  <si>
    <t>Arm Mount Rubber Closure</t>
  </si>
  <si>
    <t>Mount Rubber Closure</t>
  </si>
  <si>
    <t>Servo Holder</t>
  </si>
  <si>
    <t>6247 Orqa GPS Kit</t>
  </si>
  <si>
    <t>ORQA</t>
  </si>
  <si>
    <t>FPV</t>
  </si>
  <si>
    <t>11850 FPV.O1.Pro Omni Antenna SMA-S-M 64</t>
  </si>
  <si>
    <t>11850 Omni SMA-S-M 64</t>
  </si>
  <si>
    <t>A50</t>
  </si>
  <si>
    <t>1200w DC-DC Booste Step Up Converter 8-60V to 12-83V 20A</t>
  </si>
  <si>
    <t>1200W Boost Step Up Converter</t>
  </si>
  <si>
    <t>14152 20x350mm Kevlar strap</t>
  </si>
  <si>
    <t>Strap box</t>
  </si>
  <si>
    <t>6040 IRC Ghost Hybrid Duo</t>
  </si>
  <si>
    <t>6046 Orqa FPV.One Pilot</t>
  </si>
  <si>
    <t>6066 IRC Ghost Uberlite Tx</t>
  </si>
  <si>
    <t>6217 IRC RapidFire v2</t>
  </si>
  <si>
    <t>6226 Orqa ESC 30x30 v2.2</t>
  </si>
  <si>
    <t>6227 Orqa FC F405 v2.2.1</t>
  </si>
  <si>
    <t>Mount Rubber Enclosure_3D Printing</t>
  </si>
  <si>
    <t>GPS AIRUNIT Plate - 2 mm</t>
  </si>
  <si>
    <t xml:space="preserve">GPS AIRUNIT Plate - 2 mm </t>
  </si>
  <si>
    <t>GPS Plate_Waterjet Cutting</t>
  </si>
  <si>
    <t>Landing Skid - 3mm</t>
  </si>
  <si>
    <t xml:space="preserve">Landing Skid - 3mm </t>
  </si>
  <si>
    <t>Landing Skid_Waterjet Cutting</t>
  </si>
  <si>
    <t>PL Plate Paint Spray 3mm</t>
  </si>
  <si>
    <t>PL Plate Paint Spray  3mm</t>
  </si>
  <si>
    <t>PL Plate_Waterjet Cutting</t>
  </si>
  <si>
    <t>CF Sheet 150mmx100mmx3.5mm</t>
  </si>
  <si>
    <t xml:space="preserve">CF Sheet 150mmx100mmx3.5mm </t>
  </si>
  <si>
    <t>CF Sheet 300mmx300mmx1.5mm thk</t>
  </si>
  <si>
    <t xml:space="preserve">CF Sheet 300mmx300mmx1.5mm </t>
  </si>
  <si>
    <t>PL Plate Support CF Strip 3mm</t>
  </si>
  <si>
    <t xml:space="preserve">PL Plate Support CF Strip 3mm </t>
  </si>
  <si>
    <t>DC Jack Male Connector with Cable</t>
  </si>
  <si>
    <t>DC Jack Male Connecto with Cable</t>
  </si>
  <si>
    <t>DA3</t>
  </si>
  <si>
    <t>FPV Racing Bundle (6x4.2E-3 and 6x4.2EP-3)</t>
  </si>
  <si>
    <t>APC Propellers</t>
  </si>
  <si>
    <t>Nozzle Clip</t>
  </si>
  <si>
    <t>Nozzle Clip_3D Printing</t>
  </si>
  <si>
    <t>Nozzle Clip_2</t>
  </si>
  <si>
    <t>Nozzle Clip_2_3D Printing Parts</t>
  </si>
  <si>
    <t>Amass XT30 Male Connectors</t>
  </si>
  <si>
    <t>XT30 Connector Male/Female Pair</t>
  </si>
  <si>
    <t>IIC/I2C Serial Interface Adapter Module</t>
  </si>
  <si>
    <t>ARIS Spare box</t>
  </si>
  <si>
    <t>LCD1602 Parallel LCD Display with IIC/I2C Interface</t>
  </si>
  <si>
    <t>Motor Arm Holder 2</t>
  </si>
  <si>
    <t>Motor Arm Holder_3D Printing</t>
  </si>
  <si>
    <t>Motor Mount</t>
  </si>
  <si>
    <t>Motor Mount_3D Printing</t>
  </si>
  <si>
    <t>Red Two-Wire 0.56 Inch DC5V-120V DC Digital Display Voltmeter for Car Bicycle Motorcycle</t>
  </si>
  <si>
    <t>Side Cover</t>
  </si>
  <si>
    <t>Side Cover_3D Printing</t>
  </si>
  <si>
    <t>Side Cover 2</t>
  </si>
  <si>
    <t>Side Cover 2_3D Printing</t>
  </si>
  <si>
    <t>Side Cover 3</t>
  </si>
  <si>
    <t>Side Cover 3_3D Printing</t>
  </si>
  <si>
    <t>Side Cover 4</t>
  </si>
  <si>
    <t>Side Cover 4_3D Printing</t>
  </si>
  <si>
    <t>Top Canopy</t>
  </si>
  <si>
    <t>Top Canopy_3D Printing</t>
  </si>
  <si>
    <t xml:space="preserve">2mm thk GF Plate waterjet cutting	</t>
  </si>
  <si>
    <t>GF Plate_Waterjet Cutting</t>
  </si>
  <si>
    <t>Battery Bay Cover</t>
  </si>
  <si>
    <t>Battery Front Cover 1.5mm</t>
  </si>
  <si>
    <t>Battery Front Cover_Waterjet Cutting</t>
  </si>
  <si>
    <t>Battery Holder Plate 3.5mm</t>
  </si>
  <si>
    <t>Battery Holder_Waterjet cutting</t>
  </si>
  <si>
    <t>Battery Side Cover 1.5mm</t>
  </si>
  <si>
    <t>ESC Cover 1.5mm</t>
  </si>
  <si>
    <t>ESC Cover_Waterjet Cutting</t>
  </si>
  <si>
    <t>ESC Holder Plate 1.5mm</t>
  </si>
  <si>
    <t>ESC Holder Plate_Waterjet Cutting</t>
  </si>
  <si>
    <t>Flight Stack Holder</t>
  </si>
  <si>
    <t>Front Canopy</t>
  </si>
  <si>
    <t>Front Canopy_3D Printing</t>
  </si>
  <si>
    <t>Radiomaster Pocket Radio Controller - ELRS Version (Transparent)</t>
  </si>
  <si>
    <t>T-motor Cine 60 6S Motor For 6â€ X4 Cinematic FPV Drone</t>
  </si>
  <si>
    <t>Cine 60 6S Motor For 6” X4 Cinematic FPV Drone</t>
  </si>
  <si>
    <t>T-Motor F2203.5 KV1500</t>
  </si>
  <si>
    <t>T-Motor F55A Pro III 3-8S 4in1 ESC</t>
  </si>
  <si>
    <t>T-MOTOR F55A PRO III 3-8S 4in1 ESC</t>
  </si>
  <si>
    <t>VAS 5.8GHz Minion Pro SMA Short Antenna (RHCP)</t>
  </si>
  <si>
    <t>5.8Ghz SMA Short Antenna(RHCP)</t>
  </si>
  <si>
    <t>Axisflying Dual Camera Model Thermal Imaging / FPV diy Cameras for day and night fpv camera / 256*192 camera</t>
  </si>
  <si>
    <t>Axisfying Dual Camera Model</t>
  </si>
  <si>
    <t>HS Foam</t>
  </si>
  <si>
    <t>Precision Pro</t>
  </si>
  <si>
    <t>unloading area</t>
  </si>
  <si>
    <t>Motor Guard Iteration 2 - A.R.I.S</t>
  </si>
  <si>
    <t>Iteration-2 (Motor Guard - ARIS)</t>
  </si>
  <si>
    <t>Iteration_3D Printing Parts</t>
  </si>
  <si>
    <t>Motor Guard Testing - A.R.I.S</t>
  </si>
  <si>
    <t>Testing (Motor Guard - ARIS)</t>
  </si>
  <si>
    <t>Testing_3D Printing</t>
  </si>
  <si>
    <t>Radiomaster RP1 V2 ELRS 2.4GHz Nano Receiver W/UFL Antenna</t>
  </si>
  <si>
    <t>RADIOMASTER RP1 V2 ELRS 2.4GHZ NANO RECEIVER W/ UFL ANTENNA</t>
  </si>
  <si>
    <t>DRK Store</t>
  </si>
  <si>
    <t>Battery Slider Rod</t>
  </si>
  <si>
    <t>Slider Holder</t>
  </si>
  <si>
    <t>Slider Pin</t>
  </si>
  <si>
    <t>Top Rod</t>
  </si>
  <si>
    <t>25KG full metal gear digital servo with 25T Arm Default 90-180degrees</t>
  </si>
  <si>
    <t>Horizontal Sprayer</t>
  </si>
  <si>
    <t>Horizontal mechanism</t>
  </si>
  <si>
    <t>EPE Foam Insert - 1240mmx1120mmx320mm - Black</t>
  </si>
  <si>
    <t>Foam for BHIMA EPE Foam Insert - 1240mmx1120mmx320mm - Black</t>
  </si>
  <si>
    <t>Bomb Dropper - BHIMA</t>
  </si>
  <si>
    <t>Orion</t>
  </si>
  <si>
    <t>M3 Silicone Grommets - 8mm (pack of 10)</t>
  </si>
  <si>
    <t>Zerodrag</t>
  </si>
  <si>
    <t>Here 3+ gps</t>
  </si>
  <si>
    <t>EFT Dia 20x420mm Vertical Landing Gear K</t>
  </si>
  <si>
    <t>EFT 420mm Landing gear vertical set with tank mount</t>
  </si>
  <si>
    <t>420mm Vertical Landing Gear</t>
  </si>
  <si>
    <t>EFT Dia 20x500mm Horizontal Landing Gear Kit</t>
  </si>
  <si>
    <t>EFT landing gear horizontal set</t>
  </si>
  <si>
    <t>Iteration (Motor Guard)</t>
  </si>
  <si>
    <t>Testing (Motor Guard)</t>
  </si>
  <si>
    <t>CF Sheet 300mmx300mmx3mm thk</t>
  </si>
  <si>
    <t>300x300x3mm CF sheet</t>
  </si>
  <si>
    <t>CF Sheet 300mmx3500mmx2mm thk</t>
  </si>
  <si>
    <t>300x3500x2mm CF sheet</t>
  </si>
  <si>
    <t>CF Sheet 300mmx400mmx3mm thk</t>
  </si>
  <si>
    <t>300x400x3mm CF sheet</t>
  </si>
  <si>
    <t>Battery strap</t>
  </si>
  <si>
    <t>EFT tank screw pack 4</t>
  </si>
  <si>
    <t>Hobbywing X8 Combo</t>
  </si>
  <si>
    <t>6S 30000mAh Solid State Battery</t>
  </si>
  <si>
    <t>6S 30Ah Solid state Battery</t>
  </si>
  <si>
    <t>6S 30Ah Solid State Battery</t>
  </si>
  <si>
    <t>Amass Waterproof XT60 Connector (XT60W-XT60EW) Pair</t>
  </si>
  <si>
    <t>Tiltas System LLP</t>
  </si>
  <si>
    <t>RoboticsDNA</t>
  </si>
  <si>
    <t>20Kg Digital Metal Servo</t>
  </si>
  <si>
    <t>Threade Round Spacers M3x5.5, 35mm (Pack of 25)</t>
  </si>
  <si>
    <t>Threade Round Spacers M3x5.5, 35mm</t>
  </si>
  <si>
    <t>Mechinoid Pvt. Ltd.</t>
  </si>
  <si>
    <t>Threade Round Spacers M3x5.5, 40mm (Pack of 25)</t>
  </si>
  <si>
    <t>Threade Round Spacers M3x5.5, 40mm</t>
  </si>
  <si>
    <t>Saddle Mount</t>
  </si>
  <si>
    <t>CF Sheet 500mmx500mmx3mm thk</t>
  </si>
  <si>
    <t>500MM X500MMX 3MM CF Sheet</t>
  </si>
  <si>
    <t>Bomb Dropper</t>
  </si>
  <si>
    <t>GF 600x500x2mm</t>
  </si>
  <si>
    <t>PL_3 Density 50%</t>
  </si>
  <si>
    <t>Globe 3d / Hypersphere LLP</t>
  </si>
  <si>
    <t>PL_6 Density 50%</t>
  </si>
  <si>
    <t>5L tank</t>
  </si>
  <si>
    <t>Camera Mount 1</t>
  </si>
  <si>
    <t>Camera Mount1_3D Printing</t>
  </si>
  <si>
    <t>Camera Mount 2</t>
  </si>
  <si>
    <t>Camera Mount2_3D Printing</t>
  </si>
  <si>
    <t>Clamp 1</t>
  </si>
  <si>
    <t>Clamp1_3D Printing</t>
  </si>
  <si>
    <t>Clamp 2</t>
  </si>
  <si>
    <t>Clamp2_3D Printing</t>
  </si>
  <si>
    <t>Dropping Mound Dual Fixed Density 50%</t>
  </si>
  <si>
    <t>Dropping Mount_3D Printing</t>
  </si>
  <si>
    <t>Dropping Mound Dual Movable Density 50%</t>
  </si>
  <si>
    <t xml:space="preserve">Dropping Mount Fixed Density 50%	</t>
  </si>
  <si>
    <t>Dropping Mount Fixed Density 50%</t>
  </si>
  <si>
    <t xml:space="preserve">	Dropping Mount Movable Density 50%	</t>
  </si>
  <si>
    <t>Dropping Mount Movable Density 50%</t>
  </si>
  <si>
    <t>Nozzle Mount 1</t>
  </si>
  <si>
    <t>Nozzle Mount 2</t>
  </si>
  <si>
    <t>Step-up Enclosure</t>
  </si>
  <si>
    <t>Step Up Enclosure_3D Printing</t>
  </si>
  <si>
    <t>Hobbywing Xrotor 20A ESC</t>
  </si>
  <si>
    <t>NightHawk 2 Mount Plate 2mm thk</t>
  </si>
  <si>
    <t>Step up gf plate- Glass fiber 2mm thick</t>
  </si>
  <si>
    <t>Glass Fiber_Step Up Plate_Waterjet Cutting</t>
  </si>
  <si>
    <t>PL Battery Plate</t>
  </si>
  <si>
    <t>Top Plate - Glass Fiber 2mm thick</t>
  </si>
  <si>
    <t>EEUFR1V102 - Electrolytic Capacitor</t>
  </si>
  <si>
    <t>Element14</t>
  </si>
  <si>
    <t>Bottom Plate - 2mm</t>
  </si>
  <si>
    <t>Battery Plate- Glass fiber 2mm thick</t>
  </si>
  <si>
    <t>Glass Fiber_battery Plate_Waterjet Cutting</t>
  </si>
  <si>
    <t xml:space="preserve">Bottom Plate -Glass Fiber 2mm thick	</t>
  </si>
  <si>
    <t>Glass Fiber_Bottom Plate_Waterjet Cutting</t>
  </si>
  <si>
    <t>Spray Gun 1 feet</t>
  </si>
  <si>
    <t>CF Sheet 300mmx300mmx1.5mm</t>
  </si>
  <si>
    <t>1.5mm 300x300mm Carbon Fiber Sheet</t>
  </si>
  <si>
    <t>20x18x1000mm Carbon Fiber Tube</t>
  </si>
  <si>
    <t xml:space="preserve">20x18x1000mm Carbon Fiber Tube 3K </t>
  </si>
  <si>
    <t>25x22x1000mm 3K Tube Carbon Fiber 3K</t>
  </si>
  <si>
    <t>2mm 300x300mm Carbon Fiber Sheet</t>
  </si>
  <si>
    <t>Flight Stack Holder 22mm</t>
  </si>
  <si>
    <t>Antenna Mount 45deg</t>
  </si>
  <si>
    <t>Logitech Gamepad F310</t>
  </si>
  <si>
    <t>Omega Electronics</t>
  </si>
  <si>
    <t>Command Large Picture Hanging Strips,4 Pairs</t>
  </si>
  <si>
    <t>3D Printing- FDM PLA+PL_3 v2 Density;50%</t>
  </si>
  <si>
    <t>R8</t>
  </si>
  <si>
    <t>3D Printing- FDM PLA+PL_6v2 Density;50%</t>
  </si>
  <si>
    <t>Nylon 8mm Expandable Braided Sleeve for wire protection-1m Length</t>
  </si>
  <si>
    <t>3D printing Service-TPU Antenna Holder</t>
  </si>
  <si>
    <t>3D Printing Service-TPU Part 7</t>
  </si>
  <si>
    <t>3D Printing Service-TPU, Motor Guard</t>
  </si>
  <si>
    <t>3D Printing Service-TPU,EO-IR Camera Holder</t>
  </si>
  <si>
    <t>Spray Paint - Khaki</t>
  </si>
  <si>
    <t>Rust-Oleum 1917830 Specialty Camouflage Spray Paint-Khaki (312 Grams/Can), Brown</t>
  </si>
  <si>
    <t>Top Plate</t>
  </si>
  <si>
    <t>RadioMaster 2.4GHz RM 4in1 Module</t>
  </si>
  <si>
    <t>Motor Arm</t>
  </si>
  <si>
    <t>HGLRC ZEUS VTX 2.5W</t>
  </si>
  <si>
    <t>HGLEC ZEUS VTX 2.5W</t>
  </si>
  <si>
    <t>Flight Stack Plate</t>
  </si>
  <si>
    <t>Camera Board Enclosure &amp; Damp</t>
  </si>
  <si>
    <t>Camera Board Enclosure 2qty
Camera Board Enclosure Damp 2qty</t>
  </si>
  <si>
    <t>Battery Plate</t>
  </si>
  <si>
    <t>Bottom Plate</t>
  </si>
  <si>
    <t>Amass XT60E-M Mountable XT60 Male Connectors</t>
  </si>
  <si>
    <t>Amass XT60E-M Mountable XT60 Male Plug (Black)</t>
  </si>
  <si>
    <t>6S 1P Lithium Battery</t>
  </si>
  <si>
    <t>6S 2P Lithium Battery</t>
  </si>
  <si>
    <t>4mm UD 6mm Grove Hole Grommet (Pack of 25)</t>
  </si>
  <si>
    <t>GR-01</t>
  </si>
  <si>
    <t>2S 1P 3400mAh Lithium Battery</t>
  </si>
  <si>
    <t>15 Pcs Heavy Duty Hook and Loop Tape Strips with Adhesive Sticky Back Fastener</t>
  </si>
  <si>
    <t>DMEGC INR18650-32E 3.7V 3200mAh Li-ion Battery</t>
  </si>
  <si>
    <t>R24</t>
  </si>
  <si>
    <t>Side Canopy</t>
  </si>
  <si>
    <t>Side Canopy_3D Printing</t>
  </si>
  <si>
    <t>Side Canopy 2</t>
  </si>
  <si>
    <t>Side Canopy 2_3D Printing</t>
  </si>
  <si>
    <t>Drone Foam - FPV</t>
  </si>
  <si>
    <t>Drone Foam</t>
  </si>
  <si>
    <t>DH-24-J/RJ45/213/SX-43-401-CNLINKO-Cat5e Female Socket IP67 Waterproof Ethernet Connector Panel Mount</t>
  </si>
  <si>
    <t xml:space="preserve">HAHER, Bomb Dropper, </t>
  </si>
  <si>
    <t>Top Enclosure JB</t>
  </si>
  <si>
    <t>Top Enclosure_JB</t>
  </si>
  <si>
    <t>Top Enclosure_3D Printing</t>
  </si>
  <si>
    <t>MG Chemicals Brown Acrylic Aerosol Conductive Lacq</t>
  </si>
  <si>
    <t>R11</t>
  </si>
  <si>
    <t>GCS Enclosure Bhima 4.0</t>
  </si>
  <si>
    <t>GCS Enclosure_Bhima4.0</t>
  </si>
  <si>
    <t>GCS Enclosure_3D Printing</t>
  </si>
  <si>
    <t>GCS Enclosure Top Bhima4.0</t>
  </si>
  <si>
    <t>GCS Enclosure_Top_Bhima4.0</t>
  </si>
  <si>
    <t>GCS Enclosure Top_3D Printing</t>
  </si>
  <si>
    <t>Bottom Enclosure JB</t>
  </si>
  <si>
    <t>Bottom Enclosure_JB</t>
  </si>
  <si>
    <t>Bottom Enclosure_3D Printing</t>
  </si>
  <si>
    <t>Sample</t>
  </si>
  <si>
    <t>Battery Velcro Tie</t>
  </si>
  <si>
    <t>Bhumi, Bhima</t>
  </si>
  <si>
    <t>Panasonic 1000uF Aluminium Electrolytic Capacitor</t>
  </si>
  <si>
    <t>21V 8Ah Si-NMC Li-Ion Cell Battery</t>
  </si>
  <si>
    <t>EFT GPS Stand</t>
  </si>
  <si>
    <t>RJ 45 Connectors</t>
  </si>
  <si>
    <t>960-GW593153 Taoglas GW.59 2.4.5/5.8GHZ 3dB Antennas</t>
  </si>
  <si>
    <t xml:space="preserve">960-GW593153 Taoglas GW.59 2.4.5/5.8GHZ 3dB Antennas </t>
  </si>
  <si>
    <t>Mouser</t>
  </si>
  <si>
    <t>A13</t>
  </si>
  <si>
    <t>Taoglas 2.4/5.8GHz 3db Antennas</t>
  </si>
  <si>
    <t>CAT6 Cable 5M</t>
  </si>
  <si>
    <t>17-HG2418P L-Com ANTPANEL 2.4GHz 18dB Antennas</t>
  </si>
  <si>
    <t>HAHER</t>
  </si>
  <si>
    <t>814-CA100-NM-MMCX-12 RF Cable Assemblies TE Connectivity Cassy, Coax,12NM</t>
  </si>
  <si>
    <t>6S 5000mAh Lithium Battery</t>
  </si>
  <si>
    <t>6S 5000mah Lithium Battery</t>
  </si>
  <si>
    <t>EFT Carbon Fiber Folding Arm Dia 40x37x380mm
EFT Aluminum Main Arm Dia 40x37x315mm with Arm Folding Parts Dia40</t>
  </si>
  <si>
    <t>E616 Arm Section Without Folding Clamp</t>
  </si>
  <si>
    <t>Spray Paint - Sand Brown</t>
  </si>
  <si>
    <t>Spray Paint - Brown</t>
  </si>
  <si>
    <t>Carry Case Ex: 910x830x730mm In:880x800x700mm without wheel</t>
  </si>
  <si>
    <t>Carry Case</t>
  </si>
  <si>
    <t>MAX3232 XD-26 MCU Mini RS232 to TTL Converter Module UART</t>
  </si>
  <si>
    <t>UIN Plate</t>
  </si>
  <si>
    <t>K Square Engineering</t>
  </si>
  <si>
    <t>Sold-BHUMI</t>
  </si>
  <si>
    <t>Spray Paint - Army Green</t>
  </si>
  <si>
    <t>Spray Paint - Earth Brown</t>
  </si>
  <si>
    <t>T-Motor Air 40A ESC</t>
  </si>
  <si>
    <t>Dlink Switch 5 port Des-1500A</t>
  </si>
  <si>
    <t>T-Motor P17x5.8 Prop 1CW 1CCW-1Pair</t>
  </si>
  <si>
    <t>T-Motor P17*5.8 Prop - 2Pcs/Pair</t>
  </si>
  <si>
    <t>3AN Telecom SMA Male to N Male Coax Cables,SMA Connectors to Antenna Cables Assemblies Low Loss WiFi Extender Extension Pigtail Jumpers RF coaxial Cables 1MTR /100 CM 1Pack, Black</t>
  </si>
  <si>
    <t>3AN Telecom SMA Male to N Male Coax Cables</t>
  </si>
  <si>
    <t>A81</t>
  </si>
  <si>
    <t>BHIMA/16L/HAHER</t>
  </si>
  <si>
    <t>Readytosky 2-6S 5v/3A and 12V/3A switchable UBEC</t>
  </si>
  <si>
    <t>Readytosky 2-6S 5V/3A and 12V/3A Switchable UBEC</t>
  </si>
  <si>
    <t>Inventory/Office</t>
  </si>
  <si>
    <t>[974869] ReadytoSky 2-6S 5V/3A &amp; 12V/3ASwitchable UBEC</t>
  </si>
  <si>
    <t>Flywoo 3pcs Flywoo Ultra Grip FPV Battery Pad</t>
  </si>
  <si>
    <t>Quad Frame CF 310x310x4mm</t>
  </si>
  <si>
    <t>Mount Plate CF 310x310x1.5mm</t>
  </si>
  <si>
    <t>4in1 Wire Brush Protection Tube 65mm for Brushless Motor</t>
  </si>
  <si>
    <t>M3 Rubber Damper Balls - 9x6x3 (Pack of 4)</t>
  </si>
  <si>
    <t>Hitech XYZ</t>
  </si>
  <si>
    <t>Molicel 21700 P50B 5000mAh 60A Lithium Ion Battery</t>
  </si>
  <si>
    <t>used for battery cnvsn</t>
  </si>
  <si>
    <t>T-motor Cine 60 6S Motor For 6” X4 Cinematic FPV Drone</t>
  </si>
  <si>
    <t>Cine 60 6S Motor For 6''*4 Cinematic FPV UAV</t>
  </si>
  <si>
    <t>Ninetron Tech LLP</t>
  </si>
  <si>
    <t>24Pin M16 Plug and Socket Panel Mount Connector Straight</t>
  </si>
  <si>
    <t>4S 5000mAh Lithium Battery</t>
  </si>
  <si>
    <t>Sri Ganapathi Engineering works' Machining Cost for 5L Agri</t>
  </si>
  <si>
    <t>Sri Ganapathi Engineering works' Machining Cost for BHIMA Payload Dropping</t>
  </si>
  <si>
    <t>Pololu 5579 24V, 4A Step-down Voltage Regulator D42V55F24</t>
  </si>
  <si>
    <t>Recreational Hardware Systems LLP</t>
  </si>
  <si>
    <t>6219 Orqa FPV.Ctrl</t>
  </si>
  <si>
    <t>6027 IRC Ghost JR 2.4 Tx</t>
  </si>
  <si>
    <t>6030 IRC Ghost Atto Receiver</t>
  </si>
  <si>
    <t>6087 IRC RF Power Meter v2</t>
  </si>
  <si>
    <t>6150 Orqa FPV.Ace Chapter #1</t>
  </si>
  <si>
    <t>1000x100x1mm Balsa Sheet</t>
  </si>
  <si>
    <t>1000x100x12mm Balsa Sheet</t>
  </si>
  <si>
    <t>Micro-Warehouse</t>
  </si>
  <si>
    <t>Micro-warehouse</t>
  </si>
  <si>
    <t>T-Motor Antigravity MN4006 380KV 2Pcs/Set</t>
  </si>
  <si>
    <t>warehouse</t>
  </si>
  <si>
    <t>WD 500GB SSD</t>
  </si>
  <si>
    <t>NVIDIA Jetson Orin Nano Super Developer Kit</t>
  </si>
  <si>
    <t>Intel RealSense Depth Camera D435if</t>
  </si>
  <si>
    <t>Intel RealSense Depth Camera D415</t>
  </si>
  <si>
    <t>Waveshare 4-Ch USB 3.2 Gen1 HUB, Metal Case With Wall-Mount Support, Driver-Free, Plug-And-Play, Multiple Systems Support</t>
  </si>
  <si>
    <t xml:space="preserve"> pla</t>
  </si>
  <si>
    <t>AC8265 Wireless NIC for Jetson Nano WiFi / Bluetooth</t>
  </si>
  <si>
    <t xml:space="preserve">T-Motor P13x4.4 Prop 1CW 1CCW-1Pair	</t>
  </si>
  <si>
    <t>T-Motor P13x4.4 Prop 1CW 1CCW-1Pair</t>
  </si>
  <si>
    <t>NVIDIA Jetson Orin NX 16GB Module</t>
  </si>
  <si>
    <t>Tanna Techbiz LLP</t>
  </si>
  <si>
    <t>High Quality Ultra Flexible 18AWG Silicone Wire - Black</t>
  </si>
  <si>
    <t>18 AWG Silicon cable Black</t>
  </si>
  <si>
    <t>High Quality Ultra Flexible 18AWG Silicone Wire - Red</t>
  </si>
  <si>
    <t>18 AWG silicon Cable Red</t>
  </si>
  <si>
    <t>High Quality Ultra Flexible 20AWG Silicone Wire - Black</t>
  </si>
  <si>
    <t>20 AWG silicon cable Black</t>
  </si>
  <si>
    <t>High Quality Ultra Flexible 20AWG Silicone Wire - Red</t>
  </si>
  <si>
    <t>20 AWG silicon cable Red</t>
  </si>
  <si>
    <t>High Quality Ultra Flexible 22AWG Silicone Wire – Black</t>
  </si>
  <si>
    <t>22 AWG silicon cable Black</t>
  </si>
  <si>
    <t>High Quality Ultra Flexible 22AWG Silicone Wire – Red</t>
  </si>
  <si>
    <t>22 AWG silicon cable Red</t>
  </si>
  <si>
    <t>Holybro M9N GPS</t>
  </si>
  <si>
    <t>Holybro M9N UART GPS Compatible with Her Pixhawk Cube</t>
  </si>
  <si>
    <t xml:space="preserve">6S 25000mAh Battery	</t>
  </si>
  <si>
    <t>6S 25000mAh Battery</t>
  </si>
  <si>
    <t>4S 10Ah-2qty &amp; Cells</t>
  </si>
  <si>
    <t>Cube Orange Plus with Mini Carrier Board</t>
  </si>
  <si>
    <t>Cube orange plus with Mini Carrier Board</t>
  </si>
  <si>
    <t>16x14x1000mm Carbon Fiber Tube</t>
  </si>
  <si>
    <t>HAHER-01</t>
  </si>
  <si>
    <t>CF Sheet 300mmx300mmx2mm thk</t>
  </si>
  <si>
    <t>T-Motor Antigravity MN7005 230KV</t>
  </si>
  <si>
    <t>T-motor NS26x8.5 Propellers 1CW 1CCW - 1Pair</t>
  </si>
  <si>
    <t>2-HAHER-01, 2-Scrap</t>
  </si>
  <si>
    <t>T-motor NS24x7.2-10mm Hole Propellers 1CW 1CCW - 1Pair</t>
  </si>
  <si>
    <t>T-Motor Alpha 40A LV 500Hz 4-6S LiPo ESC</t>
  </si>
  <si>
    <t>High Quality Ultra Flexible 18AWG Silicone Wire - Blue</t>
  </si>
  <si>
    <t>HAHER20-Quad-26" Top Plate 2mm</t>
  </si>
  <si>
    <t>HAHER20-Quad-26" Bottom Plate 2mm</t>
  </si>
  <si>
    <t>HAHER20-Quad-26" Motor Support Plate 2mm</t>
  </si>
  <si>
    <t>HAHER20-Quad-26" Top Plate 2mm v2</t>
  </si>
  <si>
    <t>Muthu Lakshmi CNC Wood Carving Works</t>
  </si>
  <si>
    <t>HAHER20-Quad-26" Bottom Plate 2mm v2</t>
  </si>
  <si>
    <t>Tool Bag for YIHUA 928D-IV</t>
  </si>
  <si>
    <t>Right Angle DC 5.5x2.5mm Power Adapter Charger Cable</t>
  </si>
  <si>
    <t>Viewpro A10T Pro 10x Dual Sensor Light Weight AI Tracking Camera with 3-Axis Gimbal for UAV</t>
  </si>
  <si>
    <t>HAHER20-Quad-26" Bottom Foam</t>
  </si>
  <si>
    <t>HAHER20-Quad-26" Top Foam</t>
  </si>
  <si>
    <t>HAHER20-Quad-26" GCS Foam</t>
  </si>
  <si>
    <t>HAHER20-Quad-26" GCS Top Foam</t>
  </si>
  <si>
    <t>HAHER20-Quad-26" Patch Antenna Foam</t>
  </si>
  <si>
    <t>RF Antenna, Dipole, 2.4 GHz to 2.5 GHz, Linear, RP SMA Connector, 4.22 dBi - TAOGLAS - GW.34.5153</t>
  </si>
  <si>
    <t>GHR-07V-S Connectors</t>
  </si>
  <si>
    <t>GHR-04V-S Connectors</t>
  </si>
  <si>
    <t>GHR-08V-S Connectors</t>
  </si>
  <si>
    <t>5024390600 Connectors</t>
  </si>
  <si>
    <t>24AWG Crimp Cable - 0797581015</t>
  </si>
  <si>
    <t>JST - 30cm Crimp 28 AWG Cable - AGHGH28K305</t>
  </si>
  <si>
    <t>GHR-03V-S Connectors</t>
  </si>
  <si>
    <t>336320-12-0250 - Cable Assembly Coaxial U.FL (UMCC), AMC to RP-SMA 1.13mm OD Coaxial Cable 9.843" (250.00mm)</t>
  </si>
  <si>
    <t>Fixed Arm Part for 25x23mm CF Square Tube</t>
  </si>
  <si>
    <t>Foldable Arm Part for 25x23mm CF Square Tube</t>
  </si>
  <si>
    <t>M3 Nylon Flat Washer OD 8mm - MFG-16M03080080B (Pack of 25)</t>
  </si>
  <si>
    <t>Digi-Key Electronics</t>
  </si>
  <si>
    <t>Grommet 0.250" (6.35mm) Circular 0.375" (9.53mm) Black - MFG-740 (Pack of 25)</t>
  </si>
  <si>
    <t>HAHER20-Quad-26" LG Cap</t>
  </si>
  <si>
    <t>HAHER20-Quad-26" Bottom Enclosure</t>
  </si>
  <si>
    <t>HAHER20-Quad-26" Top Enclosure</t>
  </si>
  <si>
    <t>HAHER20-Quad-26" GPS Enclosure</t>
  </si>
  <si>
    <t>HAHER20-Quad-26" LG T Joint</t>
  </si>
  <si>
    <t>25x23x250mm Carbon Fiber Tube</t>
  </si>
  <si>
    <t>Sundaram Brake Linings Limited</t>
  </si>
  <si>
    <t>6S 30000mAh Battery</t>
  </si>
  <si>
    <t>HAHER20 PCB</t>
  </si>
  <si>
    <t>16L seeder</t>
  </si>
  <si>
    <t>Seed Spreader - EFT EPS200pro Seed Fertilizer Spreader with Sturdy Crush-resistant Metal Sowing Wheels for Agriculture Spreading</t>
  </si>
  <si>
    <t>Carry Case Bag for HAHER20</t>
  </si>
  <si>
    <t>Harsha Bag Manufacturing Company</t>
  </si>
  <si>
    <t>HAHER20 LG Mount</t>
  </si>
  <si>
    <t>Sri Vignesh Engineering Works</t>
  </si>
  <si>
    <t>1655 propellers 1CW 1CCW-1Pair</t>
  </si>
  <si>
    <t>HAHER20 M3x25mm for LG Customized Spacer Set</t>
  </si>
  <si>
    <t>HAHER20 M3x25mm for LG Customized Spacer Set (Pack of 4)</t>
  </si>
  <si>
    <t>HAHER20 M4x25mm for Motor Customized Spacer Set</t>
  </si>
  <si>
    <t>HAHER20 M4x25mm for Motor Customized Spacer Set (Pack of 20)</t>
  </si>
  <si>
    <t>Carry Case HAHER20 800x800x850mm</t>
  </si>
  <si>
    <t>New Pari Glass Plywood</t>
  </si>
  <si>
    <t>Carry Case HAHER20 650x650x650mm</t>
  </si>
  <si>
    <t>Landing Gear Horizontal - 16x14x1000mm Carbon Fiber Tube</t>
  </si>
  <si>
    <t>16x14x250</t>
  </si>
  <si>
    <t>Landing Gear Vertical - 16x14x1000mm Carbon Fiber Tube</t>
  </si>
  <si>
    <t>25x23x180mm Carbon Fiber Tube</t>
  </si>
  <si>
    <t>25x23x180mm Carbon Fiber Tube - Fixed Motor Arm</t>
  </si>
  <si>
    <t>25x23x320mm Carbon Fiber Tube</t>
  </si>
  <si>
    <t>25x23x320mm Carbon Fiber Tube - Foldable Motor Arm</t>
  </si>
  <si>
    <t>Carry Case HAHER20 790x770x760mm</t>
  </si>
  <si>
    <t>Carry Case HAHER20 700x550x480mm</t>
  </si>
  <si>
    <t>HAHER20-Quad-26" Doodle Labs Enclosure</t>
  </si>
  <si>
    <t>Warehouse Drone Battery Plate 2mm</t>
  </si>
  <si>
    <t>Warehouse Drone Bottom Plate 2mm</t>
  </si>
  <si>
    <t>Warehouse Drone Jetson Plate 1mm</t>
  </si>
  <si>
    <t>Warehouse Drone Top Plate 2mm</t>
  </si>
  <si>
    <t>Maruti Tech 6S LiPo/Li-ion Battery Charger</t>
  </si>
  <si>
    <t>Maruti Tech</t>
  </si>
  <si>
    <t>Tool bag for YIHUA 928D-IV</t>
  </si>
  <si>
    <t>16x14x200mm Carbon Fiber Tube</t>
  </si>
  <si>
    <t>HAHER-02</t>
  </si>
  <si>
    <t>Ethernet Connector Panel Mount</t>
  </si>
  <si>
    <t>EPE - Foam (Bhumi) 870x790x350mm</t>
  </si>
  <si>
    <t>6S 5000mAh Lithium Battery (Converted from 6 nos of Molicel 21700 P50B 5000mAh 60A Lithium Ion Battery)</t>
  </si>
  <si>
    <t>Oznium Flush Mount LED Bolt - 2233 Green</t>
  </si>
  <si>
    <t>Oznium LLC</t>
  </si>
  <si>
    <t>Oznium Flush Mount LED Bolt - 2235 Cool White</t>
  </si>
  <si>
    <t>Oznium Flush Mount LED Bolt - 2231 Red</t>
  </si>
  <si>
    <t>RTS – MATEKSYS 12S Pro BEC – 9-55V To 5V/8V/12V – 5A</t>
  </si>
  <si>
    <t>Dummy Battery</t>
  </si>
  <si>
    <t>SkyRC D260 Duo 260W Dual Channel AC/DC LiPo / LiFe / LiIon / LiHV / NiMH / NiCd / Pb Balance Charger + Discharger + Power Supply</t>
  </si>
  <si>
    <t>GHR-05V-S Connector</t>
  </si>
  <si>
    <t>For Return</t>
  </si>
  <si>
    <t>M4 Allen Socket head SS304 assorted box</t>
  </si>
  <si>
    <t>Only Screws</t>
  </si>
  <si>
    <t>Amass XT90 Male Connectors with Housing</t>
  </si>
  <si>
    <t>1355 propellers 1CW 1CCW-1Pair</t>
  </si>
  <si>
    <t>AS150 Female Connector</t>
  </si>
  <si>
    <t>AS150 Male Connector</t>
  </si>
  <si>
    <t>Amass XT90 Female Connectors with Housing</t>
  </si>
  <si>
    <t>A59</t>
  </si>
  <si>
    <t>Amass XT60H Female Connectors with Housing</t>
  </si>
  <si>
    <t>A61</t>
  </si>
  <si>
    <t>In Inv</t>
  </si>
  <si>
    <t>Service - Battery Connector QS-8</t>
  </si>
  <si>
    <t>Pivot Arm 1.5mm &amp; Static Arm 1.5mm</t>
  </si>
  <si>
    <t>A2</t>
  </si>
  <si>
    <t>Amass XT30 Female Connectors</t>
  </si>
  <si>
    <t>X8 motor propeller foam</t>
  </si>
  <si>
    <t>HAHER20 - Foldable Joint Centre Rod</t>
  </si>
  <si>
    <t>Spring</t>
  </si>
  <si>
    <t>Niyamath Manufacturing</t>
  </si>
  <si>
    <t>Haher Spring</t>
  </si>
  <si>
    <t>HAHER20 - Foldable Joint spring shaft</t>
  </si>
  <si>
    <t>Bhima IITR</t>
  </si>
  <si>
    <t>HTRC L6X2 AC 100-240V DC Dual Channel Charger 11-18 V LiPo LiFe / Li-ion/NiCd/NiMH/Pb</t>
  </si>
  <si>
    <t>SMD Package TAIMAG HC-027 Ethernet Transformer PCMCIA 12 Pins</t>
  </si>
  <si>
    <t>RTK GPS Base Station Survey Grade CORS High Precision Industrial L1+L2+L5 Antenna</t>
  </si>
  <si>
    <t>Here 4 Multiband RTK GNNS</t>
  </si>
  <si>
    <t>Microhard PMDDL2450 Modem Only</t>
  </si>
  <si>
    <t>P50B-21700 CELLS</t>
  </si>
  <si>
    <t>Cable Assemblies 85442090 TNC Male to SMA Male 1 mtr</t>
  </si>
  <si>
    <t>Ag++ Flight Controller with AeroGCS GREEN-T</t>
  </si>
  <si>
    <t>PDRL</t>
  </si>
  <si>
    <t>Bhumi v.1.1 - 09</t>
  </si>
  <si>
    <t>NamoAG Navigation Device-T</t>
  </si>
  <si>
    <t>25x23x500mm Carbon Fiber Tube</t>
  </si>
  <si>
    <t>HAHER20-Quad-26 Top Plate 2mm v3</t>
  </si>
  <si>
    <t>M1.6x25 SS Allen Cap - 304 (Pack of 10)</t>
  </si>
  <si>
    <t>3F Parts</t>
  </si>
  <si>
    <t>CAMVATE 1/4"-20 Female to 5/8"-11 Male Screw Adapter for Tripod Laser Level Adapter Bosch (Aluminum Alloy) - 3239</t>
  </si>
  <si>
    <t>Aero360 Data Link v.1.1</t>
  </si>
  <si>
    <t>R46</t>
  </si>
  <si>
    <t>AR 12W/mk Thermal Pad (Size-80x40x0.5mm)</t>
  </si>
  <si>
    <t>Heat Sink 567-625-25ABT4E - Microhard PMDDL2450</t>
  </si>
  <si>
    <t>Mouse Electronics</t>
  </si>
  <si>
    <t>10A RC TX Controlled Relay Switch PWM Receiver</t>
  </si>
  <si>
    <t>BHUMI-Master Slave</t>
  </si>
  <si>
    <t>BHUMI 3 MASTER SLAVE</t>
  </si>
  <si>
    <t>MAUCH 01</t>
  </si>
  <si>
    <t>25x23x1000mm Carbon Fiber Tube</t>
  </si>
  <si>
    <t>Cable Assembly 85369090 - Cable Assembly SMA Male to N female RG 58 cable (15cm)</t>
  </si>
  <si>
    <t>Lock Head - Static/Pivot Arm Mechanism</t>
  </si>
  <si>
    <t>T-Lock - Static/Pivot Arm Mechanism</t>
  </si>
  <si>
    <t>Pivot Arm Mount - OD 25mm CF Square Tube</t>
  </si>
  <si>
    <t>Static Arm Mount - OD 25mm CF Square Tube</t>
  </si>
  <si>
    <t>5V Single Channel RELAY Module</t>
  </si>
  <si>
    <t>1 IN ASSEMBLY 1 IN USED</t>
  </si>
  <si>
    <t>Cable Assembly RP-SMA Male to N-type Male (15cm)</t>
  </si>
  <si>
    <t>T-Motor U8 Lite KV150</t>
  </si>
  <si>
    <t>3DR 915MHz Telemetry Module Pair for Pixhawk and APM 500mw 2Km range</t>
  </si>
  <si>
    <t>IA-BOQ/HQ-146</t>
  </si>
  <si>
    <t>Pro-Range A Grade INR 21700-P45B 14.8V 9000mAh 10C 4S2P 70A/90A Discharge Li-ion Drone Battery Pack for FPV Drone</t>
  </si>
  <si>
    <t>XL6 Carbon Fiber Frame</t>
  </si>
  <si>
    <t>Kits Guru</t>
  </si>
  <si>
    <t>GNB 3500mAh 3S1P 11.1V 50C Lipo Battery</t>
  </si>
  <si>
    <t>HTRC C150 150W 10A Lipo Life NiMH Battery Charger</t>
  </si>
  <si>
    <t>bhumi</t>
  </si>
  <si>
    <t>R41</t>
  </si>
  <si>
    <t>M3 X 25mm Female to Female Brass with Nickel plating Hex Threaded Standoff Spacer</t>
  </si>
  <si>
    <t>IRONIQ LABS PVT LTD</t>
  </si>
  <si>
    <t>M2.5 Brass Inserts Assorted Pack</t>
  </si>
  <si>
    <t>MATEK UBEC DUO 4A/5-12V &amp; 4A/5V</t>
  </si>
  <si>
    <t>IIITDM</t>
  </si>
  <si>
    <t>AGHGH28K203 - Crimp cable JUMPER SSHL-002T-P0.2 X2 8"</t>
  </si>
  <si>
    <t>Chanak Space Explorer Pneumatic Gun Include 12 Orange &amp; 12 Yellow Soft Foam Ball, for Indoor Outdoor Use Safe for Boys Girls, Above 5+ Age, BIS Approved</t>
  </si>
  <si>
    <t>eSUN 1.75mm eASA 3D Printing Filament 1Kg - Black</t>
  </si>
  <si>
    <t>eSUN eABS+HS filament 1.75mm 1Kg - Grey</t>
  </si>
  <si>
    <t>Purchase Order</t>
  </si>
  <si>
    <t>Custom invoice</t>
  </si>
  <si>
    <t>PO_00001</t>
  </si>
  <si>
    <t>Machining</t>
  </si>
  <si>
    <t>PO_00090</t>
  </si>
  <si>
    <t>PO_00091</t>
  </si>
  <si>
    <t>PO_00092</t>
  </si>
  <si>
    <t>Issue Qty</t>
  </si>
  <si>
    <t>Electric Mat</t>
  </si>
  <si>
    <t>eSUN ePETG+HS 3D Printing Filament-1.75mm, Solid Black</t>
  </si>
  <si>
    <t>-</t>
  </si>
  <si>
    <t>Inu Industrial Rubber Products</t>
  </si>
  <si>
    <t>Haher20</t>
  </si>
  <si>
    <t>testing</t>
  </si>
  <si>
    <t>M3x12 SS Allen Cap - 304 (Pack of 25)</t>
  </si>
  <si>
    <t>M3 SS 304 Washers (Pack of 25)</t>
  </si>
  <si>
    <t>M3x8 SS Allen Cap - 304 (Pack of 25)</t>
  </si>
  <si>
    <t>M3x20 SS Allen Cap - 304 (Pack of 25)</t>
  </si>
  <si>
    <t>M2.5x15mm SS Allen Cap - 304 (Pack of 25)</t>
  </si>
  <si>
    <t>M2.5 SS Nylock Nut - 304 (Pack of 25)</t>
  </si>
  <si>
    <t>M3x25 SS Allen Cap - 304 (Pack of 25)</t>
  </si>
  <si>
    <t>M3x6 SS Allen Cap - 304 (Pack of 25)</t>
  </si>
  <si>
    <t>Green box</t>
  </si>
  <si>
    <t>M4 SS 304 Washers (pack of 10)</t>
  </si>
  <si>
    <t>M3x35 SS Allen Cap - 304 (Pack of 25)</t>
  </si>
  <si>
    <t>M3 SS Nylock Nut - 304 (Pack of 25)</t>
  </si>
  <si>
    <t>AGHGH28K102</t>
  </si>
  <si>
    <t>RC522 SPI 13.56MHZ RFID Reader without soldering pin</t>
  </si>
  <si>
    <t>Arm Assembly</t>
  </si>
  <si>
    <t>Battery</t>
  </si>
  <si>
    <t>Lipo Battery Bag</t>
  </si>
  <si>
    <t>Anti-Static Anti-Skid ESD Gloves</t>
  </si>
  <si>
    <t>Noel Solder Wire</t>
  </si>
  <si>
    <t>T-Motor MN6007 II KV320</t>
  </si>
  <si>
    <t>T-motor NS22x6.6 Propellers 1CW 1CCW - 1Pair</t>
  </si>
  <si>
    <t>RE14P-SM</t>
  </si>
  <si>
    <t>MaDelT Innovation Foundation</t>
  </si>
  <si>
    <t>Meatech Solutions LLP</t>
  </si>
  <si>
    <t>Repair &amp; Service</t>
  </si>
  <si>
    <t>TNAU, Coimbatore</t>
  </si>
  <si>
    <t>Astra - x</t>
  </si>
  <si>
    <t>Category</t>
  </si>
  <si>
    <t>Comp ID</t>
  </si>
  <si>
    <t>Total</t>
  </si>
  <si>
    <t>Product</t>
  </si>
  <si>
    <t>Bill / Invoice No.</t>
  </si>
  <si>
    <t>HSN Code</t>
  </si>
  <si>
    <t>SKU Number</t>
  </si>
  <si>
    <t>Documents</t>
  </si>
  <si>
    <t>Electricals</t>
  </si>
  <si>
    <t>C_00624</t>
  </si>
  <si>
    <t>THEA</t>
  </si>
  <si>
    <t>CA2004217-1</t>
  </si>
  <si>
    <t>C_00622</t>
  </si>
  <si>
    <t>Communication</t>
  </si>
  <si>
    <t>C_00301</t>
  </si>
  <si>
    <t>BHIMA M1500</t>
  </si>
  <si>
    <t>C_00276</t>
  </si>
  <si>
    <t xml:space="preserve">DISC DRONE </t>
  </si>
  <si>
    <t>Electronics</t>
  </si>
  <si>
    <t>C_00703</t>
  </si>
  <si>
    <t>Payload</t>
  </si>
  <si>
    <t>C_00175</t>
  </si>
  <si>
    <t>G610 AGRI DRONE</t>
  </si>
  <si>
    <t>C_00377</t>
  </si>
  <si>
    <t>C_00296</t>
  </si>
  <si>
    <t>C_00386</t>
  </si>
  <si>
    <t>C_00387</t>
  </si>
  <si>
    <t>C_00216</t>
  </si>
  <si>
    <t>DISC DRONE</t>
  </si>
  <si>
    <t>C_00233</t>
  </si>
  <si>
    <t>C_00054</t>
  </si>
  <si>
    <t>LS-2022090626</t>
  </si>
  <si>
    <t>C_00198</t>
  </si>
  <si>
    <t>C_00535</t>
  </si>
  <si>
    <t>NANO DRONE</t>
  </si>
  <si>
    <t>C_00235</t>
  </si>
  <si>
    <t>C_00147</t>
  </si>
  <si>
    <t>C_00550</t>
  </si>
  <si>
    <t>C_00551</t>
  </si>
  <si>
    <t>C_00148</t>
  </si>
  <si>
    <t>C_00012</t>
  </si>
  <si>
    <t>C_00056</t>
  </si>
  <si>
    <t>C_00097</t>
  </si>
  <si>
    <t>C_00122</t>
  </si>
  <si>
    <t>C_00201</t>
  </si>
  <si>
    <t>Bhumi Horizontal Drone</t>
  </si>
  <si>
    <t>C_00236</t>
  </si>
  <si>
    <t>C_00255</t>
  </si>
  <si>
    <t>C_00256</t>
  </si>
  <si>
    <t>C_00264</t>
  </si>
  <si>
    <t>C_00277</t>
  </si>
  <si>
    <t>C_00288</t>
  </si>
  <si>
    <t>C_00299</t>
  </si>
  <si>
    <t>C_00300</t>
  </si>
  <si>
    <t>C_00352</t>
  </si>
  <si>
    <t>Accessories</t>
  </si>
  <si>
    <t>C_00365</t>
  </si>
  <si>
    <t>C_00371</t>
  </si>
  <si>
    <t>WAREHOUSE DRONE</t>
  </si>
  <si>
    <t>A47</t>
  </si>
  <si>
    <t>C_00372</t>
  </si>
  <si>
    <t>C_00478</t>
  </si>
  <si>
    <t>C_00511</t>
  </si>
  <si>
    <t>C_00534</t>
  </si>
  <si>
    <t>C_00571</t>
  </si>
  <si>
    <t>C_00614</t>
  </si>
  <si>
    <t>C_00620</t>
  </si>
  <si>
    <t>VAJRA</t>
  </si>
  <si>
    <t>C_00623</t>
  </si>
  <si>
    <t>C_00631</t>
  </si>
  <si>
    <t>C_00633</t>
  </si>
  <si>
    <t>C_00635</t>
  </si>
  <si>
    <t>C_00638</t>
  </si>
  <si>
    <t>C_00642</t>
  </si>
  <si>
    <t>C_00650</t>
  </si>
  <si>
    <t>C_00653</t>
  </si>
  <si>
    <t>C_00658</t>
  </si>
  <si>
    <t>C_00669</t>
  </si>
  <si>
    <t>C_00672</t>
  </si>
  <si>
    <t>C_00681</t>
  </si>
  <si>
    <t>C_00689</t>
  </si>
  <si>
    <t>C_00704</t>
  </si>
  <si>
    <t>C_00215</t>
  </si>
  <si>
    <t>C_00121</t>
  </si>
  <si>
    <t>C_00173</t>
  </si>
  <si>
    <t>C_00501</t>
  </si>
  <si>
    <t>C_00596</t>
  </si>
  <si>
    <t>C_00129</t>
  </si>
  <si>
    <t xml:space="preserve">ASTRA </t>
  </si>
  <si>
    <t>C_00544</t>
  </si>
  <si>
    <t>C_00552</t>
  </si>
  <si>
    <t>C_00564</t>
  </si>
  <si>
    <t>C_00123</t>
  </si>
  <si>
    <t>C_00146</t>
  </si>
  <si>
    <t>C_00640</t>
  </si>
  <si>
    <t>C_00639</t>
  </si>
  <si>
    <t>C_00343</t>
  </si>
  <si>
    <t>INV-2324-49912</t>
  </si>
  <si>
    <t>C_00743</t>
  </si>
  <si>
    <t>C_00744</t>
  </si>
  <si>
    <t>C_00745</t>
  </si>
  <si>
    <t>C_00746</t>
  </si>
  <si>
    <t>C_00680</t>
  </si>
  <si>
    <t>INV2324/84860</t>
  </si>
  <si>
    <t>C_00671</t>
  </si>
  <si>
    <t>C_00474</t>
  </si>
  <si>
    <t>INV2324/96373</t>
  </si>
  <si>
    <t>C_00260</t>
  </si>
  <si>
    <t>INV2324/101774</t>
  </si>
  <si>
    <t>C_00268</t>
  </si>
  <si>
    <t xml:space="preserve"> IN-8292</t>
  </si>
  <si>
    <t>AMAZON</t>
  </si>
  <si>
    <t>C_00560</t>
  </si>
  <si>
    <t>C_00556</t>
  </si>
  <si>
    <t>INV2324/116496</t>
  </si>
  <si>
    <t>C_00656</t>
  </si>
  <si>
    <t>C_00252</t>
  </si>
  <si>
    <t>C_00270</t>
  </si>
  <si>
    <t>INV23/09/21</t>
  </si>
  <si>
    <t>C_00269</t>
  </si>
  <si>
    <t>INV2324/130647</t>
  </si>
  <si>
    <t>IN/2023/09/9020</t>
  </si>
  <si>
    <t>C_00303</t>
  </si>
  <si>
    <t>SHOPIFY4238</t>
  </si>
  <si>
    <t>VAJRA CRRI</t>
  </si>
  <si>
    <t>INV2324/145768</t>
  </si>
  <si>
    <t>C_00598</t>
  </si>
  <si>
    <t>IRSPN23-24/I0632</t>
  </si>
  <si>
    <t>C_00646</t>
  </si>
  <si>
    <t>IRSPN23-24/I0692</t>
  </si>
  <si>
    <t>C_00497</t>
  </si>
  <si>
    <t>BLR677191</t>
  </si>
  <si>
    <t>C_00207</t>
  </si>
  <si>
    <t>Aq/GD/23-24/3093</t>
  </si>
  <si>
    <t>C_00208</t>
  </si>
  <si>
    <t>C_00699</t>
  </si>
  <si>
    <t>INV2324/181301</t>
  </si>
  <si>
    <t>C_00027</t>
  </si>
  <si>
    <t>INV2324/191491</t>
  </si>
  <si>
    <t>C_00462</t>
  </si>
  <si>
    <t>C_00016</t>
  </si>
  <si>
    <t>ST/23-24IGST2472</t>
  </si>
  <si>
    <t>C_00380</t>
  </si>
  <si>
    <t>INV2324/186041</t>
  </si>
  <si>
    <t>C_00381</t>
  </si>
  <si>
    <t>C_00837</t>
  </si>
  <si>
    <t>C_00590</t>
  </si>
  <si>
    <t>ASTRA/BHIMA</t>
  </si>
  <si>
    <t>TSL/23-24/0267</t>
  </si>
  <si>
    <t>C_00561</t>
  </si>
  <si>
    <t>SRFS/23-24/952</t>
  </si>
  <si>
    <t>C_00002</t>
  </si>
  <si>
    <t>C_00684</t>
  </si>
  <si>
    <t>C_00523</t>
  </si>
  <si>
    <t>C_00206</t>
  </si>
  <si>
    <t>C_00471</t>
  </si>
  <si>
    <t>C_00707</t>
  </si>
  <si>
    <t>INV2324/233907</t>
  </si>
  <si>
    <t>BLR7-121519</t>
  </si>
  <si>
    <t>C_00588</t>
  </si>
  <si>
    <t>INV001624</t>
  </si>
  <si>
    <t>C_00515</t>
  </si>
  <si>
    <t>C_00563</t>
  </si>
  <si>
    <t>TIF/23-24/136050</t>
  </si>
  <si>
    <t>C_00080</t>
  </si>
  <si>
    <t>282/2023-24</t>
  </si>
  <si>
    <t>C_00472</t>
  </si>
  <si>
    <t>2023-24/1768</t>
  </si>
  <si>
    <t>C_00533</t>
  </si>
  <si>
    <t>INV-F2L-008489</t>
  </si>
  <si>
    <t>C_00022</t>
  </si>
  <si>
    <t>07-2023-24</t>
  </si>
  <si>
    <t>C_00678</t>
  </si>
  <si>
    <t>C_00589</t>
  </si>
  <si>
    <t>ASTRA</t>
  </si>
  <si>
    <t>IRSPN23-24/I1302</t>
  </si>
  <si>
    <t>C_00591</t>
  </si>
  <si>
    <t>INV2324/268507</t>
  </si>
  <si>
    <t>SRFS/23-24/1154</t>
  </si>
  <si>
    <t>C_00648</t>
  </si>
  <si>
    <t>INV24/03/01</t>
  </si>
  <si>
    <t>C_00558</t>
  </si>
  <si>
    <t>HEXACOPTER</t>
  </si>
  <si>
    <t>INV2324/282278</t>
  </si>
  <si>
    <t>C_00617</t>
  </si>
  <si>
    <t>C_00616</t>
  </si>
  <si>
    <t>C_00670</t>
  </si>
  <si>
    <t>INV2324/285983</t>
  </si>
  <si>
    <t>C_00034</t>
  </si>
  <si>
    <t>2404-021</t>
  </si>
  <si>
    <t>Polymer with Carbon</t>
  </si>
  <si>
    <t>C_00221</t>
  </si>
  <si>
    <t>AGRI DRONE</t>
  </si>
  <si>
    <t>ELD/008</t>
  </si>
  <si>
    <t>C_00222</t>
  </si>
  <si>
    <t>C_00223</t>
  </si>
  <si>
    <t>C_00224</t>
  </si>
  <si>
    <t>C_00232</t>
  </si>
  <si>
    <t>C_00487</t>
  </si>
  <si>
    <t>C_00488</t>
  </si>
  <si>
    <t>C_00651</t>
  </si>
  <si>
    <t>C_00542</t>
  </si>
  <si>
    <t>ELD/009</t>
  </si>
  <si>
    <t>AGRI</t>
  </si>
  <si>
    <t>INV2425/27296</t>
  </si>
  <si>
    <t>C_00200</t>
  </si>
  <si>
    <t>INVOICE NUMBER:002</t>
  </si>
  <si>
    <t>C_00218</t>
  </si>
  <si>
    <t>ELD/022</t>
  </si>
  <si>
    <t>C_00267</t>
  </si>
  <si>
    <t>INV2425/62057</t>
  </si>
  <si>
    <t>INV2425/78329</t>
  </si>
  <si>
    <t>INV2425/78007</t>
  </si>
  <si>
    <t>ELD/028</t>
  </si>
  <si>
    <t>C_00569</t>
  </si>
  <si>
    <t>C_00297</t>
  </si>
  <si>
    <t>INV24/06/74</t>
  </si>
  <si>
    <t>C_00197</t>
  </si>
  <si>
    <t>2407-030</t>
  </si>
  <si>
    <t>TIF/24-25/18899</t>
  </si>
  <si>
    <t>C_00099</t>
  </si>
  <si>
    <t>C_00160</t>
  </si>
  <si>
    <t>C_00341</t>
  </si>
  <si>
    <t>C_00340</t>
  </si>
  <si>
    <t>C_00463</t>
  </si>
  <si>
    <t>C_00464</t>
  </si>
  <si>
    <t>C_00196</t>
  </si>
  <si>
    <t>C_00636</t>
  </si>
  <si>
    <t>C_00388</t>
  </si>
  <si>
    <t>C_00627</t>
  </si>
  <si>
    <t>C_00295</t>
  </si>
  <si>
    <t>C_00769</t>
  </si>
  <si>
    <t>VI/2024-25/0670</t>
  </si>
  <si>
    <t>C_00549</t>
  </si>
  <si>
    <t>INV2425/146005</t>
  </si>
  <si>
    <t>Bhima,Agri</t>
  </si>
  <si>
    <t>INV24/09/59</t>
  </si>
  <si>
    <t>INV2425/158987</t>
  </si>
  <si>
    <t>C_00705</t>
  </si>
  <si>
    <t>AGRI BHIMA</t>
  </si>
  <si>
    <t>C_00566</t>
  </si>
  <si>
    <t>C_00568</t>
  </si>
  <si>
    <t>C_00688</t>
  </si>
  <si>
    <t>C_00702</t>
  </si>
  <si>
    <t>IN/2425/11950</t>
  </si>
  <si>
    <t>INV2425/162616</t>
  </si>
  <si>
    <t>DZR/24/10516</t>
  </si>
  <si>
    <t>C_00835</t>
  </si>
  <si>
    <t>INV24/09/085</t>
  </si>
  <si>
    <t>C_00541</t>
  </si>
  <si>
    <t>2409-037</t>
  </si>
  <si>
    <t>INV2425/165995</t>
  </si>
  <si>
    <t>C_00096</t>
  </si>
  <si>
    <t>C_00108</t>
  </si>
  <si>
    <t>BHIMA &amp; AGRI</t>
  </si>
  <si>
    <t>2409-041</t>
  </si>
  <si>
    <t>C_00626</t>
  </si>
  <si>
    <t>INV24/09/124</t>
  </si>
  <si>
    <t>C_00466</t>
  </si>
  <si>
    <t>INV24/09/126</t>
  </si>
  <si>
    <t>C_00467</t>
  </si>
  <si>
    <t>C_00081</t>
  </si>
  <si>
    <t>22/2024-25</t>
  </si>
  <si>
    <t>INV24/10/045</t>
  </si>
  <si>
    <t>C_00840</t>
  </si>
  <si>
    <t>INV/24-25/40128</t>
  </si>
  <si>
    <t>C_00841</t>
  </si>
  <si>
    <t>C_00647</t>
  </si>
  <si>
    <t>C_00460</t>
  </si>
  <si>
    <t>INV2425/239321</t>
  </si>
  <si>
    <t>C_00254</t>
  </si>
  <si>
    <t>C_00338</t>
  </si>
  <si>
    <t>ELD/108</t>
  </si>
  <si>
    <t>C_00339</t>
  </si>
  <si>
    <t>C_00674</t>
  </si>
  <si>
    <t>TIF/24-25/48207</t>
  </si>
  <si>
    <t>C_00673</t>
  </si>
  <si>
    <t>C_00675</t>
  </si>
  <si>
    <t>DA-24-25-389</t>
  </si>
  <si>
    <t>C_00676</t>
  </si>
  <si>
    <t>C_00491</t>
  </si>
  <si>
    <t>SO-01171</t>
  </si>
  <si>
    <t>C_00878</t>
  </si>
  <si>
    <t>INV2526/367754</t>
  </si>
  <si>
    <t>C_00150</t>
  </si>
  <si>
    <t>Battery 07</t>
  </si>
  <si>
    <t>C_00367</t>
  </si>
  <si>
    <t>C_00370</t>
  </si>
  <si>
    <t>Black Box</t>
  </si>
  <si>
    <t>C_00324</t>
  </si>
  <si>
    <t>C_00325</t>
  </si>
  <si>
    <t>C_00326</t>
  </si>
  <si>
    <t>C_00327</t>
  </si>
  <si>
    <t>C_00328</t>
  </si>
  <si>
    <t>C_00014</t>
  </si>
  <si>
    <t>C_00044</t>
  </si>
  <si>
    <t>C_00065</t>
  </si>
  <si>
    <t>C_00087</t>
  </si>
  <si>
    <t>C_00092</t>
  </si>
  <si>
    <t>C_00149</t>
  </si>
  <si>
    <t>C_00244</t>
  </si>
  <si>
    <t>C_00245</t>
  </si>
  <si>
    <t>C_00290</t>
  </si>
  <si>
    <t>C_00291</t>
  </si>
  <si>
    <t>C_00473</t>
  </si>
  <si>
    <t>C_00654</t>
  </si>
  <si>
    <t>C_00345</t>
  </si>
  <si>
    <t>C_00490</t>
  </si>
  <si>
    <t>C_00686</t>
  </si>
  <si>
    <t>C_00024</t>
  </si>
  <si>
    <t>C_00025</t>
  </si>
  <si>
    <t>C_00493</t>
  </si>
  <si>
    <t>C_00691</t>
  </si>
  <si>
    <t>C_00243</t>
  </si>
  <si>
    <t xml:space="preserve"> Electricals</t>
  </si>
  <si>
    <t>INV2425/313463</t>
  </si>
  <si>
    <t xml:space="preserve"> Electronics</t>
  </si>
  <si>
    <t>C_00567</t>
  </si>
  <si>
    <t xml:space="preserve"> Accessories</t>
  </si>
  <si>
    <t>C_00502</t>
  </si>
  <si>
    <t>C_00120</t>
  </si>
  <si>
    <t>C_00116</t>
  </si>
  <si>
    <t>C_00220</t>
  </si>
  <si>
    <t>DEL/24-25/2002</t>
  </si>
  <si>
    <t>C_00333</t>
  </si>
  <si>
    <t>C_00334</t>
  </si>
  <si>
    <t>C_00618</t>
  </si>
  <si>
    <t>ELD/120</t>
  </si>
  <si>
    <t xml:space="preserve"> Payload</t>
  </si>
  <si>
    <t>C_00685</t>
  </si>
  <si>
    <t>C_00599</t>
  </si>
  <si>
    <t>C_00364</t>
  </si>
  <si>
    <t>C_00228</t>
  </si>
  <si>
    <t>C_00611</t>
  </si>
  <si>
    <t>INV2425/318830</t>
  </si>
  <si>
    <t>C_00009</t>
  </si>
  <si>
    <t>IN-3403</t>
  </si>
  <si>
    <t>C_00185</t>
  </si>
  <si>
    <t>INV-2024-0251</t>
  </si>
  <si>
    <t>C_00178</t>
  </si>
  <si>
    <t>C_00074</t>
  </si>
  <si>
    <t>INV2425/328701</t>
  </si>
  <si>
    <t>C_00519</t>
  </si>
  <si>
    <t>C_00021</t>
  </si>
  <si>
    <t>C_00023</t>
  </si>
  <si>
    <t>C_00089</t>
  </si>
  <si>
    <t>C_00188</t>
  </si>
  <si>
    <t>INV2425/343521</t>
  </si>
  <si>
    <t>C_00273</t>
  </si>
  <si>
    <t>#000011055</t>
  </si>
  <si>
    <t>C_00652</t>
  </si>
  <si>
    <t>INV-005539</t>
  </si>
  <si>
    <t>00278/8891 7430</t>
  </si>
  <si>
    <t>C_00507</t>
  </si>
  <si>
    <t>INV2425/347464</t>
  </si>
  <si>
    <t>C_00442</t>
  </si>
  <si>
    <t>INV2425/350896</t>
  </si>
  <si>
    <t>C_00151</t>
  </si>
  <si>
    <t>C_00005</t>
  </si>
  <si>
    <t>INV2425/350243</t>
  </si>
  <si>
    <t>C_00105</t>
  </si>
  <si>
    <t>HYCINV25-0012</t>
  </si>
  <si>
    <t>C_00106</t>
  </si>
  <si>
    <t>C_00665</t>
  </si>
  <si>
    <t>C_00157</t>
  </si>
  <si>
    <t>DEL/24-25/2266</t>
  </si>
  <si>
    <t>C_00019</t>
  </si>
  <si>
    <t>INV2425/360443</t>
  </si>
  <si>
    <t>C_00132</t>
  </si>
  <si>
    <t>C_00247</t>
  </si>
  <si>
    <t>C_00489</t>
  </si>
  <si>
    <t>C_00510</t>
  </si>
  <si>
    <t>C_00693</t>
  </si>
  <si>
    <t>INV-24250034348</t>
  </si>
  <si>
    <t>C_00545</t>
  </si>
  <si>
    <t>DZR/24/23259</t>
  </si>
  <si>
    <t>2503-058</t>
  </si>
  <si>
    <t>INV25/03/083</t>
  </si>
  <si>
    <t>C_00307</t>
  </si>
  <si>
    <t>INV2425/371177</t>
  </si>
  <si>
    <t>C_00308</t>
  </si>
  <si>
    <t>C_00470</t>
  </si>
  <si>
    <t>C_00469</t>
  </si>
  <si>
    <t>C_00468</t>
  </si>
  <si>
    <t>Used IIT Roorkee</t>
  </si>
  <si>
    <t>C_00586</t>
  </si>
  <si>
    <t>INV-2425-2806</t>
  </si>
  <si>
    <t>C_00170</t>
  </si>
  <si>
    <t>C_00479</t>
  </si>
  <si>
    <t>ELD/139</t>
  </si>
  <si>
    <t>C_00329</t>
  </si>
  <si>
    <t>C_00330</t>
  </si>
  <si>
    <t>INV/24-25/40226</t>
  </si>
  <si>
    <t>C_00177</t>
  </si>
  <si>
    <t>INV-2024-0277</t>
  </si>
  <si>
    <t>INV2425/375864</t>
  </si>
  <si>
    <t>C_00505</t>
  </si>
  <si>
    <t>C_00082</t>
  </si>
  <si>
    <t>SYF/HO/2425/2579</t>
  </si>
  <si>
    <t>CS-CHE-25-260</t>
  </si>
  <si>
    <t>C_00194</t>
  </si>
  <si>
    <t>Aq/GD24-25/5265</t>
  </si>
  <si>
    <t>C_00195</t>
  </si>
  <si>
    <t>C_00572</t>
  </si>
  <si>
    <t>Aq/GD24-25/5311</t>
  </si>
  <si>
    <t>C_00579</t>
  </si>
  <si>
    <t>C_00532</t>
  </si>
  <si>
    <t>ELD/005</t>
  </si>
  <si>
    <t>C_00095</t>
  </si>
  <si>
    <t>2526/INV0025</t>
  </si>
  <si>
    <t>C_00540</t>
  </si>
  <si>
    <t>C_00347</t>
  </si>
  <si>
    <t>ELD/004</t>
  </si>
  <si>
    <t>C_00348</t>
  </si>
  <si>
    <t>C_00349</t>
  </si>
  <si>
    <t>C_00350</t>
  </si>
  <si>
    <t>C_00615</t>
  </si>
  <si>
    <t>C_00643</t>
  </si>
  <si>
    <t>C_00644</t>
  </si>
  <si>
    <t>C_00286</t>
  </si>
  <si>
    <t>C_00374</t>
  </si>
  <si>
    <t xml:space="preserve"> Communication</t>
  </si>
  <si>
    <t>C_00592</t>
  </si>
  <si>
    <t>C_00162</t>
  </si>
  <si>
    <t>Aq/GD/25-26/57</t>
  </si>
  <si>
    <t>C_00163</t>
  </si>
  <si>
    <t>C_00164</t>
  </si>
  <si>
    <t>C_00521</t>
  </si>
  <si>
    <t>C_00554</t>
  </si>
  <si>
    <t>C_00555</t>
  </si>
  <si>
    <t>C_00692</t>
  </si>
  <si>
    <t>INV2526/8355</t>
  </si>
  <si>
    <t>INV2526/11511</t>
  </si>
  <si>
    <t>C_00214</t>
  </si>
  <si>
    <t>ELD/012</t>
  </si>
  <si>
    <t>C_00359</t>
  </si>
  <si>
    <t>INV-000009</t>
  </si>
  <si>
    <t>C_00587</t>
  </si>
  <si>
    <t>C_00192</t>
  </si>
  <si>
    <t>C_00384</t>
  </si>
  <si>
    <t>C_00517</t>
  </si>
  <si>
    <t>2526/INV0087</t>
  </si>
  <si>
    <t>C_00152</t>
  </si>
  <si>
    <t>INV25TI02634</t>
  </si>
  <si>
    <t>C_00621</t>
  </si>
  <si>
    <t>INV25/04/035</t>
  </si>
  <si>
    <t>C_00516</t>
  </si>
  <si>
    <t>25-26/329333</t>
  </si>
  <si>
    <t>25-26/329349</t>
  </si>
  <si>
    <t>33/2025-26</t>
  </si>
  <si>
    <t>C_00275</t>
  </si>
  <si>
    <t>INV-006175</t>
  </si>
  <si>
    <t>TR/2025-26/665</t>
  </si>
  <si>
    <t>C_00261</t>
  </si>
  <si>
    <t># 000011193</t>
  </si>
  <si>
    <t>INV2526/30119</t>
  </si>
  <si>
    <t>54/2025-26</t>
  </si>
  <si>
    <t>INV2526/27094</t>
  </si>
  <si>
    <t>2526/INV0204</t>
  </si>
  <si>
    <t>2526/INV0203</t>
  </si>
  <si>
    <t>C_00229</t>
  </si>
  <si>
    <t>INV2526/30320</t>
  </si>
  <si>
    <t>2526/INV0231</t>
  </si>
  <si>
    <t>C_00137</t>
  </si>
  <si>
    <t>C_00063</t>
  </si>
  <si>
    <t>INV2526/38931</t>
  </si>
  <si>
    <t>C_00064</t>
  </si>
  <si>
    <t>C_00165</t>
  </si>
  <si>
    <t>INV#6296</t>
  </si>
  <si>
    <t>C_00257</t>
  </si>
  <si>
    <t>C_00677</t>
  </si>
  <si>
    <t>INV2526/38749</t>
  </si>
  <si>
    <t>C_00694</t>
  </si>
  <si>
    <t>C_00695</t>
  </si>
  <si>
    <t>C_00696</t>
  </si>
  <si>
    <t>C_00697</t>
  </si>
  <si>
    <t>C_00698</t>
  </si>
  <si>
    <t>C_00708</t>
  </si>
  <si>
    <t>C_00227</t>
  </si>
  <si>
    <t>ELD/014</t>
  </si>
  <si>
    <t>C_00018</t>
  </si>
  <si>
    <t>MRE/25-26/425</t>
  </si>
  <si>
    <t>C_00039</t>
  </si>
  <si>
    <t>ELD/011</t>
  </si>
  <si>
    <t>C_00219</t>
  </si>
  <si>
    <t>C_00037</t>
  </si>
  <si>
    <t>VI/2025-26/0140</t>
  </si>
  <si>
    <t>ELD/016</t>
  </si>
  <si>
    <t>C_00226</t>
  </si>
  <si>
    <t>C_00285</t>
  </si>
  <si>
    <t>INV-BLR-2526-027</t>
  </si>
  <si>
    <t>C_00645</t>
  </si>
  <si>
    <t>C_00518</t>
  </si>
  <si>
    <t>2526/INV0257</t>
  </si>
  <si>
    <t>C_00061</t>
  </si>
  <si>
    <t>80/2025-26</t>
  </si>
  <si>
    <t>2526/INV0287</t>
  </si>
  <si>
    <t>25-26/334296</t>
  </si>
  <si>
    <t>C_00026</t>
  </si>
  <si>
    <t>IRSPN25-26/I0283</t>
  </si>
  <si>
    <t>DZR/25/2735</t>
  </si>
  <si>
    <t>INV-000013</t>
  </si>
  <si>
    <t>C_00020</t>
  </si>
  <si>
    <t>83/2025-26</t>
  </si>
  <si>
    <t>C_00118</t>
  </si>
  <si>
    <t>INV-25260002992</t>
  </si>
  <si>
    <t>C_00262</t>
  </si>
  <si>
    <t>INV2526/49692</t>
  </si>
  <si>
    <t>C_00140</t>
  </si>
  <si>
    <t>2526/INV0327</t>
  </si>
  <si>
    <t>C_00139</t>
  </si>
  <si>
    <t>C_00373</t>
  </si>
  <si>
    <t>BOM5-537350</t>
  </si>
  <si>
    <t>INV-BLR-2526-033</t>
  </si>
  <si>
    <t>C_00595</t>
  </si>
  <si>
    <t>Aq/GD/25-26/448</t>
  </si>
  <si>
    <t>C_00127</t>
  </si>
  <si>
    <t>Aq/GD/25-26/447</t>
  </si>
  <si>
    <t>C_00128</t>
  </si>
  <si>
    <t>C_00279</t>
  </si>
  <si>
    <t>C_00280</t>
  </si>
  <si>
    <t>C_00281</t>
  </si>
  <si>
    <t>C_00282</t>
  </si>
  <si>
    <t>C_00366</t>
  </si>
  <si>
    <t>C_00520</t>
  </si>
  <si>
    <t>C_00577</t>
  </si>
  <si>
    <t>C_00578</t>
  </si>
  <si>
    <t>C_00040</t>
  </si>
  <si>
    <t>C_00053</t>
  </si>
  <si>
    <t>DKG/0804/25-26</t>
  </si>
  <si>
    <t>C_00481</t>
  </si>
  <si>
    <t>C_00486</t>
  </si>
  <si>
    <t>C_00538</t>
  </si>
  <si>
    <t>C_00017</t>
  </si>
  <si>
    <t>NI/2025/03</t>
  </si>
  <si>
    <t>C_00107</t>
  </si>
  <si>
    <t>IRSPN25-26/I0191</t>
  </si>
  <si>
    <t>C_00701</t>
  </si>
  <si>
    <t>2526/INV0403</t>
  </si>
  <si>
    <t>C_00103</t>
  </si>
  <si>
    <t>CQ-25-26-075</t>
  </si>
  <si>
    <t>C_00102</t>
  </si>
  <si>
    <t>C_00101</t>
  </si>
  <si>
    <t>C_00138</t>
  </si>
  <si>
    <t>C_00246</t>
  </si>
  <si>
    <t>INV2526/65348</t>
  </si>
  <si>
    <t>C_00700</t>
  </si>
  <si>
    <t>INV2526/65678</t>
  </si>
  <si>
    <t>C_00062</t>
  </si>
  <si>
    <t>108/2025-26</t>
  </si>
  <si>
    <t>C_00046</t>
  </si>
  <si>
    <t>C_00131</t>
  </si>
  <si>
    <t>Aq/GD/25-26/658</t>
  </si>
  <si>
    <t>INV2526/74308</t>
  </si>
  <si>
    <t>C_00001</t>
  </si>
  <si>
    <t>CS-CHE-25-689</t>
  </si>
  <si>
    <t>C_00706</t>
  </si>
  <si>
    <t>C_00166</t>
  </si>
  <si>
    <t>C_00600</t>
  </si>
  <si>
    <t>C_00574</t>
  </si>
  <si>
    <t>C_00035</t>
  </si>
  <si>
    <t>IN/2526/03814</t>
  </si>
  <si>
    <t>C_00134</t>
  </si>
  <si>
    <t>HYCINV-2526-0032</t>
  </si>
  <si>
    <t>C_00135</t>
  </si>
  <si>
    <t>C_00504</t>
  </si>
  <si>
    <t>INV-0000018</t>
  </si>
  <si>
    <t>C_00573</t>
  </si>
  <si>
    <t>C_00066</t>
  </si>
  <si>
    <t>C_00336</t>
  </si>
  <si>
    <t>ELD/029</t>
  </si>
  <si>
    <t>C_00337</t>
  </si>
  <si>
    <t>C_00234</t>
  </si>
  <si>
    <t>C_00251</t>
  </si>
  <si>
    <t>RRGST/0711/25-26</t>
  </si>
  <si>
    <t>C_00086</t>
  </si>
  <si>
    <t>TIF/25-26/15997</t>
  </si>
  <si>
    <t>C_00113</t>
  </si>
  <si>
    <t>DZR/25/4676</t>
  </si>
  <si>
    <t>C_00159</t>
  </si>
  <si>
    <t>C_00594</t>
  </si>
  <si>
    <t>C_00664</t>
  </si>
  <si>
    <t>C_00602</t>
  </si>
  <si>
    <t>IRSPN25-26/I0629</t>
  </si>
  <si>
    <t>C_00499</t>
  </si>
  <si>
    <t>2526/INV0549</t>
  </si>
  <si>
    <t>C_00500</t>
  </si>
  <si>
    <t>C_00332</t>
  </si>
  <si>
    <t>INV2526/84805</t>
  </si>
  <si>
    <t>C_00292</t>
  </si>
  <si>
    <t>DZR/25/4817</t>
  </si>
  <si>
    <t>C_00045</t>
  </si>
  <si>
    <t>C_00189</t>
  </si>
  <si>
    <t>C_00190</t>
  </si>
  <si>
    <t>C_00193</t>
  </si>
  <si>
    <t>C_00029</t>
  </si>
  <si>
    <t>INV/25-26/50040</t>
  </si>
  <si>
    <t>C_00161</t>
  </si>
  <si>
    <t>IRSPN25-26/I0704</t>
  </si>
  <si>
    <t>C_00153</t>
  </si>
  <si>
    <t>2526/INV0580</t>
  </si>
  <si>
    <t>C_00171</t>
  </si>
  <si>
    <t>2526/INV0579</t>
  </si>
  <si>
    <t>C_00289</t>
  </si>
  <si>
    <t>INV-000002</t>
  </si>
  <si>
    <t>CS-CHE-25-912</t>
  </si>
  <si>
    <t>C_00199</t>
  </si>
  <si>
    <t>2526/INV0609</t>
  </si>
  <si>
    <t>C_00124</t>
  </si>
  <si>
    <t>C_00575</t>
  </si>
  <si>
    <t>HYCINV-2526-0041</t>
  </si>
  <si>
    <t>C_00073</t>
  </si>
  <si>
    <t>721-1-03</t>
  </si>
  <si>
    <t>C_00004</t>
  </si>
  <si>
    <t>C_00006</t>
  </si>
  <si>
    <t>INV2526/93248</t>
  </si>
  <si>
    <t>C_00010</t>
  </si>
  <si>
    <t>C_00067</t>
  </si>
  <si>
    <t>C_00068</t>
  </si>
  <si>
    <t>C_00069</t>
  </si>
  <si>
    <t>C_00070</t>
  </si>
  <si>
    <t>C_00071</t>
  </si>
  <si>
    <t>C_00072</t>
  </si>
  <si>
    <t>CQ-25-26-116</t>
  </si>
  <si>
    <t>2526/INV0632</t>
  </si>
  <si>
    <t>IRSPN25-26/I0771</t>
  </si>
  <si>
    <t>C_00287</t>
  </si>
  <si>
    <t>C_00375</t>
  </si>
  <si>
    <t>C_00527</t>
  </si>
  <si>
    <t>C_00176</t>
  </si>
  <si>
    <t>INV-2025-0061</t>
  </si>
  <si>
    <t>C_00180</t>
  </si>
  <si>
    <t>C_00528</t>
  </si>
  <si>
    <t>C_00202</t>
  </si>
  <si>
    <t>INV-25260008902</t>
  </si>
  <si>
    <t>C_00265</t>
  </si>
  <si>
    <t>C_00498</t>
  </si>
  <si>
    <t>2526/INV0699</t>
  </si>
  <si>
    <t>C_00112</t>
  </si>
  <si>
    <t>DZR/25/5785</t>
  </si>
  <si>
    <t>C_00355</t>
  </si>
  <si>
    <t>INV2526/10325</t>
  </si>
  <si>
    <t>C_00376</t>
  </si>
  <si>
    <t>C_00482</t>
  </si>
  <si>
    <t>CS-CHE-25-1031</t>
  </si>
  <si>
    <t>C_00485</t>
  </si>
  <si>
    <t>C_00559</t>
  </si>
  <si>
    <t>C_00582</t>
  </si>
  <si>
    <t>C_00583</t>
  </si>
  <si>
    <t>C_00584</t>
  </si>
  <si>
    <t>C_00585</t>
  </si>
  <si>
    <t>C_00662</t>
  </si>
  <si>
    <t>C_00133</t>
  </si>
  <si>
    <t>C_00136</t>
  </si>
  <si>
    <t>C_00141</t>
  </si>
  <si>
    <t>C_00144</t>
  </si>
  <si>
    <t>C_00241</t>
  </si>
  <si>
    <t>C_00242</t>
  </si>
  <si>
    <t>C_00258</t>
  </si>
  <si>
    <t>C_00266</t>
  </si>
  <si>
    <t>C_00547</t>
  </si>
  <si>
    <t>IN/2526/05671</t>
  </si>
  <si>
    <t>C_00628</t>
  </si>
  <si>
    <t>C_00629</t>
  </si>
  <si>
    <t>C_00630</t>
  </si>
  <si>
    <t>C_00687</t>
  </si>
  <si>
    <t>INV-007073</t>
  </si>
  <si>
    <t>C_00130</t>
  </si>
  <si>
    <t>C_00351</t>
  </si>
  <si>
    <t>PPE-2526-073</t>
  </si>
  <si>
    <t>C_00483</t>
  </si>
  <si>
    <t>2526/INV0755</t>
  </si>
  <si>
    <t>C_00484</t>
  </si>
  <si>
    <t>C_00548</t>
  </si>
  <si>
    <t>INV/24-25/09700</t>
  </si>
  <si>
    <t>C_00145</t>
  </si>
  <si>
    <t>HYCINV-2526-0061</t>
  </si>
  <si>
    <t>C_00603</t>
  </si>
  <si>
    <t>C_00604</t>
  </si>
  <si>
    <t>C_00668</t>
  </si>
  <si>
    <t>INV2526/113984</t>
  </si>
  <si>
    <t>IN/2526/06111</t>
  </si>
  <si>
    <t>C_00239</t>
  </si>
  <si>
    <t>OR/2526/0016</t>
  </si>
  <si>
    <t>C_00428</t>
  </si>
  <si>
    <t>ZD/25-26/70</t>
  </si>
  <si>
    <t>ELD/048</t>
  </si>
  <si>
    <t>C_00225</t>
  </si>
  <si>
    <t>C_00363</t>
  </si>
  <si>
    <t>CS-CHE-25-1158</t>
  </si>
  <si>
    <t>C_00657</t>
  </si>
  <si>
    <t>C_00182</t>
  </si>
  <si>
    <t>INV-2025-0069</t>
  </si>
  <si>
    <t>C_00183</t>
  </si>
  <si>
    <t>C_00184</t>
  </si>
  <si>
    <t>ELD/049</t>
  </si>
  <si>
    <t>C_00084</t>
  </si>
  <si>
    <t>238/2025-26</t>
  </si>
  <si>
    <t>C_00110</t>
  </si>
  <si>
    <t>TSL/25-26/0471</t>
  </si>
  <si>
    <t>#105416-2025</t>
  </si>
  <si>
    <t>C_00659</t>
  </si>
  <si>
    <t>INV2526/00195</t>
  </si>
  <si>
    <t>C_00660</t>
  </si>
  <si>
    <t>C_00565</t>
  </si>
  <si>
    <t>INV/25-26/50051</t>
  </si>
  <si>
    <t>C_00186</t>
  </si>
  <si>
    <t>INV-2025-0070</t>
  </si>
  <si>
    <t xml:space="preserve">INV-BLR-2526-088 </t>
  </si>
  <si>
    <t>C_00530</t>
  </si>
  <si>
    <t>INV-0107</t>
  </si>
  <si>
    <t>C_00531</t>
  </si>
  <si>
    <t>INV-BLR-2526-087</t>
  </si>
  <si>
    <t>C_00168</t>
  </si>
  <si>
    <t>2526/INV0864</t>
  </si>
  <si>
    <t>C_00169</t>
  </si>
  <si>
    <t>C_00210</t>
  </si>
  <si>
    <t>INV-0106</t>
  </si>
  <si>
    <t>C_00211</t>
  </si>
  <si>
    <t>C_00212</t>
  </si>
  <si>
    <t>C_00213</t>
  </si>
  <si>
    <t>C_00613</t>
  </si>
  <si>
    <t>C_00342</t>
  </si>
  <si>
    <t>IN/2526/06468</t>
  </si>
  <si>
    <t>C_00496</t>
  </si>
  <si>
    <t>C_00612</t>
  </si>
  <si>
    <t>C_00526</t>
  </si>
  <si>
    <t>C_00217</t>
  </si>
  <si>
    <t>C_00156</t>
  </si>
  <si>
    <t>IN-2287</t>
  </si>
  <si>
    <t>C_00179/C_00180</t>
  </si>
  <si>
    <t>VI/2025-26/0454</t>
  </si>
  <si>
    <t>C_00032</t>
  </si>
  <si>
    <t>VI/2025-26/0461</t>
  </si>
  <si>
    <t>C_00259</t>
  </si>
  <si>
    <t>2526/INV0897</t>
  </si>
  <si>
    <t>C_00154</t>
  </si>
  <si>
    <t>2526/INV0884</t>
  </si>
  <si>
    <t>C_00119</t>
  </si>
  <si>
    <t>C_00382</t>
  </si>
  <si>
    <t>OE/25-26/0006224</t>
  </si>
  <si>
    <t>MAA4-1234039</t>
  </si>
  <si>
    <t>C_00051</t>
  </si>
  <si>
    <t>INV-0108</t>
  </si>
  <si>
    <t>C_00052</t>
  </si>
  <si>
    <t>C_00503</t>
  </si>
  <si>
    <t>INV2526/125537</t>
  </si>
  <si>
    <t>C_00047</t>
  </si>
  <si>
    <t>INV-0110</t>
  </si>
  <si>
    <t>C_00048</t>
  </si>
  <si>
    <t>C_00049</t>
  </si>
  <si>
    <t>C_00050</t>
  </si>
  <si>
    <t>C_00734</t>
  </si>
  <si>
    <t>VPDD-2543</t>
  </si>
  <si>
    <t>HYCINV-2526-0069</t>
  </si>
  <si>
    <t>C_00546</t>
  </si>
  <si>
    <t>INV2526/127310</t>
  </si>
  <si>
    <t>C_00304</t>
  </si>
  <si>
    <t>C_00167</t>
  </si>
  <si>
    <t>2526/INV0934</t>
  </si>
  <si>
    <t>C_00142</t>
  </si>
  <si>
    <t>C_00114</t>
  </si>
  <si>
    <t>INV-007348</t>
  </si>
  <si>
    <t>C_00079</t>
  </si>
  <si>
    <t>219/2025-26</t>
  </si>
  <si>
    <t>C_00083</t>
  </si>
  <si>
    <t>C_00060</t>
  </si>
  <si>
    <t>#106122-2025</t>
  </si>
  <si>
    <t>C_00041</t>
  </si>
  <si>
    <t>C_00011</t>
  </si>
  <si>
    <t>IN-1004</t>
  </si>
  <si>
    <t>C_00205</t>
  </si>
  <si>
    <t>C_00580</t>
  </si>
  <si>
    <t>CS-CHE-25-1340</t>
  </si>
  <si>
    <t>C_00581</t>
  </si>
  <si>
    <t>DZR/25/7356</t>
  </si>
  <si>
    <t>C_00209</t>
  </si>
  <si>
    <t>PPE-2526-092</t>
  </si>
  <si>
    <t>C_00203</t>
  </si>
  <si>
    <t>INV2526/137633</t>
  </si>
  <si>
    <t>C_00663</t>
  </si>
  <si>
    <t>2526/INV1029</t>
  </si>
  <si>
    <t>C_00476</t>
  </si>
  <si>
    <t>PS-2526-11510</t>
  </si>
  <si>
    <t>C_00271</t>
  </si>
  <si>
    <t>C_00272</t>
  </si>
  <si>
    <t>C_00155</t>
  </si>
  <si>
    <t>ELD/068</t>
  </si>
  <si>
    <t>C_00514</t>
  </si>
  <si>
    <t>PSI-2526-12343</t>
  </si>
  <si>
    <t>C_00033</t>
  </si>
  <si>
    <t>NI/2025/07</t>
  </si>
  <si>
    <t>Battery Conversion</t>
  </si>
  <si>
    <t>C_00230</t>
  </si>
  <si>
    <t>ELD/074</t>
  </si>
  <si>
    <t>C_00562</t>
  </si>
  <si>
    <t>OE/25-26/0007627</t>
  </si>
  <si>
    <t>C_00093</t>
  </si>
  <si>
    <t>IN-85534528</t>
  </si>
  <si>
    <t>C_00174</t>
  </si>
  <si>
    <t>C_00015</t>
  </si>
  <si>
    <t>C_00088</t>
  </si>
  <si>
    <t>C_00085</t>
  </si>
  <si>
    <t>274/2025-26</t>
  </si>
  <si>
    <t>C_00223 &amp;
 C_00221</t>
  </si>
  <si>
    <t>ELD073</t>
  </si>
  <si>
    <t>C_00733</t>
  </si>
  <si>
    <t>VPDD-3170</t>
  </si>
  <si>
    <t>INV-25260014727</t>
  </si>
  <si>
    <t>C_00172</t>
  </si>
  <si>
    <t>2508-072</t>
  </si>
  <si>
    <t>C_00722</t>
  </si>
  <si>
    <t>DZR/25/8973</t>
  </si>
  <si>
    <t>C_00682</t>
  </si>
  <si>
    <t>KS/25-26/369</t>
  </si>
  <si>
    <t>C_00735</t>
  </si>
  <si>
    <t>VPDD-3384</t>
  </si>
  <si>
    <t>C_00736</t>
  </si>
  <si>
    <t>INV2526/170139</t>
  </si>
  <si>
    <t>C_00731</t>
  </si>
  <si>
    <t>OE/25-26/0008393</t>
  </si>
  <si>
    <t>C_00727</t>
  </si>
  <si>
    <t>C_00732</t>
  </si>
  <si>
    <t>IN-1995</t>
  </si>
  <si>
    <t>C_00557</t>
  </si>
  <si>
    <t>INV2526/174081</t>
  </si>
  <si>
    <t>C_00730</t>
  </si>
  <si>
    <t>INV2526/176163</t>
  </si>
  <si>
    <t>ELD/082</t>
  </si>
  <si>
    <t>C_00725</t>
  </si>
  <si>
    <t>HYCINV-2526-0103</t>
  </si>
  <si>
    <t>C_00726</t>
  </si>
  <si>
    <t>C_00729</t>
  </si>
  <si>
    <t>INV2526/178263</t>
  </si>
  <si>
    <t>C_00728</t>
  </si>
  <si>
    <t>C_00724</t>
  </si>
  <si>
    <t>DZR/25/9847</t>
  </si>
  <si>
    <t>NT-INV-976</t>
  </si>
  <si>
    <t>C_00723</t>
  </si>
  <si>
    <t>NT-INV-979</t>
  </si>
  <si>
    <t>C_00721</t>
  </si>
  <si>
    <t>C_00720</t>
  </si>
  <si>
    <t>INV-F2L-420</t>
  </si>
  <si>
    <t>DZR/25/10809</t>
  </si>
  <si>
    <t>1250-1-03</t>
  </si>
  <si>
    <t>C_00740</t>
  </si>
  <si>
    <t>C_00741</t>
  </si>
  <si>
    <t>C_00742</t>
  </si>
  <si>
    <t>C_00748</t>
  </si>
  <si>
    <t>C_00749</t>
  </si>
  <si>
    <t>C_00750</t>
  </si>
  <si>
    <t>VI/2025-26/0782</t>
  </si>
  <si>
    <t>R6</t>
  </si>
  <si>
    <t>C_00751</t>
  </si>
  <si>
    <t>INV-25260022649</t>
  </si>
  <si>
    <t>TSL/25-26/0906</t>
  </si>
  <si>
    <t>DZR/25/12380</t>
  </si>
  <si>
    <t>C_00747</t>
  </si>
  <si>
    <t>C_00752</t>
  </si>
  <si>
    <t>OE/25-26/011281</t>
  </si>
  <si>
    <t>C_00753</t>
  </si>
  <si>
    <t>INV2526/223337</t>
  </si>
  <si>
    <t>C_00754</t>
  </si>
  <si>
    <t>INV2526/222217</t>
  </si>
  <si>
    <t>C_00755</t>
  </si>
  <si>
    <t>C_00756</t>
  </si>
  <si>
    <t>C_00757</t>
  </si>
  <si>
    <t>C_00758</t>
  </si>
  <si>
    <t>INV2526/226468</t>
  </si>
  <si>
    <t>C_00759</t>
  </si>
  <si>
    <t>GR202500636</t>
  </si>
  <si>
    <t>C_00315</t>
  </si>
  <si>
    <t>ELD/093</t>
  </si>
  <si>
    <t>C_00316</t>
  </si>
  <si>
    <t>C_00317</t>
  </si>
  <si>
    <t>C_00318</t>
  </si>
  <si>
    <t>C_00320</t>
  </si>
  <si>
    <t>C_00321</t>
  </si>
  <si>
    <t>C_00344</t>
  </si>
  <si>
    <t>DZR/25/12939</t>
  </si>
  <si>
    <t>C_00761</t>
  </si>
  <si>
    <t>408/2025-26</t>
  </si>
  <si>
    <t>C_00762</t>
  </si>
  <si>
    <t>INV25/09/105</t>
  </si>
  <si>
    <t>C_00770</t>
  </si>
  <si>
    <t>VI/2025-26/0836</t>
  </si>
  <si>
    <t>INV2526/235313</t>
  </si>
  <si>
    <t>C_00181</t>
  </si>
  <si>
    <t>C_00764</t>
  </si>
  <si>
    <t>IN/2526/13635</t>
  </si>
  <si>
    <t>C_00765</t>
  </si>
  <si>
    <t>C_00766</t>
  </si>
  <si>
    <t>C_00767</t>
  </si>
  <si>
    <t>C_00768</t>
  </si>
  <si>
    <t>C_00772</t>
  </si>
  <si>
    <t>C_00773</t>
  </si>
  <si>
    <t>C_00774</t>
  </si>
  <si>
    <t>C_00775</t>
  </si>
  <si>
    <t>C_00776</t>
  </si>
  <si>
    <t>C_00777</t>
  </si>
  <si>
    <t>INV2526/241914</t>
  </si>
  <si>
    <t>C_00778</t>
  </si>
  <si>
    <t>INV-25260025253</t>
  </si>
  <si>
    <t>C_00781</t>
  </si>
  <si>
    <t>NT-INV-1107</t>
  </si>
  <si>
    <t>Aq/LP/25-26/1249</t>
  </si>
  <si>
    <t>C_00782</t>
  </si>
  <si>
    <t>PPE-2526-0166</t>
  </si>
  <si>
    <t>C_00783</t>
  </si>
  <si>
    <t>C_00784</t>
  </si>
  <si>
    <t>C_00785</t>
  </si>
  <si>
    <t>C_00786</t>
  </si>
  <si>
    <t>C_00787</t>
  </si>
  <si>
    <t>C_00788</t>
  </si>
  <si>
    <t>C_00789</t>
  </si>
  <si>
    <t>C_00790</t>
  </si>
  <si>
    <t>C_00791</t>
  </si>
  <si>
    <t>C_00792</t>
  </si>
  <si>
    <t>C_00793</t>
  </si>
  <si>
    <t>C_00794</t>
  </si>
  <si>
    <t>C_00795</t>
  </si>
  <si>
    <t>C_00807</t>
  </si>
  <si>
    <t>HYCINV-2526-0150</t>
  </si>
  <si>
    <t>C_00808</t>
  </si>
  <si>
    <t>C_00796</t>
  </si>
  <si>
    <t>C_00797</t>
  </si>
  <si>
    <t>C_00798</t>
  </si>
  <si>
    <t>2526/INV1713</t>
  </si>
  <si>
    <t>C_00799</t>
  </si>
  <si>
    <t>C_00800</t>
  </si>
  <si>
    <t>C_00801</t>
  </si>
  <si>
    <t>C_00802</t>
  </si>
  <si>
    <t>C_00804</t>
  </si>
  <si>
    <t>C_00805</t>
  </si>
  <si>
    <t>451/2025-26</t>
  </si>
  <si>
    <t>C_00806</t>
  </si>
  <si>
    <t>25-26/357349</t>
  </si>
  <si>
    <t>ELD/107</t>
  </si>
  <si>
    <t>C_00803</t>
  </si>
  <si>
    <t>PPE-2526-0168</t>
  </si>
  <si>
    <t>C_00810</t>
  </si>
  <si>
    <t>C_00809</t>
  </si>
  <si>
    <t>C_00811</t>
  </si>
  <si>
    <t>C_00828</t>
  </si>
  <si>
    <t>C_00829</t>
  </si>
  <si>
    <t>2526/INV1794</t>
  </si>
  <si>
    <t>470/2025-26</t>
  </si>
  <si>
    <t>C_00812</t>
  </si>
  <si>
    <t>C_00813</t>
  </si>
  <si>
    <t>HYCINV-2526-0157</t>
  </si>
  <si>
    <t>HYCINV-2526-0156</t>
  </si>
  <si>
    <t>2526/INV1863</t>
  </si>
  <si>
    <t>HYCINV-2526-0155</t>
  </si>
  <si>
    <t>C_00815</t>
  </si>
  <si>
    <t>C_00816</t>
  </si>
  <si>
    <t>C_00819</t>
  </si>
  <si>
    <t>C_00820</t>
  </si>
  <si>
    <t>C_00821</t>
  </si>
  <si>
    <t>C_00822</t>
  </si>
  <si>
    <t>C_00823</t>
  </si>
  <si>
    <t>C_00824</t>
  </si>
  <si>
    <t>C_00825</t>
  </si>
  <si>
    <t>498/25-26</t>
  </si>
  <si>
    <t>C_00826</t>
  </si>
  <si>
    <t>M005/2025-2026</t>
  </si>
  <si>
    <t>INV2526/273961</t>
  </si>
  <si>
    <t>PPE-2526-180</t>
  </si>
  <si>
    <t>C_00827</t>
  </si>
  <si>
    <t>HYCINV-2526-0160</t>
  </si>
  <si>
    <t>2526/INV1937</t>
  </si>
  <si>
    <t>INV2526/277476</t>
  </si>
  <si>
    <t>C_00238</t>
  </si>
  <si>
    <t>PPE-2526-0189</t>
  </si>
  <si>
    <t>C_00830</t>
  </si>
  <si>
    <t>233-033</t>
  </si>
  <si>
    <t>C_00831</t>
  </si>
  <si>
    <t>C_00832</t>
  </si>
  <si>
    <t>C_00833</t>
  </si>
  <si>
    <t>INV25/11/016</t>
  </si>
  <si>
    <t>C_00838</t>
  </si>
  <si>
    <t>541/2025-26</t>
  </si>
  <si>
    <t>C_00834</t>
  </si>
  <si>
    <t>INV2526/291417</t>
  </si>
  <si>
    <t>556/2025-26</t>
  </si>
  <si>
    <t>ELD/149</t>
  </si>
  <si>
    <t>C_00836</t>
  </si>
  <si>
    <t>C_00846</t>
  </si>
  <si>
    <t>#ONLSCR18847</t>
  </si>
  <si>
    <t>Aq/LP/25-26/1666</t>
  </si>
  <si>
    <t>TSL/25-26/1083</t>
  </si>
  <si>
    <t>NT-INV-118</t>
  </si>
  <si>
    <t>C_00848</t>
  </si>
  <si>
    <t>ELD/160</t>
  </si>
  <si>
    <t>C_00847</t>
  </si>
  <si>
    <t>IRSPN25-26/I2713</t>
  </si>
  <si>
    <t>C_00125</t>
  </si>
  <si>
    <t>INV2526/322222</t>
  </si>
  <si>
    <t>R150102</t>
  </si>
  <si>
    <t>Bhumi 21 and Bhumi Horizontal Drone</t>
  </si>
  <si>
    <t>C_00126</t>
  </si>
  <si>
    <t>R150104</t>
  </si>
  <si>
    <t>C_00117</t>
  </si>
  <si>
    <t>used Bhumi Horizontal Drone</t>
  </si>
  <si>
    <t>C_00115</t>
  </si>
  <si>
    <t>INV2526/320392</t>
  </si>
  <si>
    <t>R154909</t>
  </si>
  <si>
    <t>640/2025-26</t>
  </si>
  <si>
    <t>2526/INV2304</t>
  </si>
  <si>
    <t>MJF-PA12</t>
  </si>
  <si>
    <t>DZR/25/17414</t>
  </si>
  <si>
    <t>RKI-2819</t>
  </si>
  <si>
    <t>BHUMI and Bhumi Horizontal Drone</t>
  </si>
  <si>
    <t>10 used in bhima drone</t>
  </si>
  <si>
    <t>GGN/25-26/638</t>
  </si>
  <si>
    <t>C_00111</t>
  </si>
  <si>
    <t>RKI-2844</t>
  </si>
  <si>
    <t>ELD/163</t>
  </si>
  <si>
    <t>C_00850</t>
  </si>
  <si>
    <t>HYCINV-2526-0193</t>
  </si>
  <si>
    <t>HYCJO- 250098</t>
  </si>
  <si>
    <t>C_00851</t>
  </si>
  <si>
    <t>INV25/12/038</t>
  </si>
  <si>
    <t>DZR/25/18393</t>
  </si>
  <si>
    <t>C_00852</t>
  </si>
  <si>
    <t>INV2526/337599</t>
  </si>
  <si>
    <t>R258265</t>
  </si>
  <si>
    <t>C_00855</t>
  </si>
  <si>
    <t>C_00856</t>
  </si>
  <si>
    <t>HYCINV-2526-0204</t>
  </si>
  <si>
    <t>C_00859</t>
  </si>
  <si>
    <t>INV25/12/2025</t>
  </si>
  <si>
    <t>2526/INV2411</t>
  </si>
  <si>
    <t>C_00858</t>
  </si>
  <si>
    <t>SRFS/25-26/1066</t>
  </si>
  <si>
    <t>C_00862</t>
  </si>
  <si>
    <t>PDRL/25-26/148</t>
  </si>
  <si>
    <t>C_00863</t>
  </si>
  <si>
    <t>HYCINV-2526-0210</t>
  </si>
  <si>
    <t>C_00864</t>
  </si>
  <si>
    <t>C_00865</t>
  </si>
  <si>
    <t>C_00763</t>
  </si>
  <si>
    <t>3FINV-826</t>
  </si>
  <si>
    <t>C_00872</t>
  </si>
  <si>
    <t>IN-21961</t>
  </si>
  <si>
    <t>C_00873</t>
  </si>
  <si>
    <t>25-26/368245</t>
  </si>
  <si>
    <t>ELD/189</t>
  </si>
  <si>
    <t>INV2526/372306</t>
  </si>
  <si>
    <t>Bhumi Horizontal drone</t>
  </si>
  <si>
    <t>VFCQ-6267</t>
  </si>
  <si>
    <t>C_00881</t>
  </si>
  <si>
    <t>C_00882</t>
  </si>
  <si>
    <t>INV2526/375463</t>
  </si>
  <si>
    <t>INV26/01/015</t>
  </si>
  <si>
    <t>C_00038</t>
  </si>
  <si>
    <t>C_00884</t>
  </si>
  <si>
    <t>SRFS/25-26/1135</t>
  </si>
  <si>
    <t>Re-work completed &amp; received on 21/02/2026</t>
  </si>
  <si>
    <t>C_00887</t>
  </si>
  <si>
    <t>HYCINV-25-26-0243</t>
  </si>
  <si>
    <t>HYCJO-250119</t>
  </si>
  <si>
    <t>C_00888</t>
  </si>
  <si>
    <t>C_00886</t>
  </si>
  <si>
    <t>C_00885</t>
  </si>
  <si>
    <t>C_00883</t>
  </si>
  <si>
    <t>INV-25260041476</t>
  </si>
  <si>
    <t>C_00889</t>
  </si>
  <si>
    <t>TR/2025-26/11042</t>
  </si>
  <si>
    <t>INV/26/01/045</t>
  </si>
  <si>
    <t>INV2526/386350</t>
  </si>
  <si>
    <t>NT-INV-1444</t>
  </si>
  <si>
    <t>C_00877</t>
  </si>
  <si>
    <t>C_00891</t>
  </si>
  <si>
    <t>DZR/25/21936</t>
  </si>
  <si>
    <t>C_00898</t>
  </si>
  <si>
    <t>INV/2526/400539</t>
  </si>
  <si>
    <t>C_00904</t>
  </si>
  <si>
    <t>INV-KTSGRU18792</t>
  </si>
  <si>
    <t>LGAR187</t>
  </si>
  <si>
    <t>R1</t>
  </si>
  <si>
    <t>C_00902</t>
  </si>
  <si>
    <t>TSL/25-26/1554</t>
  </si>
  <si>
    <t xml:space="preserve">HAHER20 </t>
  </si>
  <si>
    <t>C_00924</t>
  </si>
  <si>
    <t>PCB/PANEL</t>
  </si>
  <si>
    <t>25-26/372886</t>
  </si>
  <si>
    <t>INV-25260046235</t>
  </si>
  <si>
    <t>INV2526/415570</t>
  </si>
  <si>
    <t>INV2960</t>
  </si>
  <si>
    <t>C_00914</t>
  </si>
  <si>
    <t>#ONLSCR26026</t>
  </si>
  <si>
    <t>HSM325BN</t>
  </si>
  <si>
    <t>C_00915</t>
  </si>
  <si>
    <t>C_00911</t>
  </si>
  <si>
    <t>MATEKSYS-UBEC-DUO-8807</t>
  </si>
  <si>
    <t>IN-2809</t>
  </si>
  <si>
    <t>C_00916</t>
  </si>
  <si>
    <t>MAA4-13762</t>
  </si>
  <si>
    <t>PPE-2526-0279</t>
  </si>
  <si>
    <t>INV2526/425356</t>
  </si>
  <si>
    <t>OE-25-26/020738</t>
  </si>
  <si>
    <t>315/25-26</t>
  </si>
  <si>
    <t>Assembly area</t>
  </si>
  <si>
    <t>INV2526/439433</t>
  </si>
  <si>
    <t>C_00923</t>
  </si>
  <si>
    <t>TR/2025-2026/13128</t>
  </si>
  <si>
    <t>inventory used for door access machine</t>
  </si>
  <si>
    <t>MaDelT/25-26/280</t>
  </si>
  <si>
    <t>MTS/GGN/25-26-083</t>
  </si>
  <si>
    <t>INV2526/472429</t>
  </si>
  <si>
    <t>C_00857</t>
  </si>
  <si>
    <t>Cash bill - 1,050</t>
  </si>
  <si>
    <t>CASH PAYMENT</t>
  </si>
  <si>
    <t>ELD/255</t>
  </si>
  <si>
    <t>2526/INV3557</t>
  </si>
  <si>
    <t>Astra</t>
  </si>
  <si>
    <t>C_00876</t>
  </si>
  <si>
    <t>NT-INV-1663</t>
  </si>
  <si>
    <t>A0</t>
  </si>
  <si>
    <t>C_00890</t>
  </si>
  <si>
    <t>C_00925</t>
  </si>
  <si>
    <t>Aq/LP/25-26/3417</t>
  </si>
  <si>
    <t>Pivot Arm</t>
  </si>
  <si>
    <t xml:space="preserve">Sample </t>
  </si>
  <si>
    <t>Static Arm</t>
  </si>
  <si>
    <t>3MM Dia Centre Shaft</t>
  </si>
  <si>
    <t>Centre Screw M2X10</t>
  </si>
  <si>
    <t>Pivot Shaft</t>
  </si>
  <si>
    <t>Spring Shaft</t>
  </si>
  <si>
    <t>C_00928</t>
  </si>
  <si>
    <t>GenX 45.6V 12S 16000mah 25C / 40C Premium Lithium Polymer HV Battery</t>
  </si>
  <si>
    <t>C_00929</t>
  </si>
  <si>
    <t>22uF 25V Multi Layered Ceramic Capacitor (MLCC) - SMD 0805 - CL21A226MAQNNNE</t>
  </si>
  <si>
    <t>R56</t>
  </si>
  <si>
    <t>dj</t>
  </si>
  <si>
    <t>C_00930</t>
  </si>
  <si>
    <t>RV05-4 ESD Protection Array Diode – SOT-23 6L</t>
  </si>
  <si>
    <t>5x3x1.5 ft Angle Rack Layer Limit 80kg</t>
  </si>
  <si>
    <t>2 rack inv used and balance 1 rack battery room</t>
  </si>
  <si>
    <t>C_00962</t>
  </si>
  <si>
    <t>Red Led - SMD (0603 package)</t>
  </si>
  <si>
    <t>Astra - X</t>
  </si>
  <si>
    <t>Evelta Electronics Pvt Ltd</t>
  </si>
  <si>
    <t>INV-001005</t>
  </si>
  <si>
    <t>C_00963</t>
  </si>
  <si>
    <t>SMAJ26A</t>
  </si>
  <si>
    <t>C_00934</t>
  </si>
  <si>
    <t>CC0603JPX7R9BB104-YAGEO-Cap Ceramic 0.1uF 50V X7R 5% Pad SMD 0603 125°C T/R</t>
  </si>
  <si>
    <t>C_00935</t>
  </si>
  <si>
    <t>CL10A105KB8NNNC-SAMSUNG ELECTRO-MECHANICS-SMD Multilayer Ceramic Capacitor, 1 µF, 50 V, 0603 [1608 Metric], ± 10%, X5R, CL</t>
  </si>
  <si>
    <t>C_00936</t>
  </si>
  <si>
    <t>C0603C272K5RACTU-KEMET-SMD Multilayer Ceramic Capacitor, 2700 pF, 50 V, 0603 [1608 Metric], ± 10%, X7R, C Series KEMET</t>
  </si>
  <si>
    <t>C_00937</t>
  </si>
  <si>
    <t>RC0603JR-07330RL, Yageo, SMD Chip Resistor, 330 ohm, ± 5%, 125 mW, 0603 [1608 Metric], Thick Film, General Purpose</t>
  </si>
  <si>
    <t>C_00938</t>
  </si>
  <si>
    <t>RT0603BRD0720KL-YAGEO-Res Thin Film 0603 20K Ohm 0.1% 0.1W(1/10W) ±25ppm/°C Pad SMD T/R</t>
  </si>
  <si>
    <t>C_00939</t>
  </si>
  <si>
    <t>AC0603FR-0715K8L-YAGEO-Res Thick Film 0603 15.8K Ohm 1% 0.1W(1/10W) ±100ppm/°C Pad SMD T/R Automotive AEC-Q200 Availability: In stock</t>
  </si>
  <si>
    <t>C_00940</t>
  </si>
  <si>
    <t>RT0603BRD07200KL-YAGEO-Res Thin Film 0603 200K Ohm 0.1% 0.1W(1/10W) ±25ppm/°C Pad SMD T/R</t>
  </si>
  <si>
    <t>C_00941</t>
  </si>
  <si>
    <t>4.7k Ohm 1/4W 0603 Surface Mount Chip Resistor</t>
  </si>
  <si>
    <t>C_00942</t>
  </si>
  <si>
    <t xml:space="preserve">  RC0805FR-0775KL-YAGEO-Res Thick Film 0805 75K Ohm 1% 0.125W(1/8W) ±100ppm/°C Pad SMD T/R</t>
  </si>
  <si>
    <t>RC0805FR-0775KL-YAGEO-Res Thick Film 0805 75K Ohm 1% 0.125W(1/8W) ±100ppm/°C Pad SMD T/R</t>
  </si>
  <si>
    <t>C_00943</t>
  </si>
  <si>
    <t>AC1206FR-0749R9L-YAGEO-Res Thick Film 1206 49.9 Ohm 1% 0.25W(1/4W) ±100ppm/°C Pad SMD T/R Automotive AEC-Q200</t>
  </si>
  <si>
    <t>C_00944</t>
  </si>
  <si>
    <t>Dopo Drone</t>
  </si>
  <si>
    <t>TN-UAV</t>
  </si>
  <si>
    <t>Neosky India Limited</t>
  </si>
  <si>
    <t>NIL/KA/2526/066</t>
  </si>
  <si>
    <t>C_00945</t>
  </si>
  <si>
    <t>Agricultural Drone</t>
  </si>
  <si>
    <t>NIL/KA/25-26/063</t>
  </si>
  <si>
    <t>NIL/KA/25-26/068</t>
  </si>
  <si>
    <t>C_00946</t>
  </si>
  <si>
    <t>Flysky FS-i6 6CH 2.4GHz AFHDS RC Transmitter w/FS-iA6B Receiver for RC Multirotor Helicopter Airplane Glider Quadcopter (Model_2)</t>
  </si>
  <si>
    <t>NIL/KA/25-26/067</t>
  </si>
  <si>
    <t>C_00947</t>
  </si>
  <si>
    <t>Power Module Pix APM</t>
  </si>
  <si>
    <t>C_00948</t>
  </si>
  <si>
    <t>A2212 1000 KV BLDC Brushless DC Motor for Drone (Soldered Connector)</t>
  </si>
  <si>
    <t>C_00949</t>
  </si>
  <si>
    <t>Repair &amp; Maintanace kit</t>
  </si>
  <si>
    <t>C_00950</t>
  </si>
  <si>
    <t>GPS Stand Folding</t>
  </si>
  <si>
    <t>C_00951</t>
  </si>
  <si>
    <t>PDB-XT60 with BEC 5V and 12V</t>
  </si>
  <si>
    <t>C_00952</t>
  </si>
  <si>
    <t>SkyRC T200 2×100W Dual Channel LiPo / LiFe / LiIon / NiMH / NiCd / Pb Balance Charger</t>
  </si>
  <si>
    <t>C_00953</t>
  </si>
  <si>
    <t>Thrust RIG Machine</t>
  </si>
  <si>
    <t>C_00954</t>
  </si>
  <si>
    <t>3D Printer</t>
  </si>
  <si>
    <t>Electric mat</t>
  </si>
  <si>
    <t>023/26-27</t>
  </si>
  <si>
    <t>12.0000mtr</t>
  </si>
  <si>
    <t>C_00955</t>
  </si>
  <si>
    <t>10uF 50V Multi Layered Ceramic Capacitor (MLCC) - X5R - SMD 0805 - Yageo CC0805KKX5R9BB106</t>
  </si>
  <si>
    <t>Krishna Smart Technology</t>
  </si>
  <si>
    <t>C_00957</t>
  </si>
  <si>
    <t>ESD9B5.0ST5G</t>
  </si>
  <si>
    <t>C_00958</t>
  </si>
  <si>
    <t>PM5449.332NLT</t>
  </si>
  <si>
    <t>C_00959</t>
  </si>
  <si>
    <t>AP64500SP-13</t>
  </si>
  <si>
    <t>C_00960</t>
  </si>
  <si>
    <t>TL3302BF180QG/TR</t>
  </si>
  <si>
    <t>C_00961</t>
  </si>
  <si>
    <t>RC0603FR-1024KL</t>
  </si>
  <si>
    <t>2627/INV0136</t>
  </si>
  <si>
    <t>Astra-x</t>
  </si>
  <si>
    <t>INV2627/19847</t>
  </si>
  <si>
    <t>C_00956</t>
  </si>
  <si>
    <t>BM04B-GHS-TBT(LF)(SN)-JST-1x4P 4P GH Tin 4 -25℃~+85℃ 1A 1 1.25mm Phosphor Bronze Standing paste SMD,P=1.25mm Wire To Board Connector ROHS</t>
  </si>
  <si>
    <t>C_00625</t>
  </si>
  <si>
    <t>T-Motor Antigravity MN5008 340KV</t>
  </si>
  <si>
    <t>INV26/04/028</t>
  </si>
  <si>
    <t>1-Bhumi Non Tc - 09, 1-Bhumi Non TC-01</t>
  </si>
  <si>
    <t>1-Bhumi Non Tc-09, 1-Bhumi Non Tc-01</t>
  </si>
  <si>
    <t>1-Bhumi Non Tc-01</t>
  </si>
  <si>
    <t xml:space="preserve">Bhima   </t>
  </si>
  <si>
    <t>4 used Bhumi, 1-Bhumi Horizontal Drone</t>
  </si>
  <si>
    <t>1-Bhumi Non Tc-09, 1-Bhumi Non Tc-01, 1-Bhumi Non Tc-13</t>
  </si>
  <si>
    <t>1-Bhumi Non Tc-09, 1-Bhumi Non Tc-13</t>
  </si>
  <si>
    <t>1-Bhumi Non Tc-13, 1-Bhumi Non Tc-07</t>
  </si>
  <si>
    <t>1-Bhumi Non Tc-07, 1-Bhumi Horizontal Drone</t>
  </si>
  <si>
    <t>1-Bhumi Non Tc-13, 1-Bhumi Non Tc-07, 1-Bhumi Non Tc-17</t>
  </si>
  <si>
    <t>1-Bhumi Non Tc-17</t>
  </si>
  <si>
    <t>1-Bhumi Non Tc-09, 1-Bhumi Non Tc-01, 1-Bhumi Non Tc-13, 1-Bhumi Non Tc-07, 1-Bhumi Non Tc-17</t>
  </si>
  <si>
    <t>1-Bhumi Non Tc-09, 1-Bhumi Non Tc-01, 1-Bhumi Non Tc-07, 1-Bhumi Non Tc-17</t>
  </si>
  <si>
    <t>8-Bhumi Non Tc-17</t>
  </si>
  <si>
    <t>3-Bhumi 5L Vertical Sprayer</t>
  </si>
  <si>
    <t>1-Bhumi 5L Vertical Sprayer</t>
  </si>
  <si>
    <t>1-Bhumi Non Tc-13, 2-Bhumi 5L Vertical Sprayer</t>
  </si>
  <si>
    <t>1-Bhumi Non Tc-09, 1-Bhumi 5L Vertical Sprayer</t>
  </si>
  <si>
    <t>4-Bhumi 5L Vertical Sprayer</t>
  </si>
  <si>
    <t>1-Bhumi Non Tc-11, 1-Bhumi 5L Vertical Sprayer</t>
  </si>
  <si>
    <t>1- Bhumi 5L Vertical Sprayer</t>
  </si>
  <si>
    <t>1-Bhumi 5L Horrizontal Sprayer</t>
  </si>
  <si>
    <t>1-Bhumi 5L Horrizonatal Sprayer</t>
  </si>
  <si>
    <t>4-Bhumi 5L Horrizonatal Sprayer</t>
  </si>
  <si>
    <t>1-Bhumi 5L Vertical Sprayer, 1-Bhumi 5L Horrizontal Sprayer</t>
  </si>
  <si>
    <t>1-Bhumi 5L Vertical Sprayer, 1-Bomb Dropper</t>
  </si>
  <si>
    <t>4-Bhumi 5L Horrizontal Sprayer</t>
  </si>
  <si>
    <r>
      <t xml:space="preserve">1-Bhumi 5L Vertical Sprayer,1- Bhumo 5L Horrizontal Sprayer </t>
    </r>
    <r>
      <rPr>
        <sz val="11"/>
        <color rgb="FFFF0000"/>
        <rFont val="Outfit"/>
      </rPr>
      <t>balance scrap</t>
    </r>
  </si>
  <si>
    <t>1-Bhumi 5L Horriontal Sprayer</t>
  </si>
  <si>
    <t xml:space="preserve">2-Bhumi 5L Horrizontal </t>
  </si>
  <si>
    <t>C_00927</t>
  </si>
  <si>
    <t>SS Compression Spring</t>
  </si>
  <si>
    <t>Precision Springs</t>
  </si>
  <si>
    <t>PS1398</t>
  </si>
  <si>
    <t>astra box</t>
  </si>
  <si>
    <t>INV2627/12097</t>
  </si>
  <si>
    <t>HAHER-02, Astra-x</t>
  </si>
  <si>
    <t>HAHER20, Astra-x</t>
  </si>
  <si>
    <t>HAHER, Bhima, Bhumi</t>
  </si>
  <si>
    <t>Haher20,Vajra</t>
  </si>
  <si>
    <t>Haher</t>
  </si>
  <si>
    <t>vajra, Astra-x</t>
  </si>
  <si>
    <t>FPV, Haher20, Flight test box</t>
  </si>
  <si>
    <t>Vajra, Haher20</t>
  </si>
  <si>
    <t>2-Bhumi 5L Vertical Sprayer,4- Bhumi 22 Horizontal Sprayer</t>
  </si>
  <si>
    <t>blue bin</t>
  </si>
  <si>
    <t>R20</t>
  </si>
  <si>
    <t>Slightly damaged but use in internal use</t>
  </si>
  <si>
    <t>Bhima IITR (IIT Roorkee), TNAU, Coimbatore</t>
  </si>
  <si>
    <t xml:space="preserve">vajra </t>
  </si>
  <si>
    <t>In Use - in inv 12nos</t>
  </si>
  <si>
    <t>Vyoma Orange, Bhima, Agri</t>
  </si>
  <si>
    <t xml:space="preserve">used in inv door </t>
  </si>
  <si>
    <t>FPV, Vajra, Astra-x</t>
  </si>
  <si>
    <t>1-Bhumi Non Tc-09, 1-Bhumi Non Tc-01, 1-Bhumi Non Tc-13, 1-Bhumi Non Tc-07, 1-Bhumi Non Tc-17, Bhumi 22 Horizontal drone</t>
  </si>
  <si>
    <t>Bhumi 22 Horizontal drone</t>
  </si>
  <si>
    <t>1-Bhumi Non Tc - 09, 1-Bhumi Non TC-01, 1-Bhumi Non Tc-13,1-Bhumi Non Tc-07, 1-Bhumi 22 Horizontal drone</t>
  </si>
  <si>
    <t>1-Bhumi Non Tc - 09, 1-Bhumi Non TC-01, 1-Bhumi Non Tc-13,1-Bhumi Non Tc-07, 1-Bhumi Non Tc-17, Bhumi 22 Horizontal drone</t>
  </si>
  <si>
    <t>2-Bhumi Non Tc-09, 2-Bhumi Non Tc-01, 2-Bhumi Non Tc-13, Bhumi Non Tc-07, Bhumi Non Tc-17,1-Bhumi 5L Vertical Sprayer, 1-Bhumi 5L Horrizontal Sprayer, Astra-x, Bhumi Horizontal drone</t>
  </si>
  <si>
    <t>1-Bhumi 5L Vertical Sprayer,1-Bhumi 5L Horrizontal Sprayer, Bhumi 22 Horizontal Sprayer</t>
  </si>
  <si>
    <t>1-Bhumi 5L Vertical Sprayer, 1-Bhumi 22 Horrizontal drone</t>
  </si>
  <si>
    <t>1- Bhumi Non Tc-09, 1-Bhumi Non Tc-13, 1-Bhumi Non TC-07, 1-Bhumi Horizontal Drone, Bhumi 22 Horoizontal drone</t>
  </si>
  <si>
    <t>used, 2-Bhumi 5L Horrizontal Sprayer, Bhumi 22 Horizontal drone</t>
  </si>
  <si>
    <t>1- Bhumi Non Tc-09,1-Bhumi Non Tc-01, 1-Bhumi Non Tc-13, 1-Bhumi Non TC-07,  1-Bhumi Non Tc-17, 1-Bhumi Horizontal Drone, Bhumi 22 Horizontal drone</t>
  </si>
  <si>
    <t>In Use, bhumi 22 horizontal drone</t>
  </si>
  <si>
    <t>1-Bhumi Non Tc -09, 1-Bhumi Non Tc-01, 1-Bhumi Non Tc-13, 1-Bhumi Non Tc-07, Bhumi 22 horizontal drone</t>
  </si>
  <si>
    <t>Bhumi and Bhumi 22 Horizontal Drone</t>
  </si>
  <si>
    <t>bhumi 22 horizontal drone</t>
  </si>
  <si>
    <t>Bhumi used and Bhumi 22 Horizontal Drone</t>
  </si>
  <si>
    <t>Used IIT Roorkee and Bhumi Horizontal Drone, bhumi 22 horizontal drone</t>
  </si>
  <si>
    <t>2-Used IIT Roorkee, 1- bhumi horizontal drone, 1- Bhumi 22 Horizontal drone</t>
  </si>
  <si>
    <t>used, 1-Bhumi Non Tc-13, 1-Bhumi 22 Horizontal drone</t>
  </si>
  <si>
    <t>Bhumi 11,21,3,17, bhumi horizontal drone,  Bhumi 22 Horizontal drone</t>
  </si>
  <si>
    <t>1-Bhumi Non Tc-09, 1-Bhumi Non Tc-01, 1-Bhumi Non Tc-13, 1-Bhumi Non Tc-07, bhumi 22 horizontal drone</t>
  </si>
  <si>
    <t>Thiruvarur, bhumi 22 horizontal drone</t>
  </si>
  <si>
    <t>bhumi, 6-Bhumi Non Tc-17</t>
  </si>
  <si>
    <t>3-bhumi horizontal, 3-Bhumi 22 Horizontal drone</t>
  </si>
  <si>
    <t>MicaSense RedEdge-P multispectral Sensor PR03-2117430-MS, DA05-2210099-WC</t>
  </si>
  <si>
    <t>Maverick Drones And Technologies Private Limited</t>
  </si>
  <si>
    <t>Mav/G-001/26-27</t>
  </si>
  <si>
    <t>Quick Attach-Detach Propeller Adapter Q1824</t>
  </si>
  <si>
    <t>C_00964</t>
  </si>
  <si>
    <t>Carry Case Astra-x 770x720x600</t>
  </si>
  <si>
    <t>C_00965</t>
  </si>
  <si>
    <t>Skydroid G20 2.4GHz to 5.8GHz Remote Controller with GR01 Receiver for 30KM Long Distance</t>
  </si>
  <si>
    <t>C_00966</t>
  </si>
  <si>
    <t>Bottom Foam - 5008</t>
  </si>
  <si>
    <t>C_00967</t>
  </si>
  <si>
    <t>Top Foam - 5008</t>
  </si>
  <si>
    <t>C_00968</t>
  </si>
  <si>
    <t>16mm Folding Arm Mechanism</t>
  </si>
  <si>
    <t>C_00970</t>
  </si>
  <si>
    <t>25mm Folding Arm Mechanism</t>
  </si>
  <si>
    <t>IN/2627/01971</t>
  </si>
  <si>
    <t>NT-INV-1799</t>
  </si>
  <si>
    <t>PPE-2627-018</t>
  </si>
  <si>
    <t>SV Engineering Works</t>
  </si>
  <si>
    <t xml:space="preserve">using </t>
  </si>
  <si>
    <t>Madhya pradesh (astra-x)USED</t>
  </si>
  <si>
    <t>R57</t>
  </si>
  <si>
    <t>thiruvarur, bhumi 22 horizontal drone(Ponnaiyah), astra-x(TNAU)</t>
  </si>
  <si>
    <t>block c</t>
  </si>
  <si>
    <t>1-bhumi,1-Bhumi Non Tc-13</t>
  </si>
  <si>
    <t>Bhumi 5L</t>
  </si>
  <si>
    <t>1-Bhumi Non Tc-09, 1-Bhumi Non Tc-01, 1-Bhumi Non Tc-13, 1-Bhumi Non Tc-07, 2-Bhumi 5L</t>
  </si>
  <si>
    <t>1 Used,1-Bhumi Non Tc-13, 1-Bhumi 5L</t>
  </si>
  <si>
    <t>N200M VIO Navigation Module</t>
  </si>
  <si>
    <t>761-M0614-4-AL</t>
  </si>
  <si>
    <t>Right hand Thread Motor Adapter</t>
  </si>
  <si>
    <t>Left hand Thread Motor Adapter</t>
  </si>
  <si>
    <t>Micro-hard Enclosure</t>
  </si>
  <si>
    <t>NT-INV-1867</t>
  </si>
  <si>
    <t>Mouser Electronics</t>
  </si>
  <si>
    <t>SVEW/028</t>
  </si>
  <si>
    <t>2627/INV0534</t>
  </si>
  <si>
    <t>TMGA Global Enterprise</t>
  </si>
  <si>
    <t>TA001/26-27</t>
  </si>
  <si>
    <t>R43</t>
  </si>
  <si>
    <t>Dev Bhoomi</t>
  </si>
  <si>
    <t>INV-052026002</t>
  </si>
  <si>
    <t>TNAU</t>
  </si>
  <si>
    <t>16x14x1000mm Carbon Fiber Circular Tube</t>
  </si>
  <si>
    <t>16x14x200mm Carbon Fiber Square Tube</t>
  </si>
  <si>
    <t>Vajra, TNAU</t>
  </si>
  <si>
    <t>JHANSI</t>
  </si>
  <si>
    <t>C_00477</t>
  </si>
  <si>
    <t>Sedaxis Advanced Materials Pvt Ltd</t>
  </si>
  <si>
    <t>3DP/0183/26-27</t>
  </si>
  <si>
    <t>81/2026-27</t>
  </si>
  <si>
    <t>Matek Mini Power Hub Power Distribution Board with BEC 5V &amp; 12V</t>
  </si>
  <si>
    <t xml:space="preserve">	Battery Plate - 2mm</t>
  </si>
  <si>
    <t>PMDDL4000 3.-5.2 GHZ MIMO DIGITAL DATA LINK</t>
  </si>
  <si>
    <t>C_00976</t>
  </si>
  <si>
    <t>C_00907</t>
  </si>
  <si>
    <t>IRSPN26-27/I0669</t>
  </si>
  <si>
    <t>IN/2627/05058</t>
  </si>
  <si>
    <t>ALIND</t>
  </si>
  <si>
    <t>R59</t>
  </si>
  <si>
    <t>ELD/024</t>
  </si>
  <si>
    <t>C_00977</t>
  </si>
  <si>
    <t>C_00971</t>
  </si>
  <si>
    <t>C_00933</t>
  </si>
  <si>
    <t>C_00969</t>
  </si>
  <si>
    <t>C_00972</t>
  </si>
  <si>
    <t>C_00973</t>
  </si>
  <si>
    <t>C_00974</t>
  </si>
  <si>
    <t>C_00975</t>
  </si>
  <si>
    <t xml:space="preserve">	C_01008</t>
  </si>
  <si>
    <t>C_00988</t>
  </si>
  <si>
    <t>C_00989</t>
  </si>
  <si>
    <t>C_00978</t>
  </si>
  <si>
    <t>C_00979</t>
  </si>
  <si>
    <t>C_00980</t>
  </si>
  <si>
    <t>C_00981</t>
  </si>
  <si>
    <t>C_00982</t>
  </si>
  <si>
    <t>C_00983</t>
  </si>
  <si>
    <t>C_00984</t>
  </si>
  <si>
    <t>C_01002</t>
  </si>
  <si>
    <t>C_00985</t>
  </si>
  <si>
    <t>C_00986</t>
  </si>
  <si>
    <t>C_00991</t>
  </si>
  <si>
    <t>C_00992</t>
  </si>
  <si>
    <t>C_00993</t>
  </si>
  <si>
    <t>C_00994</t>
  </si>
  <si>
    <t>C_00995</t>
  </si>
  <si>
    <t>C_00996</t>
  </si>
  <si>
    <t>C_00997</t>
  </si>
  <si>
    <t>C_00998</t>
  </si>
  <si>
    <t>C_00999</t>
  </si>
  <si>
    <t>C_01000</t>
  </si>
  <si>
    <t>C_01001</t>
  </si>
  <si>
    <t>C_00990</t>
  </si>
  <si>
    <t>C_00780</t>
  </si>
  <si>
    <t>C_00395</t>
  </si>
  <si>
    <t>C_00394</t>
  </si>
  <si>
    <t>C_00407</t>
  </si>
  <si>
    <t>C_00409</t>
  </si>
  <si>
    <t>C_00418</t>
  </si>
  <si>
    <t>C_00431</t>
  </si>
  <si>
    <t>C_00430</t>
  </si>
  <si>
    <t>C_00432</t>
  </si>
  <si>
    <t>C_00433</t>
  </si>
  <si>
    <t>C_00435</t>
  </si>
  <si>
    <t>C_00436</t>
  </si>
  <si>
    <t>C_00437</t>
  </si>
  <si>
    <t>C_00439</t>
  </si>
  <si>
    <t>C_00760</t>
  </si>
  <si>
    <t>C_00440</t>
  </si>
  <si>
    <t>C_00443</t>
  </si>
  <si>
    <t>C_00445</t>
  </si>
  <si>
    <t>C_01003</t>
  </si>
  <si>
    <t>C_01005</t>
  </si>
  <si>
    <t>C_01004</t>
  </si>
  <si>
    <t>C_01006</t>
  </si>
  <si>
    <t>C_01007</t>
  </si>
  <si>
    <t>C_00987</t>
  </si>
  <si>
    <t>C_00319</t>
  </si>
  <si>
    <t>C_00323</t>
  </si>
  <si>
    <t>C_00322</t>
  </si>
  <si>
    <t>C_00314</t>
  </si>
  <si>
    <t>PMRPO Ethernet Motherboard</t>
  </si>
  <si>
    <t>Extended Pico OEM Socket</t>
  </si>
  <si>
    <t>V9-AG-S Controller Module</t>
  </si>
  <si>
    <t>VRT24-W1 OA Sensor</t>
  </si>
  <si>
    <t>D4-H POSITION MODULE</t>
  </si>
  <si>
    <t>D2-B Position Device</t>
  </si>
  <si>
    <t>V10-PRO (Controller Module)</t>
  </si>
  <si>
    <t>Canhub Module</t>
  </si>
  <si>
    <t>R2-T900 Datalink</t>
  </si>
  <si>
    <t>UAVH30-1M Terrain Sensor</t>
  </si>
  <si>
    <t>R4D-F OA Sensor</t>
  </si>
  <si>
    <t>15X13X1000mm CF Tube</t>
  </si>
  <si>
    <t>A06SUR06SUR32W152B</t>
  </si>
  <si>
    <t>Resistence Band</t>
  </si>
  <si>
    <t>Trolley Wheel</t>
  </si>
  <si>
    <t>Bottom Plate 26" 2mm thk</t>
  </si>
  <si>
    <t>Fixed Arm Part 26"</t>
  </si>
  <si>
    <t xml:space="preserve">	Motor Arm 26"</t>
  </si>
  <si>
    <t>Motor Arm 30"</t>
  </si>
  <si>
    <t>Motor Support Plate MN7005</t>
  </si>
  <si>
    <t>Motor Support Plate U8 Lite</t>
  </si>
  <si>
    <t>Top Plate 26" 2mm thk</t>
  </si>
  <si>
    <t>Bottom Plate 18" 2mm thk</t>
  </si>
  <si>
    <t>Fixed Arm Part 18"</t>
  </si>
  <si>
    <t>Motor Arm 18"</t>
  </si>
  <si>
    <t>Top Plate 18" 2mm thk</t>
  </si>
  <si>
    <t>SKYdroid C12</t>
  </si>
  <si>
    <t>M1.6 SS 304 Washer (Pack of 25)</t>
  </si>
  <si>
    <t>M2.5 SS 304 Washer (Pack of 25)</t>
  </si>
  <si>
    <t>M2.5x12mm SS Allen Cap - 304 (Pack of 25)</t>
  </si>
  <si>
    <t>M2.5x8mm SS Allen Cap - 304 (Pack of 25)</t>
  </si>
  <si>
    <t xml:space="preserve">	M3x10 SS Allen Cap - 304 (Pack of 25)</t>
  </si>
  <si>
    <t>M3x15 SS Allen Cap - 304 (Pack of 25)</t>
  </si>
  <si>
    <t>M3x40 SS Allen Cap - 304 (Pack of 10)</t>
  </si>
  <si>
    <t>M4x35 - SS Allen Cap Screw</t>
  </si>
  <si>
    <t>M2.5X6MM Brass Inserts 4mm OD</t>
  </si>
  <si>
    <t>M2.5X6MM Brass Inserts 5mm OD</t>
  </si>
  <si>
    <t>M3X25mm Spacer</t>
  </si>
  <si>
    <t xml:space="preserve">M3X15mm Spacer </t>
  </si>
  <si>
    <t>M2.5X6MM Brass Inserts 5+M1948:N1952mm OD</t>
  </si>
  <si>
    <t xml:space="preserve">STARTRC Universal Long-Range Drone Megaphone	</t>
  </si>
  <si>
    <t>18AWG High Qualitty Ultra Flexible Silicone Wire - Yellow</t>
  </si>
  <si>
    <t>High Quality Ultra Flexible 22AWG Silicone Wire - Black</t>
  </si>
  <si>
    <t>High Quality Ultra Flexible 24AWG Silicone Wire – Red</t>
  </si>
  <si>
    <t>High Quality Ultra Flexible 24AWG Silicone Wire – Black</t>
  </si>
  <si>
    <t>High Quality Ultra Flexible 16AWG Silicone Wire – Red</t>
  </si>
  <si>
    <t>EFT Arm Folding Part φ40/ Compatible with E416P/E616P/E410P</t>
  </si>
  <si>
    <t>C_01014</t>
  </si>
  <si>
    <t>C_01015</t>
  </si>
  <si>
    <t>Microhard Systems Inc</t>
  </si>
  <si>
    <t>Vortex Innovations</t>
  </si>
  <si>
    <t xml:space="preserve">Mech Engineering Corporation </t>
  </si>
  <si>
    <t>ELD/017</t>
  </si>
  <si>
    <t>IN104230</t>
  </si>
  <si>
    <t>NT-INV-1915</t>
  </si>
  <si>
    <t>NT-INV-1916</t>
  </si>
  <si>
    <t>VI/2026-27/202</t>
  </si>
  <si>
    <t>HYD8-553281</t>
  </si>
  <si>
    <t>096/26-27</t>
  </si>
  <si>
    <t>GST/005528</t>
  </si>
  <si>
    <t>NT-INV-1940</t>
  </si>
  <si>
    <t>INV0706</t>
  </si>
  <si>
    <t>TA003/26-27</t>
  </si>
  <si>
    <t>TA004/26-27</t>
  </si>
  <si>
    <t>INV2627/73128</t>
  </si>
  <si>
    <t>used bhima meatech</t>
  </si>
  <si>
    <t>Astra-X</t>
  </si>
  <si>
    <t>AMUSE BOX</t>
  </si>
  <si>
    <t>WHITE BOX</t>
  </si>
  <si>
    <t>A20</t>
  </si>
  <si>
    <t>USED</t>
  </si>
  <si>
    <t>R62</t>
  </si>
  <si>
    <t>R58</t>
  </si>
  <si>
    <t>SKYDROID BOX</t>
  </si>
  <si>
    <t>R55</t>
  </si>
  <si>
    <t>GPS Enclosure M9N (26-30)</t>
  </si>
  <si>
    <t>Landing Gear Cap (26-30)</t>
  </si>
  <si>
    <t xml:space="preserve">	HAHER20-Quad-26" Top Enclosur (26-30)</t>
  </si>
  <si>
    <t>Micro-hard Enclosure (26-30)</t>
  </si>
  <si>
    <t>HAHER20-Quad-26" Bottom Enclosure 18" inch</t>
  </si>
  <si>
    <t>HAHER20-Quad-26" Bottom Enclosure (26-30)</t>
  </si>
  <si>
    <t xml:space="preserve">	HAHER20-Quad-26" Top Enclosure 18" inch</t>
  </si>
  <si>
    <t xml:space="preserve">	HAHER20-Quad-26" Top Enclosure (26-30)</t>
  </si>
  <si>
    <t>Inv Room</t>
  </si>
  <si>
    <t>A69</t>
  </si>
  <si>
    <t>Carrycase Room</t>
  </si>
  <si>
    <t>R63</t>
  </si>
  <si>
    <t>ASSEMBLY AREA</t>
  </si>
  <si>
    <t>White Bin</t>
  </si>
  <si>
    <t>Brown Box</t>
  </si>
  <si>
    <t xml:space="preserve">Bhumi  </t>
  </si>
  <si>
    <t xml:space="preserve">R53 </t>
  </si>
  <si>
    <t>M2.5X6mm Brass Inserts 4mm OD</t>
  </si>
  <si>
    <t>M3X6mm Brass Inserts 5mm OD</t>
  </si>
  <si>
    <t>Above L2</t>
  </si>
  <si>
    <t>Orange Box</t>
  </si>
  <si>
    <t xml:space="preserve">R2 </t>
  </si>
  <si>
    <t>Used In Astra-x</t>
  </si>
  <si>
    <t>Yet to come</t>
  </si>
  <si>
    <t>DZR/26/286</t>
  </si>
  <si>
    <t xml:space="preserve">USED  </t>
  </si>
  <si>
    <t>Above L13</t>
  </si>
  <si>
    <t>Haher Project Used</t>
  </si>
  <si>
    <t>Astra-x,Haher20</t>
  </si>
  <si>
    <t>R15</t>
  </si>
  <si>
    <t xml:space="preserve">R4 </t>
  </si>
  <si>
    <t xml:space="preserve">Accessories	</t>
  </si>
  <si>
    <t>C_01010</t>
  </si>
  <si>
    <t>M3x8mm Hex Allen CSK ss 304 Screw</t>
  </si>
  <si>
    <t>#ONLSCR41415</t>
  </si>
  <si>
    <t>Above L21</t>
  </si>
  <si>
    <t>C_01011</t>
  </si>
  <si>
    <t>M3x6mm Hex Allen CSK ss 304 Screw</t>
  </si>
  <si>
    <t>#ONLSCR41875</t>
  </si>
  <si>
    <t>C_01012</t>
  </si>
  <si>
    <t>15mm Folding Arm Mechanism</t>
  </si>
  <si>
    <t>C_01013</t>
  </si>
  <si>
    <t>3 PCS Latex Rubber Tube Elastic Latex Fitness Tube Or Slingshot Rubber Tubing (Color: Amber, Size: OD 5mm x ID 3mm / 90cm X 3 Pcs.)</t>
  </si>
  <si>
    <t>IN-167</t>
  </si>
  <si>
    <t>C_01016</t>
  </si>
  <si>
    <t>Incher 3L Support - Aluminium Metal Parts</t>
  </si>
  <si>
    <t>Hipro Mechosoftt Pvt Ltd</t>
  </si>
  <si>
    <t>INV/26-27/60040</t>
  </si>
  <si>
    <t>C_01017</t>
  </si>
  <si>
    <t>T-motor NS14X4.8 Propeller</t>
  </si>
  <si>
    <t>INV2627/87059</t>
  </si>
  <si>
    <t>C_01018</t>
  </si>
  <si>
    <t>Bottom Foam 14 inch</t>
  </si>
  <si>
    <t>PPE-2627-066</t>
  </si>
  <si>
    <t>C_01019</t>
  </si>
  <si>
    <t>M3 SS Neoprene Washer</t>
  </si>
  <si>
    <t>C_01021</t>
  </si>
  <si>
    <t>Hook and Loop Sticky Back 25mm x 100mm pre-Cut Pieces | Multipurpose Self-Adhesive Fastening Strips | Ideal for School Projects, DIY, Decorations, Organising &amp; Crafting | 40 Pieces|Black Brand: Sky SAT</t>
  </si>
  <si>
    <t>IN-141</t>
  </si>
  <si>
    <t>C_01020</t>
  </si>
  <si>
    <t>GenX Pro+ Solid State 22.2V 6S 12500mah 7C Premium Lithium Ion Solid State Rechargeable Battery 350wh/kg</t>
  </si>
  <si>
    <t>SDZR/26/4448</t>
  </si>
  <si>
    <t>C_01022</t>
  </si>
  <si>
    <t>Top Enclosure 14 inch</t>
  </si>
  <si>
    <t>C_01023</t>
  </si>
  <si>
    <t>Bottom Enclosure 14 inch</t>
  </si>
  <si>
    <t>TB1521</t>
  </si>
  <si>
    <t>Threebond India Pvt Ltd</t>
  </si>
  <si>
    <t>LEFT hand Thread Motor Adapter</t>
  </si>
  <si>
    <t>C_01024</t>
  </si>
  <si>
    <t>H12 PRO Enclosure</t>
  </si>
  <si>
    <t>2627/INV0890</t>
  </si>
  <si>
    <t>Landing gear cap</t>
  </si>
  <si>
    <t>RPF</t>
  </si>
  <si>
    <t>Fire Fighting</t>
  </si>
  <si>
    <t xml:space="preserve">RPF  </t>
  </si>
  <si>
    <t>RPF/Inventory</t>
  </si>
  <si>
    <t>26 Inch drone no 01</t>
  </si>
  <si>
    <t>Crashed 18 inch drone 1</t>
  </si>
  <si>
    <t>R61</t>
  </si>
  <si>
    <t>C_01025</t>
  </si>
  <si>
    <t>LP PP LP41232NLH</t>
  </si>
  <si>
    <t xml:space="preserve">	N-Channel MOSFET 47A 55V 3-Pin TO-220AB Infineon</t>
  </si>
  <si>
    <t>NT-INV-2010</t>
  </si>
  <si>
    <t>INV ROOM</t>
  </si>
  <si>
    <t>Went to vendor</t>
  </si>
  <si>
    <t>3DP/0224/26-27</t>
  </si>
  <si>
    <t>C_01026</t>
  </si>
  <si>
    <t>Static Arm Tube_15mm</t>
  </si>
  <si>
    <t>TA007/26-27</t>
  </si>
  <si>
    <t>NS18X6 Props 2 Pair</t>
  </si>
  <si>
    <t>NT-INV-2027</t>
  </si>
  <si>
    <t>C_01027</t>
  </si>
  <si>
    <t>Male to Female Jumper Wire 20cm PRO34 Red Crimp Cable</t>
  </si>
  <si>
    <t>Male to Female Jumper Wire 20cm PRO34 Blue Crimp Cable</t>
  </si>
  <si>
    <t>C_01028</t>
  </si>
  <si>
    <t>C_01029</t>
  </si>
  <si>
    <t>TA006/26-27</t>
  </si>
  <si>
    <t>C_01038</t>
  </si>
  <si>
    <t>666 RTV Silicon Sealant</t>
  </si>
  <si>
    <t>ELD/020</t>
  </si>
  <si>
    <t>18AWG Silicone Braided Wire Black High Flex Heat Resistant Cable</t>
  </si>
  <si>
    <t>1-8S LiPo Battery Checker Voltage Tester w/ Low Voltage Alarm</t>
  </si>
  <si>
    <t>eSUN ABS+ HS Black - 1.75mm 3D Printing Filament Spool</t>
  </si>
  <si>
    <t>Top Plate 14" 2mm thk</t>
  </si>
  <si>
    <t>Bottom Plate 14" 2mm thk</t>
  </si>
  <si>
    <t>Fixed Arm Part 14"</t>
  </si>
  <si>
    <t>soft and hard battery velcro</t>
  </si>
  <si>
    <t>Motor Arm 14"</t>
  </si>
  <si>
    <t>Skydroid H12 Pro Remote Controller</t>
  </si>
  <si>
    <t>T-Landing Gear 14"</t>
  </si>
  <si>
    <t>T-Landing Gear 26" &amp; 30"</t>
  </si>
  <si>
    <t>T-Landing Gear 30"</t>
  </si>
  <si>
    <t>T-Landing Gear 18"</t>
  </si>
  <si>
    <t>INV2627/97600</t>
  </si>
  <si>
    <t>NT-INV-2035</t>
  </si>
  <si>
    <t>NT-INV-2051</t>
  </si>
  <si>
    <t>NT-INV-2052</t>
  </si>
  <si>
    <t>C_01031</t>
  </si>
  <si>
    <t>C_01030</t>
  </si>
  <si>
    <t>C_01032</t>
  </si>
  <si>
    <t>C_01033</t>
  </si>
  <si>
    <t>C_01034</t>
  </si>
  <si>
    <t>C_01035</t>
  </si>
  <si>
    <t>C_01036</t>
  </si>
  <si>
    <t>C_01037</t>
  </si>
  <si>
    <t>C_01039</t>
  </si>
  <si>
    <t>C_01040</t>
  </si>
  <si>
    <t>C_01041</t>
  </si>
  <si>
    <t>C_01042</t>
  </si>
  <si>
    <t>PRecision Pro</t>
  </si>
  <si>
    <t>PPE-2627-085</t>
  </si>
  <si>
    <t>TA005/26-27</t>
  </si>
  <si>
    <t>Blue Bin</t>
  </si>
  <si>
    <t>14"</t>
  </si>
  <si>
    <t>Astra-x &amp; 14"</t>
  </si>
  <si>
    <t>Carry Bag</t>
  </si>
  <si>
    <t>C_01043</t>
  </si>
  <si>
    <t>DCM Manufacturing</t>
  </si>
  <si>
    <t>C_01044</t>
  </si>
  <si>
    <t>Mega Torque DC Planetary Geared Encoder Servo Motor 250W 100RPM 18VDC 255Kgcm</t>
  </si>
  <si>
    <t>DZR/26/5548</t>
  </si>
  <si>
    <t>https://workdrive.zoho.com/file/0m0b16997ff29077e4dfe8a955217984b66e8</t>
  </si>
  <si>
    <t>HAHER AND Astra-x</t>
  </si>
  <si>
    <t>07,03,05,06,13 &amp; 5L</t>
  </si>
  <si>
    <t>HAHER-02 &amp; astra-x</t>
  </si>
  <si>
    <t>HAHER20, Astra-x &amp; 14"</t>
  </si>
  <si>
    <t>IN27-009599</t>
  </si>
  <si>
    <t>C_01045</t>
  </si>
  <si>
    <t>3M Scotch-Weld EPX Plus II Applicator #01001, 2 Plunger for 48mL &amp; 50mL, 1 Applicator</t>
  </si>
  <si>
    <t>C_01046</t>
  </si>
  <si>
    <t>3M(TM) Scotch-Weld(TM) EPX(TM) Mix Nozzles Square Orange, for 45mL 10:1 Duo-Pak Cartridges, Bag of 12</t>
  </si>
  <si>
    <t>C_01047</t>
  </si>
  <si>
    <t>3M Scotch-Weld Acrylic Adhesive DP8507NS, Gray, 45 mL Duo-Pak, 1 Each, Delivers Long-Lasting, High-Strength Bonds to Aluminum, Steel, Copper, Brass, and Most Plastics</t>
  </si>
  <si>
    <t>Sarvam Safety Equipment Private Limited</t>
  </si>
  <si>
    <t xml:space="preserve">Bhumi and Bhumi Horizontal drone, bhumi 22 horizontal drone &amp; </t>
  </si>
  <si>
    <t xml:space="preserve">1-Bhumi 5L Vertical Sprayer &amp; Bhumi Horrizontal </t>
  </si>
  <si>
    <t>TNAU 18"</t>
  </si>
  <si>
    <t>TNAU &amp; astra-x 2 scrap</t>
  </si>
  <si>
    <t>Agri 5L</t>
  </si>
  <si>
    <t>C_01048</t>
  </si>
  <si>
    <t>470uF 35V Keltron Electrolytic Capacitor</t>
  </si>
  <si>
    <t>Mercy Electronics</t>
  </si>
  <si>
    <t>TAM-20539/26-27</t>
  </si>
  <si>
    <t>Sri Sakthi Steels</t>
  </si>
  <si>
    <t>scrap, Used</t>
  </si>
  <si>
    <t>Internal use</t>
  </si>
  <si>
    <t>white cover</t>
  </si>
  <si>
    <t>Velcro Loop Part</t>
  </si>
  <si>
    <t>Velcro Hook Part</t>
  </si>
  <si>
    <t>ELD/QT/584</t>
  </si>
  <si>
    <t>C_01049</t>
  </si>
  <si>
    <t>C_01050</t>
  </si>
  <si>
    <t>Brown box</t>
  </si>
  <si>
    <t>ARIS SPARE</t>
  </si>
  <si>
    <t>Talon USED</t>
  </si>
  <si>
    <t>Used - 1-Bhumi Non Tc-17, 5L &amp; Horizontal</t>
  </si>
  <si>
    <t>Bhumi Used</t>
  </si>
  <si>
    <t xml:space="preserve"> TNAU</t>
  </si>
  <si>
    <t>TNAU, Scrap Remaining Tube</t>
  </si>
  <si>
    <t>Assembly Area</t>
  </si>
  <si>
    <t>Assembly Area &amp; Outward</t>
  </si>
  <si>
    <t>Assembly Area &amp; R43</t>
  </si>
  <si>
    <t>astra-x</t>
  </si>
  <si>
    <t>Outward</t>
  </si>
  <si>
    <t>HAHER-01, Scrap</t>
  </si>
  <si>
    <t>Not Usable</t>
  </si>
  <si>
    <t xml:space="preserve"> </t>
  </si>
  <si>
    <t>astra-x &amp; remaining part R42</t>
  </si>
  <si>
    <t>Astra-x &amp; TNAU</t>
  </si>
  <si>
    <t>TNAU, 2 scrap</t>
  </si>
  <si>
    <t xml:space="preserve">2 scrap &amp; 1 astra-x </t>
  </si>
  <si>
    <r>
      <rPr>
        <sz val="11"/>
        <color rgb="FFFF0000"/>
        <rFont val="Outfit"/>
      </rPr>
      <t xml:space="preserve">18 INCH DRONE 4 scrap </t>
    </r>
    <r>
      <rPr>
        <sz val="11"/>
        <color rgb="FF000000"/>
        <rFont val="Outfit"/>
      </rPr>
      <t>&amp; 26" &amp; 30" + 14"</t>
    </r>
  </si>
  <si>
    <t xml:space="preserve">astra-x  </t>
  </si>
  <si>
    <t>4 SCRAP</t>
  </si>
  <si>
    <t>used astra-x</t>
  </si>
  <si>
    <t>Inv</t>
  </si>
  <si>
    <t>1 SCRAP in assembly area &amp; 3 In assembly area</t>
  </si>
  <si>
    <t xml:space="preserve">Assembly Area </t>
  </si>
  <si>
    <t>3 in battery room &amp; 2 in assembly area</t>
  </si>
  <si>
    <t>Repair and Service to magnipower</t>
  </si>
  <si>
    <t>1-Bhumi Non Tc-01, 1-Bhumi Non Tc-13, 1-Bhumi Non Tc-07, 1-Bhumi Non Tc-17, Bhumi TC-11, Bhumi TC-21, Bhumi 22 Horizontal drone</t>
  </si>
  <si>
    <t>1-Bhumi Non Tc-09, 1-Bhumi Non Tc-01, 1-Bhumi Non Tc-13, 1-Bhumi Non Tc-07, 1-Bhumi Non Tc-17, Bhumi TC-21, Bhumi TC-21, Bhumi 22 Horizontal drone</t>
  </si>
  <si>
    <t>14", 30"</t>
  </si>
  <si>
    <t>30"</t>
  </si>
  <si>
    <t>30" &amp; 14"</t>
  </si>
  <si>
    <t>HAHER20(PCB Design team) TNAU, Astra-x26, 30"</t>
  </si>
  <si>
    <t>26 Inch drone no 02 &amp; 30"</t>
  </si>
  <si>
    <t>Datalink</t>
  </si>
  <si>
    <t xml:space="preserve">Eionic </t>
  </si>
  <si>
    <t>C_01051</t>
  </si>
  <si>
    <t>Male To Female Jumper Wires 40 Pcs 20cm</t>
  </si>
  <si>
    <t>C_01052</t>
  </si>
  <si>
    <t>Female to Female Jumper Wires (20cm) 40pcs</t>
  </si>
  <si>
    <t>26-27/395389</t>
  </si>
  <si>
    <t>IN/2627/10275</t>
  </si>
  <si>
    <t>Bharat Wings</t>
  </si>
  <si>
    <t>INV2627/127072</t>
  </si>
  <si>
    <t>TAM-23025/26-27</t>
  </si>
  <si>
    <t>Scrap, Vajra, astra-x</t>
  </si>
  <si>
    <t>Scrap, astra-x</t>
  </si>
  <si>
    <t>scrap, Astra-x</t>
  </si>
  <si>
    <t>astra-x, haher20</t>
  </si>
  <si>
    <t>HAHER-01 16x14x350</t>
  </si>
  <si>
    <t>Warehouse, astra-x</t>
  </si>
  <si>
    <t>astra-x, vajra</t>
  </si>
  <si>
    <t>4 in Haher-02, 4 scrap, 4 Axtra-x</t>
  </si>
  <si>
    <t>2 astra-x, 2 TNAU,  2 scrap</t>
  </si>
  <si>
    <t xml:space="preserve">astra-x </t>
  </si>
  <si>
    <t>26" &amp; 30" astra-x</t>
  </si>
  <si>
    <t xml:space="preserve">astra-x 26" </t>
  </si>
  <si>
    <t>astra-x 26" &amp; 18" crash</t>
  </si>
  <si>
    <t>18"</t>
  </si>
  <si>
    <t>astra-x, 1- submitted</t>
  </si>
  <si>
    <t>1 in warehouse drone</t>
  </si>
  <si>
    <t>atra-x &amp; TNAU</t>
  </si>
  <si>
    <t>asta-x</t>
  </si>
  <si>
    <t>kavin ask one lipo</t>
  </si>
  <si>
    <t>ganesan using now</t>
  </si>
  <si>
    <t>Tech arun using</t>
  </si>
  <si>
    <t>L8</t>
  </si>
  <si>
    <t>1 USING DAVAN &amp; RAVI CHANDRAN</t>
  </si>
  <si>
    <t>fire fighting</t>
  </si>
  <si>
    <t>rittik &amp; dhinesh using</t>
  </si>
  <si>
    <t xml:space="preserve">Bhumi Horizontal drone, 2 never </t>
  </si>
  <si>
    <t>Bhumi-11,21, bhumi 22 Horizontal drone, Bhumi 5L 1-scrap</t>
  </si>
  <si>
    <t>astra-x, bhumi &amp; bhima</t>
  </si>
  <si>
    <t>santhosh using</t>
  </si>
  <si>
    <t>astra-x -1 used bhumi</t>
  </si>
  <si>
    <t>meganathan using</t>
  </si>
  <si>
    <t>CMP-Datalink_V01</t>
  </si>
  <si>
    <t>C_01053</t>
  </si>
  <si>
    <t xml:space="preserve">
Raspberry Pi 4 Model-B    </t>
  </si>
  <si>
    <t>FPV(R7 located that FPV Drone)</t>
  </si>
  <si>
    <t>Never Systems</t>
  </si>
  <si>
    <t>Bhumi 11</t>
  </si>
  <si>
    <t>1-5L Agri</t>
  </si>
  <si>
    <t>Dhavan Using (Warehouse)</t>
  </si>
  <si>
    <t xml:space="preserve">Condition is bad </t>
  </si>
  <si>
    <t>Comp Type</t>
  </si>
  <si>
    <t>Motor</t>
  </si>
  <si>
    <t>Propeller</t>
  </si>
  <si>
    <t>motor</t>
  </si>
  <si>
    <t>micro railway</t>
  </si>
  <si>
    <t>Bhumi 5L With tank &amp; Master &amp; Slave (QUAD COPTER)</t>
  </si>
  <si>
    <t>2 FPV(4 each),  Remaining - R18</t>
  </si>
  <si>
    <t>4-FPV , Remaining-R12</t>
  </si>
  <si>
    <t>16-Outward, 8-assembly area</t>
  </si>
  <si>
    <t>5 motors scrap</t>
  </si>
  <si>
    <t>servo motor</t>
  </si>
  <si>
    <t>Servo motor</t>
  </si>
  <si>
    <t>965KV</t>
  </si>
  <si>
    <t>R7</t>
  </si>
  <si>
    <t>Issued</t>
  </si>
  <si>
    <t>ESC</t>
  </si>
  <si>
    <t>PDB</t>
  </si>
  <si>
    <t>6 in 30", 6 in remaining inventory</t>
  </si>
  <si>
    <t xml:space="preserve">inventory  </t>
  </si>
  <si>
    <t>26" Remaining 5 in inventory</t>
  </si>
  <si>
    <t>UOM</t>
  </si>
  <si>
    <t>2 Missing or scrap</t>
  </si>
  <si>
    <t>Transmitter</t>
  </si>
  <si>
    <t>Remote Controller</t>
  </si>
  <si>
    <t>Simulator Kit</t>
  </si>
  <si>
    <t>Receiver</t>
  </si>
  <si>
    <t>Transreceiver</t>
  </si>
  <si>
    <t>Antenna</t>
  </si>
  <si>
    <t>Telemetry Module</t>
  </si>
  <si>
    <t>Camera</t>
  </si>
  <si>
    <t>1-5L Agri, 1- Bhumi Horizontal drone</t>
  </si>
  <si>
    <t>Computational Board</t>
  </si>
  <si>
    <t>Gimbal</t>
  </si>
  <si>
    <t>assembly Area</t>
  </si>
  <si>
    <t>Description</t>
  </si>
  <si>
    <t>Sensor</t>
  </si>
  <si>
    <t>Flight Controller</t>
  </si>
  <si>
    <t>26"</t>
  </si>
  <si>
    <t>1- TNAU, 26" Crash</t>
  </si>
  <si>
    <t>1-18" (crash), 1-30"(assembly area) &amp; 26" crash</t>
  </si>
  <si>
    <t>Bhima IIT Roorkie</t>
  </si>
  <si>
    <t>Waterjet Cutting</t>
  </si>
  <si>
    <t>R2 &amp; R18</t>
  </si>
  <si>
    <t>SCRAP</t>
  </si>
  <si>
    <t>EXCESS 1 SPARE</t>
  </si>
  <si>
    <t>S</t>
  </si>
  <si>
    <t xml:space="preserve">T-motor NS14X4.8 Propeller </t>
  </si>
  <si>
    <t xml:space="preserve">18" Fixed arm </t>
  </si>
  <si>
    <t>26" crsh</t>
  </si>
  <si>
    <t>26"crash, remaining 2 box before L1</t>
  </si>
  <si>
    <t>1 CCW Missing</t>
  </si>
  <si>
    <t>Pair</t>
  </si>
  <si>
    <t>Nos</t>
  </si>
  <si>
    <t>FPV - 1 was missing</t>
  </si>
  <si>
    <t>V1.1 - 009</t>
  </si>
  <si>
    <t>Excess in stock</t>
  </si>
  <si>
    <t>Doubt (need to check where it is located)</t>
  </si>
  <si>
    <t>Verified</t>
  </si>
  <si>
    <t>Pack</t>
  </si>
  <si>
    <t>Connectors</t>
  </si>
  <si>
    <t>Charger</t>
  </si>
  <si>
    <t>Mount</t>
  </si>
  <si>
    <t>GPS</t>
  </si>
  <si>
    <t>Diodes</t>
  </si>
  <si>
    <t>BEC</t>
  </si>
  <si>
    <t>Cables</t>
  </si>
  <si>
    <t>3D Printed Parts</t>
  </si>
  <si>
    <t>Consumables</t>
  </si>
  <si>
    <t>Quick Release</t>
  </si>
  <si>
    <t>CNC Cutting</t>
  </si>
  <si>
    <t>Converter</t>
  </si>
  <si>
    <t>Sprayer System</t>
  </si>
  <si>
    <t>Drone Frame parts</t>
  </si>
  <si>
    <t>Buzzer</t>
  </si>
  <si>
    <t>PCB</t>
  </si>
  <si>
    <t>NPNT Module</t>
  </si>
  <si>
    <t>OSD</t>
  </si>
  <si>
    <t>Peripheral Control Module</t>
  </si>
  <si>
    <t>Carrycase</t>
  </si>
  <si>
    <t>Skycat X85-CF package</t>
  </si>
  <si>
    <t>Parachute</t>
  </si>
  <si>
    <t>Adapter</t>
  </si>
  <si>
    <t>1 Used-bhumi 22 horizontal drone 2 mising</t>
  </si>
  <si>
    <t>Pcs</t>
  </si>
  <si>
    <t>14" inch astra</t>
  </si>
  <si>
    <t>17+6</t>
  </si>
  <si>
    <t>Meter</t>
  </si>
  <si>
    <t>DAMAGE</t>
  </si>
  <si>
    <t>FPV, astra-x &amp; Bomb Dropper</t>
  </si>
  <si>
    <t>42 FEMALE &amp; 48 male</t>
  </si>
  <si>
    <t>C_01054</t>
  </si>
  <si>
    <t>EON 6S 22000</t>
  </si>
  <si>
    <t>C_00311</t>
  </si>
  <si>
    <t>High Quality Ultra Flexible 14AWG Silicone Wire - Red</t>
  </si>
  <si>
    <t>C_00312</t>
  </si>
  <si>
    <t>High Quality Ultra Flexible 14AWG Silicone Wire - Black</t>
  </si>
  <si>
    <t>HAHER20-Quad-26" Bottom Enclosure(18 INCH)</t>
  </si>
  <si>
    <t>HAHER20-Quad-26" Top Enclosure(18 INCH)</t>
  </si>
  <si>
    <t>4-Bhumi 22 Horizontal drone &amp; 1-Charging room</t>
  </si>
  <si>
    <t>7 in charging room</t>
  </si>
  <si>
    <t>Battery-checker</t>
  </si>
  <si>
    <t>Actuator</t>
  </si>
  <si>
    <t>CAN Node</t>
  </si>
  <si>
    <t>M1500PDB</t>
  </si>
  <si>
    <t xml:space="preserve">Bhumi Horizontal Drone </t>
  </si>
  <si>
    <t>Wifi Module</t>
  </si>
  <si>
    <t>119 PACK</t>
  </si>
  <si>
    <t>Dampner</t>
  </si>
  <si>
    <t>5-CHARGING ROOM, 2 IN INVENTORY</t>
  </si>
  <si>
    <t>38 qty in inventory</t>
  </si>
  <si>
    <t>18 qty in inventory</t>
  </si>
  <si>
    <t>3 qty in inventory</t>
  </si>
  <si>
    <t>11 qty in inventory</t>
  </si>
  <si>
    <t>need to procure</t>
  </si>
  <si>
    <t>Y-Type Pneumatic Connector 6-10-6 mm</t>
  </si>
  <si>
    <t>T-Type Pneumatic Connector 8-8-8mm</t>
  </si>
  <si>
    <t>L-Type Pneumatic Connector 10-8mm</t>
  </si>
  <si>
    <t>T-Type Pneumatic Connector 8-12-8mm</t>
  </si>
  <si>
    <t>Stright Type Pneumatic Connector 8mm - 6mm</t>
  </si>
  <si>
    <t>Y-Type Pneumatic Connector 6-8-6 mm</t>
  </si>
  <si>
    <t>Items are seprated from universal kit</t>
  </si>
  <si>
    <t>1 EXCESS</t>
  </si>
  <si>
    <t>2 EXCESS</t>
  </si>
  <si>
    <t>Flight controller</t>
  </si>
  <si>
    <t>12 in excess</t>
  </si>
  <si>
    <t>Relay</t>
  </si>
  <si>
    <t>1 in excess</t>
  </si>
  <si>
    <t>Micro Controller</t>
  </si>
  <si>
    <t>A29</t>
  </si>
  <si>
    <t>Bhumi 21</t>
  </si>
  <si>
    <t xml:space="preserve">1-Bhumi Non Tc-09, 1-Bhumi Non Tc-13, </t>
  </si>
  <si>
    <t>Interface Board</t>
  </si>
  <si>
    <t>Capacitor</t>
  </si>
  <si>
    <t>LCD</t>
  </si>
  <si>
    <t>Jumper cable box</t>
  </si>
  <si>
    <t>Model AI</t>
  </si>
  <si>
    <t>warehouse(DAVAN USING)</t>
  </si>
  <si>
    <t>1-IN DRONE</t>
  </si>
  <si>
    <t>MICRO RAILWAY</t>
  </si>
  <si>
    <t xml:space="preserve">R28,R6 </t>
  </si>
  <si>
    <t>R28 - CABLE &amp; R6 - ANTENNA</t>
  </si>
  <si>
    <t>VRX</t>
  </si>
  <si>
    <t>14" remaining 2 in assembly area</t>
  </si>
  <si>
    <t>LED</t>
  </si>
  <si>
    <t>10 IN inventory</t>
  </si>
  <si>
    <t xml:space="preserve">1-Bhumi Non Tc-09, </t>
  </si>
  <si>
    <t>BHIMA 2 Integrated</t>
  </si>
  <si>
    <t>1-vyom drones, 1-Bhumi 11</t>
  </si>
  <si>
    <t>Diode</t>
  </si>
  <si>
    <t>RPF &amp; Astra-X</t>
  </si>
  <si>
    <t>2627/INV1588</t>
  </si>
  <si>
    <t>Resistor</t>
  </si>
  <si>
    <t>Inductor</t>
  </si>
  <si>
    <t>Switch</t>
  </si>
  <si>
    <t>Data Link</t>
  </si>
  <si>
    <t>astra-x 1 in R48</t>
  </si>
  <si>
    <t>Astra-x  1 SCRAP</t>
  </si>
  <si>
    <t>Astra-x 30"</t>
  </si>
  <si>
    <t>astra-x (Grey)</t>
  </si>
  <si>
    <t>CF Sheet</t>
  </si>
  <si>
    <t>Mosfet</t>
  </si>
  <si>
    <t>Grommets</t>
  </si>
  <si>
    <t>Foam</t>
  </si>
  <si>
    <t>Velcro</t>
  </si>
  <si>
    <t>Adaptor</t>
  </si>
  <si>
    <t>Bag</t>
  </si>
  <si>
    <t>Filament</t>
  </si>
  <si>
    <t>Mat</t>
  </si>
  <si>
    <t>CF Tube</t>
  </si>
  <si>
    <t>C_00223
 C_00221</t>
  </si>
  <si>
    <t>JNS Metal</t>
  </si>
  <si>
    <t>C_01057</t>
  </si>
  <si>
    <t>Aluminium Bars</t>
  </si>
  <si>
    <t>C_01055</t>
  </si>
  <si>
    <t>LK-4WBN-12MM TAPE</t>
  </si>
  <si>
    <t>Yaan Infotech</t>
  </si>
  <si>
    <t>Y1033/25-26</t>
  </si>
  <si>
    <t>L11</t>
  </si>
  <si>
    <t>Never</t>
  </si>
  <si>
    <t>assembly area</t>
  </si>
  <si>
    <t>Parachute-702</t>
  </si>
  <si>
    <t>assembly 5 10 Ltr tank</t>
  </si>
  <si>
    <t>in inventory 4 10 Ltr tank</t>
  </si>
  <si>
    <t>Spare box</t>
  </si>
  <si>
    <t>RF Power Meter</t>
  </si>
  <si>
    <t>integrated Orqa Goggles</t>
  </si>
  <si>
    <t>Breakout Module</t>
  </si>
  <si>
    <t xml:space="preserve">Used  </t>
  </si>
  <si>
    <t xml:space="preserve">Used </t>
  </si>
  <si>
    <t>D2</t>
  </si>
  <si>
    <t>Voltmeter</t>
  </si>
  <si>
    <t>1-SCRAP,  1 UNOPENED , 2 USED (1 IN )</t>
  </si>
  <si>
    <t>2 in inventory, 1 in assembly area</t>
  </si>
  <si>
    <t>used condition</t>
  </si>
  <si>
    <t>uss condition</t>
  </si>
  <si>
    <t>Used, 1 in nano drone</t>
  </si>
  <si>
    <t>30", 14"</t>
  </si>
  <si>
    <t>Sleeves</t>
  </si>
  <si>
    <t>1 Excess</t>
  </si>
  <si>
    <t>ARIS Drone</t>
  </si>
  <si>
    <t>ASTRA-x 14" 2005</t>
  </si>
  <si>
    <t>GF Sheet</t>
  </si>
  <si>
    <t>Balsa Sheet</t>
  </si>
  <si>
    <t>Rack</t>
  </si>
  <si>
    <t>Paint</t>
  </si>
  <si>
    <t>Servo Controller</t>
  </si>
  <si>
    <t>Printer</t>
  </si>
  <si>
    <t>1-Vyoma Orange, 1-Bhima &amp; 1-16L</t>
  </si>
  <si>
    <t>1-Vyoma Blue</t>
  </si>
  <si>
    <t>2-Bhumi 11 &amp; 21, 1-Warehouse, 2-5L</t>
  </si>
  <si>
    <t>Above L Rack</t>
  </si>
  <si>
    <t>Bomb Dropper, Support plate cutting purpose</t>
  </si>
  <si>
    <t>2, Fire fighting</t>
  </si>
  <si>
    <t>18" SCRAP</t>
  </si>
  <si>
    <t>26" astra-x</t>
  </si>
  <si>
    <t>astra 26"</t>
  </si>
  <si>
    <t>in inventory (Jhansi)</t>
  </si>
  <si>
    <t xml:space="preserve">HAHER20-Quad-26" Bottom Enclosure </t>
  </si>
  <si>
    <t>astra 26" 1-crash</t>
  </si>
  <si>
    <t>Astra-26"</t>
  </si>
  <si>
    <t>Astra-14"</t>
  </si>
  <si>
    <t>Scrap 26"</t>
  </si>
  <si>
    <t>Jhansi 26"</t>
  </si>
  <si>
    <t>2-26"</t>
  </si>
  <si>
    <t>2-30", 1-18" &amp; (1-26" assembly area)</t>
  </si>
  <si>
    <t>In inventory</t>
  </si>
  <si>
    <t>Thermal pad</t>
  </si>
  <si>
    <t>1-scrap another 1- outward (bhumi 22 Horizontal spray)</t>
  </si>
  <si>
    <t>Blue bin</t>
  </si>
  <si>
    <t>11, 21, 17, 1- BHIMA</t>
  </si>
  <si>
    <t>BROWN BOX</t>
  </si>
  <si>
    <t>Integrated In airis circuit board</t>
  </si>
  <si>
    <t xml:space="preserve">Integrated PCB Aris </t>
  </si>
  <si>
    <t>1 on green board, 2 in nano drone &amp; 3 in R45</t>
  </si>
  <si>
    <t>4 pack + 2 cap in inventory &amp; 7 pack + 2 cap in bhumi 10L</t>
  </si>
  <si>
    <t>Assembly Area &amp; R48</t>
  </si>
  <si>
    <t>Screw</t>
  </si>
  <si>
    <t>Locknut</t>
  </si>
  <si>
    <t>Strap</t>
  </si>
  <si>
    <t>11 BOXES IN INVENTORY</t>
  </si>
  <si>
    <t>astra-30</t>
  </si>
  <si>
    <t>Astra-x 30" &amp; 26"</t>
  </si>
  <si>
    <t>Metallic shaft</t>
  </si>
  <si>
    <t>Brusless DC Motor 4006-380kv</t>
  </si>
  <si>
    <t>CRD 083 01</t>
  </si>
  <si>
    <t>D 083 01</t>
  </si>
  <si>
    <t>Motor Arm Part 14"</t>
  </si>
  <si>
    <t>C_01059</t>
  </si>
  <si>
    <t>C_01058</t>
  </si>
  <si>
    <t>TNUAV</t>
  </si>
  <si>
    <t>SV Engineering works</t>
  </si>
  <si>
    <t>Chaincentre.in</t>
  </si>
  <si>
    <t>NEO/61/TRG/27</t>
  </si>
  <si>
    <t>DZR/26/8275</t>
  </si>
  <si>
    <t>CB/1693/26-27</t>
  </si>
  <si>
    <t>26" full crash drone &amp; 26"</t>
  </si>
  <si>
    <t>3 scrap 26"</t>
  </si>
  <si>
    <r>
      <rPr>
        <sz val="11"/>
        <color rgb="FFFF0000"/>
        <rFont val="Outfit"/>
      </rPr>
      <t xml:space="preserve">1-CCW crashed </t>
    </r>
    <r>
      <rPr>
        <sz val="11"/>
        <color rgb="FF000000"/>
        <rFont val="Outfit"/>
      </rPr>
      <t>&amp; 1 box integrated in warehouse drone, remaining CW in inv</t>
    </r>
  </si>
  <si>
    <t>INV2627/163561</t>
  </si>
  <si>
    <t>Propellers</t>
  </si>
  <si>
    <t>santhosh having</t>
  </si>
  <si>
    <t>2 G20 RC units are available. One has been sent to Trivandrum, while the other is in the assembly area. The G20 air unit  was completely damaged when the 26-inch drone crashed.</t>
  </si>
  <si>
    <t>C_01056</t>
  </si>
  <si>
    <t>Laser cutting</t>
  </si>
  <si>
    <t>Chennai Laser</t>
  </si>
  <si>
    <t>CL-045</t>
  </si>
  <si>
    <t>BW-504/26</t>
  </si>
  <si>
    <t>8Qty Outward 14", 1 in integrated 2007 &amp; 1 in assembly area</t>
  </si>
  <si>
    <t>Assam Agricultural University</t>
  </si>
  <si>
    <t>Here 4 Base</t>
  </si>
  <si>
    <t xml:space="preserve">6S 30000mAh Solid State Battery </t>
  </si>
  <si>
    <t>Laser cutting MS-3mm</t>
  </si>
  <si>
    <t>C_00298</t>
  </si>
  <si>
    <t>ELD/069</t>
  </si>
  <si>
    <t>399/2026-27</t>
  </si>
  <si>
    <t>Bee Yes Kay Engineers</t>
  </si>
  <si>
    <t>24/1998</t>
  </si>
  <si>
    <t>CL-062</t>
  </si>
  <si>
    <t>Carborundum Universal Limited</t>
  </si>
  <si>
    <t>FRPINV/000190/26</t>
  </si>
  <si>
    <t>Electrotek-NRSC</t>
  </si>
  <si>
    <t>Sent to Electrotek</t>
  </si>
  <si>
    <t>4-SCRAP, 4-ASTRA-26(OLD demo Rebuilt)</t>
  </si>
  <si>
    <t>wrong design(SCRAP)</t>
  </si>
  <si>
    <t>old demo rebuilt-astra-26"</t>
  </si>
  <si>
    <t>30"-2, 30"-2, 2-scrap-astra 26"2-scrap-astra-18"</t>
  </si>
  <si>
    <t>Jhansi-2, 1-scrap</t>
  </si>
  <si>
    <t>4-26" Crash (Remaining R43)</t>
  </si>
  <si>
    <t>2 in inventory, 2- CRASH</t>
  </si>
  <si>
    <t>4-26" CRASH, 4 Old demo rebuilt</t>
  </si>
  <si>
    <t>sample - scrap</t>
  </si>
  <si>
    <t>26" old drone - scrap</t>
  </si>
  <si>
    <t>inventory- Scrap</t>
  </si>
  <si>
    <t>Folding arm mechanism version 1</t>
  </si>
  <si>
    <t>fixed arm attach with folding arm mechanism</t>
  </si>
  <si>
    <t xml:space="preserve">26 Inch drone no 01- Fully crashed </t>
  </si>
  <si>
    <t>14"- 1- scrap</t>
  </si>
  <si>
    <t>1- scrap 26" (replace)</t>
  </si>
  <si>
    <t>26"(replace)</t>
  </si>
  <si>
    <t>R50,R35</t>
  </si>
  <si>
    <t>Astra-x(30" &amp; 26"Old rebuilt)</t>
  </si>
  <si>
    <t>FPV1 FPV Scrap</t>
  </si>
  <si>
    <t>R6, R7</t>
  </si>
  <si>
    <t>2- 30", 1-26" Old drone rebuilt</t>
  </si>
  <si>
    <t>Above L17</t>
  </si>
  <si>
    <t>5L, 22 Horizontal drone</t>
  </si>
  <si>
    <t>bhima  IITR</t>
  </si>
  <si>
    <t>Bhumi Non TC-01,07,09,13 Bhumi TC-11,21,17(Nevar),bhima, (Remaining 6)</t>
  </si>
  <si>
    <t>3 0N JHANSI, 2 INVENTORY</t>
  </si>
  <si>
    <t>2-Jhansi, 26"-2, 18"-2</t>
  </si>
  <si>
    <t>30"-4, 26"-2(old rebuilt), Scrap (1 - RPF - 2005)</t>
  </si>
  <si>
    <t>R47</t>
  </si>
  <si>
    <t>SALE(Elecdrone)</t>
  </si>
  <si>
    <t>Robu box</t>
  </si>
  <si>
    <t>30"-2, comm box-2, 4-scrap</t>
  </si>
  <si>
    <t>ARIS scrap</t>
  </si>
  <si>
    <t>Blessings Printers</t>
  </si>
  <si>
    <t>17CM Length Short Pull Rubber Band 0.55MM-1.0mm Thickness High Quality Slingshot Catapult Accessories and Replacement Flat Bands - 1 Piec</t>
  </si>
  <si>
    <t>C_01066</t>
  </si>
  <si>
    <t>TAM-32600/26-27</t>
  </si>
  <si>
    <t>Eteily Technologies India Pvt Ltd</t>
  </si>
  <si>
    <t>ET/26-27/921</t>
  </si>
  <si>
    <t>3M™ Loop Fastener SJ3571</t>
  </si>
  <si>
    <t>3M™ Hook Fastener SJ3572</t>
  </si>
  <si>
    <t>Con USB to Casio</t>
  </si>
  <si>
    <t>LWC-CA-SMA-JACK-BH-ST-UFL-1.13mm RF Cable Assemblies-15cm</t>
  </si>
  <si>
    <t>5G 3dBi Rubber Duck Antenna With SMA Male Movable Connector</t>
  </si>
  <si>
    <t>issued to Tamil selvan R</t>
  </si>
  <si>
    <t>Frequency Hopping</t>
  </si>
  <si>
    <t>C_01064</t>
  </si>
  <si>
    <t>C_01065</t>
  </si>
  <si>
    <t>C_01061</t>
  </si>
  <si>
    <t>C_01062</t>
  </si>
  <si>
    <t>C_01063</t>
  </si>
  <si>
    <t>R60</t>
  </si>
  <si>
    <t>Payload stand, Bands Holder Folding</t>
  </si>
  <si>
    <t>Allfab Engineers</t>
  </si>
  <si>
    <t>094/26-27</t>
  </si>
  <si>
    <t xml:space="preserve">(3 CF -TOP/BOTTOM PLATE-3 Qty(06/10/2025) (1 CF -TOP/BOTTOM PLATE-1 Qty(25/10/2025) </t>
  </si>
  <si>
    <t>Astra 26 -2, Jhansi-1, TNAU-1</t>
  </si>
  <si>
    <t>Vajra scrap-R43,1-ASTRA(TOP PLATE &amp; BOTTOM PLATE)- glossy finish</t>
  </si>
  <si>
    <t>rpf old plate</t>
  </si>
  <si>
    <t>BHUMI (FC PLATFORM PLATE-1 CF=3 PCS)</t>
  </si>
  <si>
    <t>BHUMI (TOP PLATE AND BOTTOM PLATE FOR BHUMI &amp; BHIMA)</t>
  </si>
  <si>
    <t>Bhumi (USED FOR OBSTACLE SENSOR PLATE)</t>
  </si>
  <si>
    <t>HAHER-02 (OLD ASTRA - FIXED ARM &amp; FOLDABLE ARM)</t>
  </si>
  <si>
    <t xml:space="preserve">Blue bin   </t>
  </si>
  <si>
    <t>Warehouse Motor Arm</t>
  </si>
  <si>
    <t>tamil R used</t>
  </si>
  <si>
    <t>16x14x250 Astra old-2</t>
  </si>
  <si>
    <t>FPV, 1-holder crash</t>
  </si>
  <si>
    <t>INSIDE ONE ENCLOSURE</t>
  </si>
  <si>
    <t xml:space="preserve">FPV, Bhima-1 </t>
  </si>
  <si>
    <t>3 WAS Missing</t>
  </si>
  <si>
    <t>Issued to Tamil selvan R</t>
  </si>
  <si>
    <t>amiciSolar DC-DC 400W 15A Step-Down Buck Converter, 10.5V-60VDC to 0.5V-45V</t>
  </si>
  <si>
    <t>INV-26270027002</t>
  </si>
  <si>
    <t>QNCA-25363</t>
  </si>
  <si>
    <t>C_01067</t>
  </si>
  <si>
    <t>Issued to Tamil R</t>
  </si>
  <si>
    <t>Tamil selvan R Used FHSS Project</t>
  </si>
  <si>
    <t>Dheena using</t>
  </si>
  <si>
    <t>Jhansi</t>
  </si>
  <si>
    <r>
      <t xml:space="preserve">14"-16 OUTWARD, 8 in Assembly area, </t>
    </r>
    <r>
      <rPr>
        <sz val="11"/>
        <color rgb="FFFF6600"/>
        <rFont val="Outfit"/>
      </rPr>
      <t xml:space="preserve">2-2002 RPF Rebuilt, </t>
    </r>
    <r>
      <rPr>
        <sz val="11"/>
        <color rgb="FF000000"/>
        <rFont val="Outfit"/>
      </rPr>
      <t>remaining 2 in inventory</t>
    </r>
  </si>
  <si>
    <t>14", 14" Rebuild</t>
  </si>
  <si>
    <t>M3X30mm Spacer</t>
  </si>
  <si>
    <t xml:space="preserve">Went to Hyderabad </t>
  </si>
  <si>
    <t>Totally 9, 3-scrap, 6 good in condition</t>
  </si>
  <si>
    <t>Payload Dropper, another 1 scrap</t>
  </si>
  <si>
    <t>Totally 2, 1 in payload another 1 scrap</t>
  </si>
  <si>
    <t>ASTRA-14-2005,Bhumi 5L M/S, Bhumi 13, Bhumi Non-TC-07 &amp; Bhumi Non-TC-09, 2-using Nevar Team</t>
  </si>
  <si>
    <t>4 scrap</t>
  </si>
  <si>
    <t>10 qty we have, 06 qty working condition remaining 4 qty non working condition.</t>
  </si>
  <si>
    <t>14"-10 used,  30"-1 YET TO BUILD &amp; REMAINING - 03</t>
  </si>
  <si>
    <t>Converted into 4S 2P 4000mAh Battery</t>
  </si>
  <si>
    <t xml:space="preserve">Green Warehouse drone </t>
  </si>
  <si>
    <t>bhima</t>
  </si>
  <si>
    <t>Integrated in Railway Drone</t>
  </si>
  <si>
    <t>M3 X 8mm Phillips CSK SS 304 Screw (Dia. 3mm, Length 8mm)</t>
  </si>
  <si>
    <t>M3 X 6mm Phillips CSK SS 304 Screw (Dia. 3mm, Length 6mm)</t>
  </si>
  <si>
    <t>ONLSCR54772</t>
  </si>
  <si>
    <t>PCSKM308</t>
  </si>
  <si>
    <t>PCSKM306</t>
  </si>
  <si>
    <t>C_01068</t>
  </si>
  <si>
    <t>C_01069</t>
  </si>
  <si>
    <t>3 in nano drone</t>
  </si>
  <si>
    <t>Bhumi 11 &amp; Bhumi 21</t>
  </si>
  <si>
    <t>Bhumi V1.1 01 &amp; Bhumi V1.0 21</t>
  </si>
  <si>
    <t>Green colour (military bag)</t>
  </si>
  <si>
    <t>CompuPort - 4 Pins Boot Molex DC GPIO AWG24 Power Cable Shielded and soldered Tips, Compatible with Microhard, Cradlepoint, Teltonika, Sierra Wireless Airlink, Peplink, Perl,e and More Cellular Modems</t>
  </si>
  <si>
    <t>IN-29687</t>
  </si>
  <si>
    <t>26-27/405157</t>
  </si>
  <si>
    <t>C_01070</t>
  </si>
  <si>
    <t>PFI-4</t>
  </si>
  <si>
    <t>astra-x, bhumi &amp; bhima, R&amp;D (Dheena)</t>
  </si>
  <si>
    <t>26"&amp; 30"</t>
  </si>
  <si>
    <t>Scrap Qty</t>
  </si>
  <si>
    <t xml:space="preserve">2-Bhumi 5L Vertical Sprayer &amp; 2-Bhumi Horrizontal </t>
  </si>
  <si>
    <t>2-Bhumi 5L Vertical Sprayer, 2-Bhumi Horrizontal</t>
  </si>
  <si>
    <t>IITR, 2 scrap</t>
  </si>
  <si>
    <t>26"  (2 box unopened) 2-in drone</t>
  </si>
  <si>
    <t>26" , 1-in drone</t>
  </si>
  <si>
    <t>Astra-x, scrap</t>
  </si>
  <si>
    <t>26" 30", R&amp;D testing, scrap</t>
  </si>
  <si>
    <t>3-bhumi horizontal, 3-Bhumi 22 Horizontal drone, scrap</t>
  </si>
  <si>
    <t>1- scrap, 1-bhumi 22 Horizontal , BHUMI - 17</t>
  </si>
  <si>
    <t>Astra-x scrap</t>
  </si>
  <si>
    <t xml:space="preserve">Used RPF </t>
  </si>
  <si>
    <t>Usend RPF</t>
  </si>
  <si>
    <t>14"- 32 OUTWARD - replace 1 box -2005, 1-box madurai , (2-box in assembly area) (2002 RPF-Rebuilt-1 box) (14" rebuild-2box)</t>
  </si>
  <si>
    <t>14" Rebuild</t>
  </si>
  <si>
    <t>IITR, Bhima</t>
  </si>
  <si>
    <t xml:space="preserve">Integarated with green colour warehouse </t>
  </si>
  <si>
    <t>Fire fighting</t>
  </si>
  <si>
    <t xml:space="preserve">1 USED, 2-Used IIT Roorkee, 1- bhumi horizontal drone, 1- Bhumi 22 Horizontal drone, </t>
  </si>
  <si>
    <t>1- REPAIR BHUMI V1.1 05</t>
  </si>
  <si>
    <t>2 USED BHUMI, 1- REPAIR BHUMI V1.1 05</t>
  </si>
  <si>
    <t>Used Bhumi,  1-Bhumi 5L Vertical Sprayer,1-Bhumi 5L Horrizontal Sprayer, Bhumi 22 Horizontal Sprayer</t>
  </si>
  <si>
    <t>1-BHUMI 17, 1-Bhumi 22 Horizontal drone, 1-repair bhumi V1.1 05</t>
  </si>
  <si>
    <t>green colour warehouse drone</t>
  </si>
  <si>
    <t>Repair Bhumi V1.1 05</t>
  </si>
  <si>
    <t>1-Scrap bhumi 22, 1- Repair Bhumi V1.1 05</t>
  </si>
  <si>
    <t>Bhumi Non Tc-07, 11, 01, Bhumi Horizontal Drone, 22 Horizontal drone, Repair Bhumi V1.1 05</t>
  </si>
  <si>
    <t>used, 1-Bhumi Non Tc-13, 1-Bhumi 22 Horizontal drone, 1-Repair Bhumi V1.1 05</t>
  </si>
  <si>
    <t>BHUMI USED</t>
  </si>
  <si>
    <t>BHUMI USED, 1-Repair bhumi V1.1 05</t>
  </si>
  <si>
    <t>1-Bhumi Non Tc-09, 1-Bhumi Non Tc-01, 1-Bhumi Non Tc-13, 1-Bhumi Non Tc-07, bhumi 22 horizontal drone, 1-Repair Bhumi V1.1 05</t>
  </si>
  <si>
    <r>
      <t>3 in inventory, Non TC-09, 13, 07(Nevar), TC - 11 &amp; 21,</t>
    </r>
    <r>
      <rPr>
        <sz val="11"/>
        <color rgb="FFFF0000"/>
        <rFont val="Outfit"/>
      </rPr>
      <t>1- Bhumi 22 Horizontal</t>
    </r>
    <r>
      <rPr>
        <sz val="11"/>
        <color rgb="FF000000"/>
        <rFont val="Outfit"/>
      </rPr>
      <t>, 1-Repair Bhumi V1.1 05</t>
    </r>
  </si>
  <si>
    <t>14-Bhumi Used</t>
  </si>
  <si>
    <t>FPV &amp; scrap</t>
  </si>
  <si>
    <t>07,03,05,06,13 &amp; 5L (1-Repair Bhumi V1.1 09)</t>
  </si>
  <si>
    <t>3 scrap</t>
  </si>
  <si>
    <t>astra-x 17 inch (Jhansi)</t>
  </si>
  <si>
    <t>Astra-x 26"</t>
  </si>
  <si>
    <t xml:space="preserve">4 meter used </t>
  </si>
  <si>
    <t>old demo rebuilt, 8-CRASH 26"</t>
  </si>
  <si>
    <t xml:space="preserve">26" </t>
  </si>
  <si>
    <t>2 spacer using Kavin</t>
  </si>
  <si>
    <t>2627/INV2193</t>
  </si>
  <si>
    <t>Need invoice</t>
  </si>
  <si>
    <t>2002 RPF-Rebuild</t>
  </si>
  <si>
    <t>2007-rebuild(clients need)</t>
  </si>
  <si>
    <t>14", 2007-Rebuild(clients needs)</t>
  </si>
  <si>
    <t>2002 EPF-Rebuild</t>
  </si>
  <si>
    <t xml:space="preserve">14", 30" </t>
  </si>
  <si>
    <t>Astra-26", Astra-24"</t>
  </si>
  <si>
    <t>Astra-24"</t>
  </si>
  <si>
    <t>BHUMI 11, Bhumi V1.1 005</t>
  </si>
  <si>
    <t>8-Bhumi Used, 1-Repair Bhumi V1.1 05</t>
  </si>
  <si>
    <t>13 un-used</t>
  </si>
  <si>
    <t>Elastic Band</t>
  </si>
  <si>
    <t>6mm Heat Shrinkable Sleeves Red</t>
  </si>
  <si>
    <t>6mm Spiral Sleeves Black</t>
  </si>
  <si>
    <t>C_00076</t>
  </si>
  <si>
    <t>C_00077</t>
  </si>
  <si>
    <t>Roll</t>
  </si>
  <si>
    <t>ELD/QT/649</t>
  </si>
  <si>
    <t>Bhumi 5L &amp; 1 Using sri ganesh (returned), Astra-26</t>
  </si>
  <si>
    <t>14" &amp; Astra-26</t>
  </si>
  <si>
    <t>2 scrap 2 in Assembly area</t>
  </si>
  <si>
    <t>C_01071</t>
  </si>
  <si>
    <t>ELD/QT/652</t>
  </si>
  <si>
    <t>NT-INV-2721</t>
  </si>
  <si>
    <r>
      <rPr>
        <sz val="11"/>
        <color theme="9"/>
        <rFont val="Outfit"/>
      </rPr>
      <t>1 box- Replace RPF &amp; 2005</t>
    </r>
    <r>
      <rPr>
        <sz val="11"/>
        <color rgb="FF000000"/>
        <rFont val="Outfit"/>
      </rPr>
      <t xml:space="preserve"> </t>
    </r>
    <r>
      <rPr>
        <sz val="11"/>
        <color rgb="FF7030A0"/>
        <rFont val="Outfit"/>
      </rPr>
      <t>(6 box - Replace TN-UAV)</t>
    </r>
    <r>
      <rPr>
        <sz val="11"/>
        <color rgb="FF000000"/>
        <rFont val="Outfit"/>
      </rPr>
      <t xml:space="preserve">, </t>
    </r>
    <r>
      <rPr>
        <sz val="11"/>
        <color rgb="FFFF6600"/>
        <rFont val="Outfit"/>
      </rPr>
      <t xml:space="preserve">1 </t>
    </r>
    <r>
      <rPr>
        <sz val="11"/>
        <color rgb="FF00B0F0"/>
        <rFont val="Outfit"/>
      </rPr>
      <t>Motor replace - Trivandrum</t>
    </r>
    <r>
      <rPr>
        <sz val="11"/>
        <color rgb="FF000000"/>
        <rFont val="Outfit"/>
      </rPr>
      <t>,</t>
    </r>
    <r>
      <rPr>
        <sz val="11"/>
        <color rgb="FF00B0F0"/>
        <rFont val="Outfit"/>
      </rPr>
      <t xml:space="preserve"> </t>
    </r>
    <r>
      <rPr>
        <sz val="11"/>
        <color rgb="FFFF0000"/>
        <rFont val="Outfit"/>
      </rPr>
      <t>Remaining Trivandrum motor (Issue to 2002 RPF Rebuilt)</t>
    </r>
    <r>
      <rPr>
        <sz val="11"/>
        <color rgb="FF000000"/>
        <rFont val="Outfit"/>
      </rPr>
      <t>, 14" Rebuild -1 box, 2002-RPF Rebuild 1 Motor used</t>
    </r>
  </si>
  <si>
    <t>Skydroid GR01 Receiver</t>
  </si>
  <si>
    <t>NT-INV-2725</t>
  </si>
  <si>
    <t>Using Tamil R</t>
  </si>
  <si>
    <t>out of 12 (used 5 packs)</t>
  </si>
  <si>
    <t>C_01072</t>
  </si>
  <si>
    <t>astra-x, Warehouse</t>
  </si>
  <si>
    <t>1 Used,1-Bhumi Non Tc-13, 1-Bhumi 5L, Astra-261-Tech arun Using in G20 RC Purpose &amp; 1-Dhivya Using MK15 (M&amp;S Purpose)</t>
  </si>
  <si>
    <t>Astra-x, R&amp;D Projects &amp; Bhumi</t>
  </si>
  <si>
    <t>5 in inventory (Astra-x, R&amp;D Projects &amp; Bhumi)</t>
  </si>
  <si>
    <t>1-Bhumi Non Tc-09, 1-Bhumi Non Tc-01, 1-Bhumi Non Tc-13, 1-Bhumi Non Tc-07, 1-Bhumi Non Tc-17 &amp; Astra-x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</si>
</sst>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[$₹-4009]\ * #,##0.00_ ;_ [$₹-4009]\ * \-#,##0.00_ ;_ [$₹-4009]\ * \-??_ ;_ @_ "/>
    <numFmt numFmtId="165" formatCode="d\ mmm&quot;, &quot;yyyy"/>
    <numFmt numFmtId="166" formatCode="&quot;₹ &quot;#,##0.00;[Red]&quot;₹ -&quot;#,##0.00"/>
    <numFmt numFmtId="167" formatCode="d\ mmm\,\ 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Outfit"/>
    </font>
    <font>
      <sz val="11"/>
      <name val="Outfit"/>
    </font>
    <font>
      <sz val="11"/>
      <color rgb="FF000000"/>
      <name val="Outfit"/>
    </font>
    <font>
      <sz val="11"/>
      <color theme="1"/>
      <name val="Outfit"/>
    </font>
    <font>
      <sz val="11"/>
      <color rgb="FFFF0000"/>
      <name val="Outfit"/>
    </font>
    <font>
      <sz val="11"/>
      <color rgb="FFFF0000"/>
      <name val="Calibri"/>
      <family val="2"/>
      <charset val="1"/>
    </font>
    <font>
      <b/>
      <sz val="11"/>
      <color rgb="FFFF0000"/>
      <name val="Outfit"/>
    </font>
    <font>
      <sz val="10"/>
      <color rgb="FF000000"/>
      <name val="Outfit"/>
    </font>
    <font>
      <b/>
      <sz val="11"/>
      <color rgb="FF00B050"/>
      <name val="Outfi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rgb="FF00B0F0"/>
      <name val="Outfit"/>
    </font>
    <font>
      <sz val="11"/>
      <color theme="10"/>
      <name val="Outfit"/>
    </font>
    <font>
      <sz val="11"/>
      <color rgb="FF002060"/>
      <name val="Outfit"/>
    </font>
    <font>
      <sz val="11"/>
      <color rgb="FF7030A0"/>
      <name val="Outfit"/>
    </font>
    <font>
      <sz val="11"/>
      <color rgb="FFFF6600"/>
      <name val="Outfit"/>
    </font>
    <font>
      <sz val="8"/>
      <name val="Calibri"/>
      <family val="2"/>
      <scheme val="minor"/>
    </font>
    <font>
      <sz val="11"/>
      <color rgb="FFFF0066"/>
      <name val="Outfit"/>
    </font>
    <font>
      <sz val="11"/>
      <color theme="9"/>
      <name val="Outfit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E699"/>
      </patternFill>
    </fill>
    <fill>
      <patternFill patternType="solid">
        <fgColor theme="5" tint="0.79989013336588644"/>
        <bgColor rgb="FFF2F2F2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5F4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35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 wrapText="1"/>
    </xf>
    <xf numFmtId="43" fontId="3" fillId="0" borderId="1" xfId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3" fontId="3" fillId="0" borderId="1" xfId="1" applyFont="1" applyBorder="1" applyAlignment="1" applyProtection="1">
      <alignment horizontal="left" vertical="center" wrapText="1"/>
    </xf>
    <xf numFmtId="43" fontId="3" fillId="0" borderId="1" xfId="1" applyFont="1" applyFill="1" applyBorder="1" applyAlignment="1">
      <alignment horizontal="left" vertical="center" wrapText="1"/>
    </xf>
    <xf numFmtId="43" fontId="3" fillId="0" borderId="1" xfId="1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9" fontId="2" fillId="2" borderId="1" xfId="2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3" fontId="6" fillId="0" borderId="1" xfId="1" applyFont="1" applyBorder="1" applyAlignment="1">
      <alignment horizontal="left" vertical="center" wrapText="1"/>
    </xf>
    <xf numFmtId="43" fontId="6" fillId="0" borderId="1" xfId="1" applyFont="1" applyBorder="1" applyAlignment="1" applyProtection="1">
      <alignment horizontal="center" vertical="center" wrapText="1"/>
    </xf>
    <xf numFmtId="43" fontId="6" fillId="0" borderId="1" xfId="1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4" fontId="8" fillId="0" borderId="2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43" fontId="2" fillId="0" borderId="1" xfId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64" fontId="3" fillId="0" borderId="1" xfId="2" applyNumberFormat="1" applyFont="1" applyBorder="1" applyAlignment="1" applyProtection="1">
      <alignment horizontal="left" vertical="center" wrapText="1"/>
    </xf>
    <xf numFmtId="43" fontId="4" fillId="0" borderId="1" xfId="1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3" fontId="3" fillId="0" borderId="0" xfId="1" applyFont="1" applyBorder="1" applyAlignment="1" applyProtection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2" fillId="0" borderId="1" xfId="3" applyBorder="1" applyAlignment="1">
      <alignment vertical="center"/>
    </xf>
    <xf numFmtId="14" fontId="3" fillId="0" borderId="2" xfId="0" applyNumberFormat="1" applyFont="1" applyBorder="1" applyAlignment="1">
      <alignment horizontal="left" vertical="center"/>
    </xf>
    <xf numFmtId="43" fontId="3" fillId="0" borderId="3" xfId="1" applyFont="1" applyFill="1" applyBorder="1" applyAlignment="1">
      <alignment horizontal="left" vertical="center" wrapText="1"/>
    </xf>
    <xf numFmtId="43" fontId="3" fillId="0" borderId="3" xfId="1" applyFont="1" applyBorder="1" applyAlignment="1">
      <alignment horizontal="left" vertical="center" wrapText="1"/>
    </xf>
    <xf numFmtId="43" fontId="3" fillId="0" borderId="3" xfId="1" applyFont="1" applyBorder="1" applyAlignment="1" applyProtection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43" fontId="4" fillId="0" borderId="1" xfId="1" applyFont="1" applyBorder="1" applyAlignment="1">
      <alignment vertical="center" wrapText="1"/>
    </xf>
    <xf numFmtId="43" fontId="0" fillId="0" borderId="1" xfId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3" fontId="3" fillId="0" borderId="0" xfId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67" fontId="3" fillId="0" borderId="1" xfId="0" applyNumberFormat="1" applyFont="1" applyBorder="1" applyAlignment="1">
      <alignment horizontal="left" vertical="center" wrapText="1"/>
    </xf>
    <xf numFmtId="43" fontId="3" fillId="0" borderId="1" xfId="1" applyFont="1" applyFill="1" applyBorder="1" applyAlignment="1" applyProtection="1">
      <alignment horizontal="left" vertical="center" wrapText="1"/>
    </xf>
    <xf numFmtId="14" fontId="3" fillId="5" borderId="1" xfId="0" applyNumberFormat="1" applyFont="1" applyFill="1" applyBorder="1" applyAlignment="1">
      <alignment horizontal="left" vertical="center" wrapText="1"/>
    </xf>
    <xf numFmtId="43" fontId="4" fillId="0" borderId="1" xfId="1" applyFont="1" applyFill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43" fontId="3" fillId="0" borderId="3" xfId="1" applyFont="1" applyFill="1" applyBorder="1" applyAlignment="1" applyProtection="1">
      <alignment horizontal="left" vertical="center" wrapText="1"/>
    </xf>
    <xf numFmtId="43" fontId="0" fillId="0" borderId="1" xfId="1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4" fontId="3" fillId="6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67" fontId="3" fillId="0" borderId="6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43" fontId="3" fillId="0" borderId="6" xfId="1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43" fontId="0" fillId="0" borderId="6" xfId="1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167" fontId="3" fillId="0" borderId="3" xfId="0" applyNumberFormat="1" applyFont="1" applyBorder="1" applyAlignment="1">
      <alignment horizontal="left" vertical="center" wrapText="1"/>
    </xf>
    <xf numFmtId="14" fontId="3" fillId="0" borderId="6" xfId="0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43" fontId="0" fillId="0" borderId="3" xfId="1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left" vertical="center" wrapText="1"/>
    </xf>
    <xf numFmtId="43" fontId="3" fillId="0" borderId="5" xfId="1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left" vertical="center" wrapText="1"/>
    </xf>
    <xf numFmtId="14" fontId="3" fillId="0" borderId="11" xfId="0" applyNumberFormat="1" applyFont="1" applyBorder="1" applyAlignment="1">
      <alignment horizontal="left" vertical="center" wrapText="1"/>
    </xf>
    <xf numFmtId="167" fontId="3" fillId="0" borderId="11" xfId="0" applyNumberFormat="1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43" fontId="3" fillId="0" borderId="11" xfId="1" applyFont="1" applyBorder="1" applyAlignment="1">
      <alignment horizontal="left" vertical="center" wrapText="1"/>
    </xf>
    <xf numFmtId="9" fontId="3" fillId="0" borderId="11" xfId="1" applyNumberFormat="1" applyFont="1" applyBorder="1" applyAlignment="1" applyProtection="1">
      <alignment horizontal="center" vertical="center" wrapText="1"/>
    </xf>
    <xf numFmtId="43" fontId="3" fillId="0" borderId="11" xfId="1" applyFont="1" applyBorder="1" applyAlignment="1" applyProtection="1">
      <alignment horizontal="left" vertical="center" wrapText="1"/>
    </xf>
    <xf numFmtId="43" fontId="0" fillId="0" borderId="11" xfId="1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43" fontId="3" fillId="0" borderId="6" xfId="1" applyFont="1" applyFill="1" applyBorder="1" applyAlignment="1">
      <alignment horizontal="left" vertical="center" wrapText="1"/>
    </xf>
    <xf numFmtId="43" fontId="3" fillId="0" borderId="6" xfId="1" applyFont="1" applyBorder="1" applyAlignment="1" applyProtection="1">
      <alignment horizontal="left" vertical="center" wrapText="1"/>
    </xf>
    <xf numFmtId="43" fontId="3" fillId="0" borderId="11" xfId="1" applyFont="1" applyFill="1" applyBorder="1" applyAlignment="1">
      <alignment horizontal="left" vertical="center" wrapText="1"/>
    </xf>
    <xf numFmtId="43" fontId="0" fillId="0" borderId="11" xfId="1" applyFont="1" applyFill="1" applyBorder="1" applyAlignment="1">
      <alignment horizontal="left"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 wrapText="1"/>
    </xf>
    <xf numFmtId="43" fontId="13" fillId="0" borderId="11" xfId="1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/>
    </xf>
    <xf numFmtId="0" fontId="12" fillId="0" borderId="3" xfId="3" applyBorder="1" applyAlignment="1">
      <alignment horizontal="left" vertical="center" wrapText="1"/>
    </xf>
    <xf numFmtId="0" fontId="12" fillId="0" borderId="11" xfId="3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14" fontId="6" fillId="6" borderId="1" xfId="0" applyNumberFormat="1" applyFont="1" applyFill="1" applyBorder="1" applyAlignment="1">
      <alignment horizontal="left" vertical="center" wrapText="1"/>
    </xf>
    <xf numFmtId="14" fontId="6" fillId="0" borderId="6" xfId="0" applyNumberFormat="1" applyFont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left" vertical="center" wrapText="1"/>
    </xf>
    <xf numFmtId="0" fontId="3" fillId="0" borderId="11" xfId="1" applyNumberFormat="1" applyFont="1" applyBorder="1" applyAlignment="1">
      <alignment horizontal="left" vertical="center" wrapText="1"/>
    </xf>
    <xf numFmtId="0" fontId="3" fillId="8" borderId="6" xfId="0" applyFont="1" applyFill="1" applyBorder="1" applyAlignment="1">
      <alignment horizontal="left" vertical="center" wrapText="1"/>
    </xf>
    <xf numFmtId="14" fontId="3" fillId="8" borderId="1" xfId="0" applyNumberFormat="1" applyFont="1" applyFill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3" fillId="0" borderId="13" xfId="0" applyFont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14" fontId="3" fillId="9" borderId="1" xfId="0" applyNumberFormat="1" applyFont="1" applyFill="1" applyBorder="1" applyAlignment="1">
      <alignment horizontal="left" vertical="center" wrapText="1"/>
    </xf>
    <xf numFmtId="0" fontId="3" fillId="9" borderId="6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4" fillId="9" borderId="6" xfId="0" applyFont="1" applyFill="1" applyBorder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left" vertical="center" wrapText="1"/>
    </xf>
    <xf numFmtId="0" fontId="14" fillId="9" borderId="11" xfId="0" applyFont="1" applyFill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43" fontId="3" fillId="10" borderId="1" xfId="1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0" fillId="10" borderId="0" xfId="0" applyFill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/>
    </xf>
    <xf numFmtId="167" fontId="3" fillId="0" borderId="14" xfId="0" applyNumberFormat="1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3" fontId="3" fillId="0" borderId="14" xfId="1" applyFont="1" applyBorder="1" applyAlignment="1">
      <alignment horizontal="left" vertical="center" wrapText="1"/>
    </xf>
    <xf numFmtId="43" fontId="0" fillId="0" borderId="14" xfId="1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/>
    </xf>
    <xf numFmtId="0" fontId="3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3" fillId="9" borderId="14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15" fillId="0" borderId="1" xfId="3" applyFont="1" applyBorder="1" applyAlignment="1">
      <alignment vertical="center"/>
    </xf>
    <xf numFmtId="43" fontId="5" fillId="0" borderId="1" xfId="1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0" borderId="6" xfId="1" applyFont="1" applyBorder="1" applyAlignment="1">
      <alignment horizontal="left" vertical="center" wrapText="1"/>
    </xf>
    <xf numFmtId="43" fontId="5" fillId="0" borderId="11" xfId="1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43" fontId="5" fillId="0" borderId="14" xfId="1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 wrapText="1"/>
    </xf>
    <xf numFmtId="165" fontId="3" fillId="0" borderId="11" xfId="0" applyNumberFormat="1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  <xf numFmtId="14" fontId="3" fillId="0" borderId="14" xfId="0" applyNumberFormat="1" applyFont="1" applyBorder="1" applyAlignment="1">
      <alignment horizontal="left" vertical="center" wrapText="1"/>
    </xf>
    <xf numFmtId="14" fontId="3" fillId="0" borderId="9" xfId="0" applyNumberFormat="1" applyFont="1" applyBorder="1" applyAlignment="1">
      <alignment horizontal="left" vertical="center" wrapText="1"/>
    </xf>
    <xf numFmtId="14" fontId="3" fillId="11" borderId="1" xfId="0" applyNumberFormat="1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0" fontId="3" fillId="7" borderId="14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0" fillId="9" borderId="0" xfId="0" applyFill="1"/>
    <xf numFmtId="0" fontId="0" fillId="7" borderId="0" xfId="0" applyFill="1"/>
    <xf numFmtId="0" fontId="0" fillId="11" borderId="0" xfId="0" applyFill="1"/>
    <xf numFmtId="0" fontId="3" fillId="7" borderId="1" xfId="0" applyFont="1" applyFill="1" applyBorder="1" applyAlignment="1">
      <alignment vertical="center"/>
    </xf>
    <xf numFmtId="14" fontId="3" fillId="7" borderId="6" xfId="0" applyNumberFormat="1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43" fontId="3" fillId="0" borderId="14" xfId="1" applyFont="1" applyFill="1" applyBorder="1" applyAlignment="1">
      <alignment horizontal="left" vertical="center" wrapText="1"/>
    </xf>
    <xf numFmtId="43" fontId="3" fillId="0" borderId="14" xfId="1" applyFont="1" applyBorder="1" applyAlignment="1" applyProtection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65" fontId="3" fillId="0" borderId="14" xfId="0" applyNumberFormat="1" applyFont="1" applyBorder="1" applyAlignment="1">
      <alignment horizontal="left" vertical="center" wrapText="1"/>
    </xf>
    <xf numFmtId="9" fontId="4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left" vertical="center" wrapText="1"/>
    </xf>
    <xf numFmtId="0" fontId="3" fillId="13" borderId="14" xfId="0" applyFont="1" applyFill="1" applyBorder="1" applyAlignment="1">
      <alignment horizontal="left" vertical="center" wrapText="1"/>
    </xf>
    <xf numFmtId="0" fontId="0" fillId="13" borderId="0" xfId="0" applyFill="1"/>
    <xf numFmtId="14" fontId="6" fillId="7" borderId="1" xfId="0" applyNumberFormat="1" applyFont="1" applyFill="1" applyBorder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5" fillId="7" borderId="14" xfId="0" applyFont="1" applyFill="1" applyBorder="1" applyAlignment="1">
      <alignment horizontal="left" vertical="center" wrapText="1"/>
    </xf>
    <xf numFmtId="0" fontId="3" fillId="11" borderId="6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4" fillId="0" borderId="3" xfId="1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3" fillId="0" borderId="1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14" fontId="3" fillId="7" borderId="1" xfId="0" applyNumberFormat="1" applyFont="1" applyFill="1" applyBorder="1" applyAlignment="1">
      <alignment horizontal="left" vertical="center"/>
    </xf>
    <xf numFmtId="14" fontId="6" fillId="7" borderId="6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43" fontId="4" fillId="0" borderId="14" xfId="1" applyFont="1" applyBorder="1" applyAlignment="1">
      <alignment horizontal="left" vertical="center" wrapText="1"/>
    </xf>
    <xf numFmtId="43" fontId="5" fillId="0" borderId="3" xfId="1" applyFont="1" applyBorder="1" applyAlignment="1">
      <alignment horizontal="left" vertical="center" wrapText="1"/>
    </xf>
    <xf numFmtId="43" fontId="4" fillId="0" borderId="1" xfId="1" applyFont="1" applyBorder="1" applyAlignment="1">
      <alignment horizontal="center" vertical="center" wrapText="1"/>
    </xf>
    <xf numFmtId="43" fontId="3" fillId="0" borderId="11" xfId="1" applyFont="1" applyBorder="1" applyAlignment="1">
      <alignment horizontal="center" vertical="center" wrapText="1"/>
    </xf>
    <xf numFmtId="43" fontId="3" fillId="0" borderId="4" xfId="1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15" fillId="0" borderId="11" xfId="3" applyFont="1" applyBorder="1" applyAlignment="1">
      <alignment horizontal="left" vertical="center" wrapText="1"/>
    </xf>
    <xf numFmtId="0" fontId="15" fillId="0" borderId="3" xfId="3" applyFont="1" applyBorder="1" applyAlignment="1">
      <alignment horizontal="left" vertical="center" wrapText="1"/>
    </xf>
    <xf numFmtId="43" fontId="3" fillId="0" borderId="2" xfId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9" fontId="3" fillId="0" borderId="14" xfId="1" applyNumberFormat="1" applyFont="1" applyBorder="1" applyAlignment="1" applyProtection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6" fillId="7" borderId="11" xfId="0" applyFont="1" applyFill="1" applyBorder="1" applyAlignment="1">
      <alignment horizontal="left" vertical="center" wrapText="1"/>
    </xf>
    <xf numFmtId="0" fontId="3" fillId="12" borderId="11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6" fillId="7" borderId="14" xfId="0" applyFont="1" applyFill="1" applyBorder="1" applyAlignment="1">
      <alignment horizontal="left" vertical="center" wrapText="1"/>
    </xf>
    <xf numFmtId="14" fontId="3" fillId="14" borderId="1" xfId="0" applyNumberFormat="1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5" fillId="14" borderId="14" xfId="0" applyFont="1" applyFill="1" applyBorder="1" applyAlignment="1">
      <alignment horizontal="left" vertical="center" wrapText="1"/>
    </xf>
    <xf numFmtId="14" fontId="6" fillId="0" borderId="1" xfId="0" applyNumberFormat="1" applyFont="1" applyBorder="1" applyAlignment="1">
      <alignment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vertical="center" wrapText="1"/>
    </xf>
    <xf numFmtId="43" fontId="5" fillId="0" borderId="14" xfId="1" applyFont="1" applyBorder="1" applyAlignment="1">
      <alignment vertical="center" wrapText="1"/>
    </xf>
    <xf numFmtId="43" fontId="5" fillId="0" borderId="3" xfId="1" applyFont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5" fillId="7" borderId="14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left" vertical="center"/>
    </xf>
    <xf numFmtId="43" fontId="5" fillId="0" borderId="14" xfId="0" applyNumberFormat="1" applyFont="1" applyBorder="1" applyAlignment="1">
      <alignment horizontal="left" vertical="center" wrapText="1"/>
    </xf>
    <xf numFmtId="0" fontId="5" fillId="0" borderId="14" xfId="1" applyNumberFormat="1" applyFont="1" applyBorder="1" applyAlignment="1">
      <alignment vertical="center" wrapText="1"/>
    </xf>
    <xf numFmtId="0" fontId="3" fillId="7" borderId="14" xfId="0" applyFont="1" applyFill="1" applyBorder="1" applyAlignment="1">
      <alignment vertical="center" wrapText="1"/>
    </xf>
    <xf numFmtId="0" fontId="3" fillId="12" borderId="14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6" fillId="7" borderId="9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43" fontId="4" fillId="0" borderId="6" xfId="1" applyFont="1" applyBorder="1" applyAlignment="1">
      <alignment horizontal="left" vertical="center" wrapText="1"/>
    </xf>
    <xf numFmtId="43" fontId="4" fillId="0" borderId="1" xfId="1" applyFont="1" applyFill="1" applyBorder="1" applyAlignment="1">
      <alignment vertical="center" wrapText="1"/>
    </xf>
    <xf numFmtId="0" fontId="4" fillId="0" borderId="1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 wrapText="1"/>
    </xf>
    <xf numFmtId="9" fontId="4" fillId="0" borderId="3" xfId="0" applyNumberFormat="1" applyFont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6" fillId="7" borderId="14" xfId="0" applyFont="1" applyFill="1" applyBorder="1" applyAlignment="1">
      <alignment horizontal="left" vertical="center" wrapText="1"/>
    </xf>
    <xf numFmtId="0" fontId="16" fillId="7" borderId="6" xfId="0" applyFont="1" applyFill="1" applyBorder="1" applyAlignment="1">
      <alignment horizontal="left" vertical="center" wrapText="1"/>
    </xf>
    <xf numFmtId="0" fontId="16" fillId="7" borderId="11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left" vertical="center" wrapText="1"/>
    </xf>
    <xf numFmtId="0" fontId="3" fillId="14" borderId="11" xfId="0" applyFont="1" applyFill="1" applyBorder="1" applyAlignment="1">
      <alignment horizontal="left" vertical="center" wrapText="1"/>
    </xf>
    <xf numFmtId="43" fontId="5" fillId="0" borderId="6" xfId="1" applyFont="1" applyFill="1" applyBorder="1" applyAlignment="1">
      <alignment horizontal="left" vertical="center" wrapText="1"/>
    </xf>
    <xf numFmtId="43" fontId="3" fillId="0" borderId="14" xfId="1" applyFont="1" applyFill="1" applyBorder="1" applyAlignment="1" applyProtection="1">
      <alignment horizontal="left" vertical="center" wrapText="1"/>
    </xf>
    <xf numFmtId="43" fontId="5" fillId="0" borderId="14" xfId="1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43" fontId="3" fillId="0" borderId="14" xfId="1" applyFont="1" applyBorder="1" applyAlignment="1" applyProtection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167" fontId="5" fillId="0" borderId="14" xfId="0" applyNumberFormat="1" applyFont="1" applyBorder="1" applyAlignment="1">
      <alignment horizontal="left" vertical="center" wrapText="1"/>
    </xf>
    <xf numFmtId="14" fontId="5" fillId="0" borderId="14" xfId="0" applyNumberFormat="1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3" fillId="15" borderId="14" xfId="0" applyFont="1" applyFill="1" applyBorder="1" applyAlignment="1">
      <alignment horizontal="center" vertical="center" wrapText="1"/>
    </xf>
    <xf numFmtId="0" fontId="10" fillId="15" borderId="14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14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 wrapText="1"/>
    </xf>
    <xf numFmtId="0" fontId="5" fillId="15" borderId="14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 wrapText="1"/>
    </xf>
    <xf numFmtId="43" fontId="5" fillId="0" borderId="1" xfId="1" applyFont="1" applyBorder="1" applyAlignment="1" applyProtection="1">
      <alignment horizontal="center" vertical="center" wrapText="1"/>
    </xf>
    <xf numFmtId="43" fontId="5" fillId="0" borderId="1" xfId="1" applyFont="1" applyBorder="1" applyAlignment="1" applyProtection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0" fillId="7" borderId="6" xfId="0" applyFont="1" applyFill="1" applyBorder="1" applyAlignment="1">
      <alignment horizontal="left" vertical="center" wrapText="1"/>
    </xf>
    <xf numFmtId="0" fontId="5" fillId="7" borderId="1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3" fontId="5" fillId="0" borderId="14" xfId="1" applyFont="1" applyBorder="1" applyAlignment="1">
      <alignment horizontal="center" vertical="center" wrapText="1"/>
    </xf>
    <xf numFmtId="9" fontId="5" fillId="0" borderId="14" xfId="1" applyNumberFormat="1" applyFont="1" applyBorder="1" applyAlignment="1">
      <alignment horizontal="center" vertical="center" wrapText="1"/>
    </xf>
    <xf numFmtId="167" fontId="6" fillId="0" borderId="14" xfId="0" applyNumberFormat="1" applyFont="1" applyBorder="1" applyAlignment="1">
      <alignment horizontal="left" vertical="center" wrapText="1"/>
    </xf>
    <xf numFmtId="14" fontId="5" fillId="0" borderId="14" xfId="0" applyNumberFormat="1" applyFont="1" applyBorder="1" applyAlignment="1">
      <alignment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3">
    <dxf>
      <fill>
        <patternFill>
          <bgColor theme="9" tint="0.59978026673177287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numFmt numFmtId="35" formatCode="_ * #,##0.00_ ;_ * \-#,##0.00_ ;_ * &quot;-&quot;??_ ;_ @_ 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numFmt numFmtId="35" formatCode="_ * #,##0.00_ ;_ * \-#,##0.00_ ;_ * &quot;-&quot;??_ ;_ @_ 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numFmt numFmtId="35" formatCode="_ * #,##0.00_ ;_ * \-#,##0.00_ ;_ * &quot;-&quot;??_ ;_ @_ 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numFmt numFmtId="35" formatCode="_ * #,##0.00_ ;_ * \-#,##0.00_ ;_ * &quot;-&quot;??_ ;_ @_ 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numFmt numFmtId="35" formatCode="_ * #,##0.00_ ;_ * \-#,##0.00_ ;_ * &quot;-&quot;??_ ;_ @_ 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numFmt numFmtId="35" formatCode="_ * #,##0.00_ ;_ * \-#,##0.00_ ;_ * &quot;-&quot;??_ ;_ @_ 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numFmt numFmtId="35" formatCode="_ * #,##0.00_ ;_ * \-#,##0.00_ ;_ * &quot;-&quot;??_ ;_ @_ 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Outfit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utfi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Outfit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CC99FF"/>
      <color rgb="FFFFCCFF"/>
      <color rgb="FFFF0066"/>
      <color rgb="FFCCFFCC"/>
      <color rgb="FFFFFFCC"/>
      <color rgb="FFFF6600"/>
      <color rgb="FF99CCFF"/>
      <color rgb="FFFFFFFF"/>
      <color rgb="FFC5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9AADBB-818F-4AB8-B8DF-169225FFE083}" name="Table224" displayName="Table224" ref="A2:AG1293" totalsRowShown="0" headerRowDxfId="102" dataDxfId="101">
  <autoFilter ref="A2:AG1293" xr:uid="{1D9AADBB-818F-4AB8-B8DF-169225FFE083}"/>
  <sortState xmlns:xlrd2="http://schemas.microsoft.com/office/spreadsheetml/2017/richdata2" ref="A3:AG1272">
    <sortCondition ref="B2:B1272"/>
  </sortState>
  <tableColumns count="33">
    <tableColumn id="1" xr3:uid="{001B5E5F-575E-4F0A-BA4A-D6BC829678A8}" name="Invoice Date" dataDxfId="100" totalsRowDxfId="99"/>
    <tableColumn id="2" xr3:uid="{07063B46-25DB-4EA3-8ED9-9F4A93E9BE01}" name="Inward Date" dataDxfId="98" totalsRowDxfId="97"/>
    <tableColumn id="3" xr3:uid="{F0A9D2A4-ADBD-4232-8D05-BBF5FAD3B87B}" name="Category" dataDxfId="96" totalsRowDxfId="95"/>
    <tableColumn id="31" xr3:uid="{286456BE-580C-487F-B81E-FFCD2690CCD2}" name="Comp Type" dataDxfId="94" totalsRowDxfId="93"/>
    <tableColumn id="4" xr3:uid="{96C2FAF6-EB66-448D-A5E8-9DB9446B4442}" name="Comp ID" dataDxfId="92" totalsRowDxfId="91"/>
    <tableColumn id="5" xr3:uid="{9A6860F1-8C60-4E40-9E72-44EBB62E09ED}" name="Description" dataDxfId="90" totalsRowDxfId="89"/>
    <tableColumn id="6" xr3:uid="{A2430E7D-FC2E-41F8-984E-910F4C9AAB1F}" name="Component Specification " dataDxfId="88" totalsRowDxfId="87"/>
    <tableColumn id="7" xr3:uid="{447C3B25-22F1-4895-87BE-62D69CF6D76D}" name="Qty" dataDxfId="86" totalsRowDxfId="85"/>
    <tableColumn id="29" xr3:uid="{6C3A5A0F-14E2-49FB-85AD-A74F4907F2DA}" name="Issue Qty" dataDxfId="84" totalsRowDxfId="83"/>
    <tableColumn id="30" xr3:uid="{05D30B32-28DF-424E-BF78-ED7D2162CCEF}" name="In Inv" dataDxfId="82" totalsRowDxfId="81">
      <calculatedColumnFormula>Table224[[#This Row],[Qty]]-Table224[[#This Row],[Issue Qty]]</calculatedColumnFormula>
    </tableColumn>
    <tableColumn id="34" xr3:uid="{84FE9EFC-02D8-4CBD-A1B1-34DEBD1F4E03}" name="Scrap Qty" dataDxfId="80" totalsRowDxfId="79"/>
    <tableColumn id="32" xr3:uid="{85D30A1D-B115-4275-A23C-E35D696105D8}" name="UOM" dataDxfId="78" totalsRowDxfId="77"/>
    <tableColumn id="8" xr3:uid="{C1EABD6F-E661-4FBA-A63E-5BE210EBE369}" name="Unit Price" dataDxfId="76" totalsRowDxfId="75" dataCellStyle="Comma"/>
    <tableColumn id="9" xr3:uid="{BC4FC753-2B31-41F3-8788-2C99B7119527}" name="Sub Total" dataDxfId="74" totalsRowDxfId="73" dataCellStyle="Comma"/>
    <tableColumn id="10" xr3:uid="{93968856-1C8E-44F1-AE35-F7F265F4633A}" name="GST %" dataDxfId="72" totalsRowDxfId="71" dataCellStyle="Comma"/>
    <tableColumn id="11" xr3:uid="{0CCA45DC-3F7A-4B94-B398-3D85285EDB25}" name="GST Price" dataDxfId="70" totalsRowDxfId="69" dataCellStyle="Comma"/>
    <tableColumn id="12" xr3:uid="{0174916B-7C55-4292-8A41-B497507E2FEA}" name="Shipping" dataDxfId="68" totalsRowDxfId="67" dataCellStyle="Comma"/>
    <tableColumn id="13" xr3:uid="{0F980EF0-2813-497D-86A0-F6F10C610D55}" name="Round-off" dataDxfId="66" totalsRowDxfId="65" dataCellStyle="Comma"/>
    <tableColumn id="14" xr3:uid="{C6904823-B3E1-4A43-B34A-BE7677325260}" name="Total" dataDxfId="64" totalsRowDxfId="63" dataCellStyle="Comma"/>
    <tableColumn id="15" xr3:uid="{03C20427-BF71-4ED1-B495-33CF452D01E7}" name="Project" dataDxfId="62" totalsRowDxfId="61"/>
    <tableColumn id="16" xr3:uid="{78BF3D29-6717-4DD7-A157-C7A56835884C}" name="Product" dataDxfId="60" totalsRowDxfId="59"/>
    <tableColumn id="17" xr3:uid="{EDED3F9E-8916-464E-83FD-91187CDCD44B}" name="Vendor Name" dataDxfId="58" totalsRowDxfId="57"/>
    <tableColumn id="18" xr3:uid="{DEE4EE5B-8862-48F2-91EA-2AB5A2A826C1}" name="Bill / Invoice No." dataDxfId="56" totalsRowDxfId="55"/>
    <tableColumn id="19" xr3:uid="{328F8863-30AF-400A-B863-B04708467CE9}" name="HSN Code" dataDxfId="54" totalsRowDxfId="53"/>
    <tableColumn id="20" xr3:uid="{D8FA8E02-152D-4DB5-8B7D-CD9412122995}" name="SKU Number" dataDxfId="52" totalsRowDxfId="51"/>
    <tableColumn id="21" xr3:uid="{7FE59338-5196-4726-8CB7-F851AD1B5516}" name="Rack No" dataDxfId="50" totalsRowDxfId="49"/>
    <tableColumn id="22" xr3:uid="{E4487E9A-0D5A-474B-9C0D-CD47FA1DECCD}" name="Box No" dataDxfId="48" totalsRowDxfId="47"/>
    <tableColumn id="23" xr3:uid="{67ABD3CA-69A2-41E6-B52F-F1174FCE53F5}" name="Qty in Use" dataDxfId="46" totalsRowDxfId="45"/>
    <tableColumn id="24" xr3:uid="{FEA4F98D-21F9-4427-BDBA-B5676BE4B8A3}" name="Drone Name" dataDxfId="44" totalsRowDxfId="43"/>
    <tableColumn id="25" xr3:uid="{E249A7DA-109B-4DBE-B3DC-FE0498F9C358}" name="Remark" dataDxfId="42" totalsRowDxfId="41"/>
    <tableColumn id="26" xr3:uid="{10CBA895-5901-4D45-ABC7-F10BA13F476D}" name="Tally Ref" dataDxfId="40" totalsRowDxfId="39"/>
    <tableColumn id="27" xr3:uid="{D6C33F45-BF6C-4798-8651-0F818B7C1A34}" name="Purchase Order" dataDxfId="38" totalsRowDxfId="37"/>
    <tableColumn id="28" xr3:uid="{BAA65F36-B783-40A9-A7BA-1B556640D2DD}" name="Documents" dataDxfId="36" totalsRow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644D0C-292F-4C5F-AE73-80133F610C23}" name="Table223" displayName="Table223" ref="A2:AD1243" totalsRowShown="0" headerRowDxfId="34" dataDxfId="33">
  <autoFilter ref="A2:AD1243" xr:uid="{1D644D0C-292F-4C5F-AE73-80133F610C23}"/>
  <tableColumns count="30">
    <tableColumn id="1" xr3:uid="{60E3E1D7-8254-4B64-8E22-4877F4A4F976}" name="Invoice Date" dataDxfId="32"/>
    <tableColumn id="2" xr3:uid="{2589BC7D-3A91-491A-B256-B84B54A1F308}" name="Inward Date" dataDxfId="31"/>
    <tableColumn id="3" xr3:uid="{C0420BC0-9C7F-4671-B9D1-5B9A7B0C7B9E}" name="Category" dataDxfId="30"/>
    <tableColumn id="4" xr3:uid="{CEA072BF-5B80-4A6A-B4AF-2B7DF353A7AD}" name="Comp ID" dataDxfId="29"/>
    <tableColumn id="5" xr3:uid="{78925047-C83B-44E8-80AF-BFC3B2AEDA5F}" name="IPMS" dataDxfId="28"/>
    <tableColumn id="6" xr3:uid="{05B34E02-7DC6-4D06-84E1-7C85DA6D9F64}" name="Component Specification " dataDxfId="27"/>
    <tableColumn id="7" xr3:uid="{549B0E89-7A6D-46F9-AF3B-AF853808418D}" name="Qty" dataDxfId="26"/>
    <tableColumn id="29" xr3:uid="{AFA999FE-7F3E-4CF8-847C-BB204610C592}" name="Issue Qty" dataDxfId="25"/>
    <tableColumn id="30" xr3:uid="{C6BC7578-91BC-4E4F-8EF8-827E1A583605}" name="In Inv" dataDxfId="24">
      <calculatedColumnFormula>Table223[[#This Row],[Qty]]-Table223[[#This Row],[Issue Qty]]</calculatedColumnFormula>
    </tableColumn>
    <tableColumn id="8" xr3:uid="{10EEDBCB-4CFE-4838-B724-1583C79135C8}" name="Unit Price" dataDxfId="23" dataCellStyle="Comma"/>
    <tableColumn id="9" xr3:uid="{A614D6A7-EC61-4A2F-9DF4-6B229176A4E3}" name="Sub Total" dataDxfId="22" dataCellStyle="Comma"/>
    <tableColumn id="10" xr3:uid="{AF7379AE-D6C9-491B-896F-BDF62EF60331}" name="GST %" dataDxfId="21" dataCellStyle="Comma"/>
    <tableColumn id="11" xr3:uid="{365FE3D7-4361-45BD-BFB6-45D128C36FB7}" name="GST Price" dataDxfId="20" dataCellStyle="Comma"/>
    <tableColumn id="12" xr3:uid="{9306885A-3385-48B7-A993-9173C28B381C}" name="Shipping" dataDxfId="19" dataCellStyle="Comma"/>
    <tableColumn id="13" xr3:uid="{FF124C82-D9F4-4087-B579-689D1A431BC4}" name="Round-off" dataDxfId="18" dataCellStyle="Comma"/>
    <tableColumn id="14" xr3:uid="{807D4C0A-57BE-428D-8232-BF855BBE7DE2}" name="Total" dataDxfId="17" dataCellStyle="Comma"/>
    <tableColumn id="15" xr3:uid="{0D93D827-B5CE-4761-A43E-CC1EDF78D93B}" name="Project" dataDxfId="16"/>
    <tableColumn id="16" xr3:uid="{BBB276A1-520C-4519-9E09-CB78CE3E731C}" name="Product" dataDxfId="15"/>
    <tableColumn id="17" xr3:uid="{A49B1976-5CA5-4A60-81AD-010ADE7C8949}" name="Vendor Name" dataDxfId="14"/>
    <tableColumn id="18" xr3:uid="{A90AC7CA-4370-4031-B4AE-E31E94380CC8}" name="Bill / Invoice No." dataDxfId="13"/>
    <tableColumn id="19" xr3:uid="{95CB6395-E03F-4EED-957E-8D19D578DD4A}" name="HSN Code" dataDxfId="12"/>
    <tableColumn id="20" xr3:uid="{12579C10-563E-4FC0-905A-1487D49C9A03}" name="SKU Number" dataDxfId="11"/>
    <tableColumn id="21" xr3:uid="{20AA7D5D-05F4-4C0A-9594-3AC71D2DBC96}" name="Rack No" dataDxfId="10"/>
    <tableColumn id="22" xr3:uid="{B2666771-FF0A-4124-9083-C13C77734211}" name="Box No" dataDxfId="9"/>
    <tableColumn id="23" xr3:uid="{A86EAC2B-C96C-40EE-8539-4D5AB59DDCD1}" name="Qty in Use" dataDxfId="8"/>
    <tableColumn id="24" xr3:uid="{99A08AC3-86B5-4C33-AC3D-F34646B1B954}" name="Drone Name" dataDxfId="7"/>
    <tableColumn id="25" xr3:uid="{23D32E4A-6E82-482C-B5FD-855412046153}" name="Remark" dataDxfId="6"/>
    <tableColumn id="26" xr3:uid="{2836E5FE-5D9F-4958-9328-876A8616CABE}" name="Tally Ref" dataDxfId="5"/>
    <tableColumn id="27" xr3:uid="{81073C28-0A2F-4AE8-A62D-8DE839860F19}" name="Purchase Order" dataDxfId="4"/>
    <tableColumn id="28" xr3:uid="{47F8896E-E7ED-469C-9D76-621DE3E1DC8B}" name="Document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orkdrive.zoho.com/file/0m0b16997ff29077e4dfe8a955217984b66e8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orkdrive.zoho.com/file/0m0b16997ff29077e4dfe8a955217984b66e8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228B-2F88-4979-9ADC-16C0FCB8B4E0}">
  <dimension ref="A2:AH1293"/>
  <sheetViews>
    <sheetView tabSelected="1" topLeftCell="B1" zoomScaleNormal="100" workbookViewId="0">
      <pane ySplit="2" topLeftCell="A1284" activePane="bottomLeft" state="frozen"/>
      <selection pane="bottomLeft" activeCell="E1291" sqref="E1291"/>
    </sheetView>
  </sheetViews>
  <sheetFormatPr defaultColWidth="9.140625" defaultRowHeight="15" x14ac:dyDescent="0.25"/>
  <cols>
    <col min="1" max="1" width="18.28515625" style="249" bestFit="1" customWidth="1"/>
    <col min="2" max="2" width="18.42578125" style="249" bestFit="1" customWidth="1"/>
    <col min="3" max="3" width="16.7109375" style="249" bestFit="1" customWidth="1"/>
    <col min="4" max="4" width="26.5703125" style="249" bestFit="1" customWidth="1"/>
    <col min="5" max="5" width="14.28515625" style="249" bestFit="1" customWidth="1"/>
    <col min="6" max="6" width="59.140625" style="249" customWidth="1"/>
    <col min="7" max="7" width="199.5703125" style="249" hidden="1" customWidth="1"/>
    <col min="8" max="8" width="9.5703125" style="249" bestFit="1" customWidth="1"/>
    <col min="9" max="9" width="14.85546875" style="249" bestFit="1" customWidth="1"/>
    <col min="10" max="10" width="11.140625" style="249" bestFit="1" customWidth="1"/>
    <col min="11" max="11" width="11.140625" style="249" customWidth="1"/>
    <col min="12" max="12" width="11" style="249" bestFit="1" customWidth="1"/>
    <col min="13" max="13" width="16" style="249" bestFit="1" customWidth="1"/>
    <col min="14" max="14" width="15.85546875" style="249" bestFit="1" customWidth="1"/>
    <col min="15" max="15" width="12.140625" style="249" bestFit="1" customWidth="1"/>
    <col min="16" max="16" width="15.7109375" style="249" bestFit="1" customWidth="1"/>
    <col min="17" max="17" width="15.140625" style="249" bestFit="1" customWidth="1"/>
    <col min="18" max="18" width="17" style="249" bestFit="1" customWidth="1"/>
    <col min="19" max="19" width="15" style="249" bestFit="1" customWidth="1"/>
    <col min="20" max="21" width="24.42578125" style="249" bestFit="1" customWidth="1"/>
    <col min="22" max="22" width="44.28515625" style="249" bestFit="1" customWidth="1"/>
    <col min="23" max="23" width="21.7109375" style="249" bestFit="1" customWidth="1"/>
    <col min="24" max="24" width="19.85546875" style="249" bestFit="1" customWidth="1"/>
    <col min="25" max="25" width="19" style="249" bestFit="1" customWidth="1"/>
    <col min="26" max="26" width="20.28515625" style="249" customWidth="1"/>
    <col min="27" max="28" width="16.42578125" style="249" bestFit="1" customWidth="1"/>
    <col min="29" max="29" width="55.7109375" style="249" customWidth="1"/>
    <col min="30" max="30" width="40" style="249" bestFit="1" customWidth="1"/>
    <col min="31" max="31" width="73.5703125" style="249" bestFit="1" customWidth="1"/>
    <col min="32" max="32" width="16" style="249" bestFit="1" customWidth="1"/>
    <col min="33" max="33" width="27.42578125" style="249" bestFit="1" customWidth="1"/>
    <col min="34" max="16384" width="9.140625" style="249"/>
  </cols>
  <sheetData>
    <row r="2" spans="1:33" s="15" customFormat="1" ht="30" x14ac:dyDescent="0.25">
      <c r="A2" s="17" t="s">
        <v>0</v>
      </c>
      <c r="B2" s="17" t="s">
        <v>1</v>
      </c>
      <c r="C2" s="17" t="s">
        <v>1675</v>
      </c>
      <c r="D2" s="223" t="s">
        <v>3428</v>
      </c>
      <c r="E2" s="17" t="s">
        <v>1676</v>
      </c>
      <c r="F2" s="17" t="s">
        <v>3462</v>
      </c>
      <c r="G2" s="17" t="s">
        <v>3</v>
      </c>
      <c r="H2" s="17" t="s">
        <v>4</v>
      </c>
      <c r="I2" s="17" t="s">
        <v>1641</v>
      </c>
      <c r="J2" s="156" t="s">
        <v>1569</v>
      </c>
      <c r="K2" s="331" t="s">
        <v>3824</v>
      </c>
      <c r="L2" s="223" t="s">
        <v>3448</v>
      </c>
      <c r="M2" s="18" t="s">
        <v>5</v>
      </c>
      <c r="N2" s="18" t="s">
        <v>6</v>
      </c>
      <c r="O2" s="19" t="s">
        <v>7</v>
      </c>
      <c r="P2" s="19" t="s">
        <v>8</v>
      </c>
      <c r="Q2" s="18" t="s">
        <v>9</v>
      </c>
      <c r="R2" s="18" t="s">
        <v>10</v>
      </c>
      <c r="S2" s="18" t="s">
        <v>1677</v>
      </c>
      <c r="T2" s="17" t="s">
        <v>11</v>
      </c>
      <c r="U2" s="17" t="s">
        <v>1678</v>
      </c>
      <c r="V2" s="17" t="s">
        <v>12</v>
      </c>
      <c r="W2" s="17" t="s">
        <v>1679</v>
      </c>
      <c r="X2" s="17" t="s">
        <v>1680</v>
      </c>
      <c r="Y2" s="17" t="s">
        <v>1681</v>
      </c>
      <c r="Z2" s="17" t="s">
        <v>13</v>
      </c>
      <c r="AA2" s="17" t="s">
        <v>14</v>
      </c>
      <c r="AB2" s="17" t="s">
        <v>15</v>
      </c>
      <c r="AC2" s="17" t="s">
        <v>16</v>
      </c>
      <c r="AD2" s="17" t="s">
        <v>17</v>
      </c>
      <c r="AE2" s="20" t="s">
        <v>18</v>
      </c>
      <c r="AF2" s="17" t="s">
        <v>1634</v>
      </c>
      <c r="AG2" s="17" t="s">
        <v>1682</v>
      </c>
    </row>
    <row r="3" spans="1:33" s="24" customFormat="1" x14ac:dyDescent="0.25">
      <c r="A3" s="4"/>
      <c r="B3" s="4">
        <v>44106</v>
      </c>
      <c r="C3" s="1" t="s">
        <v>1991</v>
      </c>
      <c r="D3" s="224" t="s">
        <v>3443</v>
      </c>
      <c r="E3" s="6" t="s">
        <v>1687</v>
      </c>
      <c r="F3" s="234" t="s">
        <v>24</v>
      </c>
      <c r="G3" s="6" t="s">
        <v>24</v>
      </c>
      <c r="H3" s="8">
        <v>2</v>
      </c>
      <c r="I3" s="8">
        <v>2</v>
      </c>
      <c r="J3" s="115">
        <f>Table224[[#This Row],[Qty]]-Table224[[#This Row],[Issue Qty]]</f>
        <v>0</v>
      </c>
      <c r="K3" s="195"/>
      <c r="L3" s="195" t="s">
        <v>3480</v>
      </c>
      <c r="M3" s="5">
        <f>14590.6/2</f>
        <v>7295.3</v>
      </c>
      <c r="N3" s="5">
        <f t="shared" ref="N3:N66" si="0">H3*M3</f>
        <v>14590.6</v>
      </c>
      <c r="O3" s="11">
        <v>0.05</v>
      </c>
      <c r="P3" s="9">
        <f t="shared" ref="P3:P66" si="1">N3*O3</f>
        <v>729.53000000000009</v>
      </c>
      <c r="Q3" s="5"/>
      <c r="R3" s="5"/>
      <c r="S3" s="5">
        <f t="shared" ref="S3:S66" si="2">N3+P3+Q3+R3</f>
        <v>15320.130000000001</v>
      </c>
      <c r="T3" s="1" t="s">
        <v>20</v>
      </c>
      <c r="U3" s="1" t="s">
        <v>1685</v>
      </c>
      <c r="V3" s="1"/>
      <c r="W3" s="1"/>
      <c r="X3" s="1"/>
      <c r="Y3" s="1"/>
      <c r="Z3" s="8" t="s">
        <v>3349</v>
      </c>
      <c r="AA3" s="8"/>
      <c r="AB3" s="8">
        <v>2</v>
      </c>
      <c r="AC3" s="22" t="s">
        <v>3373</v>
      </c>
      <c r="AD3" s="1"/>
      <c r="AE3" s="23"/>
      <c r="AF3" s="1" t="s">
        <v>37</v>
      </c>
      <c r="AG3" s="2"/>
    </row>
    <row r="4" spans="1:33" s="24" customFormat="1" x14ac:dyDescent="0.25">
      <c r="A4" s="4"/>
      <c r="B4" s="4">
        <v>44106</v>
      </c>
      <c r="C4" s="6" t="s">
        <v>1683</v>
      </c>
      <c r="D4" s="224" t="s">
        <v>3429</v>
      </c>
      <c r="E4" s="6" t="s">
        <v>1684</v>
      </c>
      <c r="F4" s="234" t="s">
        <v>19</v>
      </c>
      <c r="G4" s="6" t="s">
        <v>19</v>
      </c>
      <c r="H4" s="8">
        <v>2</v>
      </c>
      <c r="I4" s="8"/>
      <c r="J4" s="115">
        <f>Table224[[#This Row],[Qty]]-Table224[[#This Row],[Issue Qty]]</f>
        <v>2</v>
      </c>
      <c r="K4" s="195"/>
      <c r="L4" s="195" t="s">
        <v>3480</v>
      </c>
      <c r="M4" s="5">
        <f>34534.4/2</f>
        <v>17267.2</v>
      </c>
      <c r="N4" s="5">
        <f t="shared" si="0"/>
        <v>34534.400000000001</v>
      </c>
      <c r="O4" s="11">
        <v>0</v>
      </c>
      <c r="P4" s="9">
        <f t="shared" si="1"/>
        <v>0</v>
      </c>
      <c r="Q4" s="5"/>
      <c r="R4" s="5"/>
      <c r="S4" s="5">
        <f t="shared" si="2"/>
        <v>34534.400000000001</v>
      </c>
      <c r="T4" s="1" t="s">
        <v>20</v>
      </c>
      <c r="U4" s="1" t="s">
        <v>1685</v>
      </c>
      <c r="V4" s="1" t="s">
        <v>21</v>
      </c>
      <c r="W4" s="1" t="s">
        <v>1686</v>
      </c>
      <c r="X4" s="1"/>
      <c r="Y4" s="1"/>
      <c r="Z4" s="21" t="s">
        <v>22</v>
      </c>
      <c r="AA4" s="21" t="s">
        <v>23</v>
      </c>
      <c r="AB4" s="8"/>
      <c r="AC4" s="22"/>
      <c r="AD4" s="1"/>
      <c r="AE4" s="23"/>
      <c r="AF4" s="1" t="s">
        <v>37</v>
      </c>
      <c r="AG4" s="2"/>
    </row>
    <row r="5" spans="1:33" s="24" customFormat="1" ht="30" x14ac:dyDescent="0.25">
      <c r="A5" s="4"/>
      <c r="B5" s="4">
        <v>44751</v>
      </c>
      <c r="C5" s="6" t="s">
        <v>1688</v>
      </c>
      <c r="D5" s="224" t="s">
        <v>3451</v>
      </c>
      <c r="E5" s="6" t="s">
        <v>1689</v>
      </c>
      <c r="F5" s="234" t="s">
        <v>27</v>
      </c>
      <c r="G5" s="1" t="s">
        <v>28</v>
      </c>
      <c r="H5" s="8">
        <v>1</v>
      </c>
      <c r="I5" s="8"/>
      <c r="J5" s="115">
        <f>Table224[[#This Row],[Qty]]-Table224[[#This Row],[Issue Qty]]</f>
        <v>1</v>
      </c>
      <c r="K5" s="195"/>
      <c r="L5" s="195" t="s">
        <v>3480</v>
      </c>
      <c r="M5" s="5">
        <v>75500</v>
      </c>
      <c r="N5" s="5">
        <f t="shared" si="0"/>
        <v>75500</v>
      </c>
      <c r="O5" s="11">
        <v>0.18</v>
      </c>
      <c r="P5" s="9">
        <f t="shared" si="1"/>
        <v>13590</v>
      </c>
      <c r="Q5" s="5"/>
      <c r="R5" s="5"/>
      <c r="S5" s="5">
        <f t="shared" si="2"/>
        <v>89090</v>
      </c>
      <c r="T5" s="1" t="s">
        <v>20</v>
      </c>
      <c r="U5" s="1" t="s">
        <v>1690</v>
      </c>
      <c r="V5" s="1"/>
      <c r="W5" s="1"/>
      <c r="X5" s="1"/>
      <c r="Y5" s="1"/>
      <c r="Z5" s="8" t="s">
        <v>29</v>
      </c>
      <c r="AA5" s="8"/>
      <c r="AB5" s="8"/>
      <c r="AC5" s="22"/>
      <c r="AD5" s="1"/>
      <c r="AE5" s="23"/>
      <c r="AF5" s="1">
        <v>136</v>
      </c>
      <c r="AG5" s="2"/>
    </row>
    <row r="6" spans="1:33" s="24" customFormat="1" ht="30" x14ac:dyDescent="0.25">
      <c r="A6" s="4"/>
      <c r="B6" s="4">
        <v>44764</v>
      </c>
      <c r="C6" s="1" t="s">
        <v>1991</v>
      </c>
      <c r="D6" s="224" t="s">
        <v>3463</v>
      </c>
      <c r="E6" s="6" t="s">
        <v>1691</v>
      </c>
      <c r="F6" s="234" t="s">
        <v>562</v>
      </c>
      <c r="G6" s="1" t="s">
        <v>31</v>
      </c>
      <c r="H6" s="8">
        <v>1</v>
      </c>
      <c r="I6" s="8">
        <v>1</v>
      </c>
      <c r="J6" s="115">
        <f>Table224[[#This Row],[Qty]]-Table224[[#This Row],[Issue Qty]]</f>
        <v>0</v>
      </c>
      <c r="K6" s="195"/>
      <c r="L6" s="195" t="s">
        <v>3480</v>
      </c>
      <c r="M6" s="5">
        <v>160.4</v>
      </c>
      <c r="N6" s="5">
        <f t="shared" si="0"/>
        <v>160.4</v>
      </c>
      <c r="O6" s="11">
        <v>0.18</v>
      </c>
      <c r="P6" s="9">
        <f t="shared" si="1"/>
        <v>28.872</v>
      </c>
      <c r="Q6" s="5"/>
      <c r="R6" s="5"/>
      <c r="S6" s="5">
        <f t="shared" si="2"/>
        <v>189.27199999999999</v>
      </c>
      <c r="T6" s="1" t="s">
        <v>20</v>
      </c>
      <c r="U6" s="1" t="s">
        <v>1692</v>
      </c>
      <c r="V6" s="1" t="s">
        <v>32</v>
      </c>
      <c r="W6" s="1">
        <v>19623</v>
      </c>
      <c r="X6" s="1"/>
      <c r="Y6" s="1"/>
      <c r="Z6" s="21"/>
      <c r="AA6" s="8"/>
      <c r="AB6" s="8">
        <v>1</v>
      </c>
      <c r="AC6" s="22" t="s">
        <v>3557</v>
      </c>
      <c r="AD6" s="1"/>
      <c r="AE6" s="23"/>
      <c r="AF6" s="1">
        <v>168</v>
      </c>
      <c r="AG6" s="2"/>
    </row>
    <row r="7" spans="1:33" s="24" customFormat="1" ht="30" x14ac:dyDescent="0.25">
      <c r="A7" s="4"/>
      <c r="B7" s="4">
        <v>44781</v>
      </c>
      <c r="C7" s="1" t="s">
        <v>1991</v>
      </c>
      <c r="D7" s="224" t="s">
        <v>3498</v>
      </c>
      <c r="E7" s="6" t="s">
        <v>1694</v>
      </c>
      <c r="F7" s="234" t="s">
        <v>35</v>
      </c>
      <c r="G7" s="1" t="s">
        <v>36</v>
      </c>
      <c r="H7" s="8">
        <v>1</v>
      </c>
      <c r="I7" s="8"/>
      <c r="J7" s="115">
        <f>Table224[[#This Row],[Qty]]-Table224[[#This Row],[Issue Qty]]</f>
        <v>1</v>
      </c>
      <c r="K7" s="195"/>
      <c r="L7" s="195" t="s">
        <v>3480</v>
      </c>
      <c r="M7" s="5">
        <v>2677.97</v>
      </c>
      <c r="N7" s="5">
        <f t="shared" si="0"/>
        <v>2677.97</v>
      </c>
      <c r="O7" s="11">
        <v>0.18</v>
      </c>
      <c r="P7" s="9">
        <f t="shared" si="1"/>
        <v>482.03459999999995</v>
      </c>
      <c r="Q7" s="5"/>
      <c r="R7" s="5"/>
      <c r="S7" s="5">
        <f t="shared" si="2"/>
        <v>3160.0045999999998</v>
      </c>
      <c r="T7" s="1" t="s">
        <v>20</v>
      </c>
      <c r="U7" s="1" t="s">
        <v>37</v>
      </c>
      <c r="V7" s="1"/>
      <c r="W7" s="1"/>
      <c r="X7" s="1"/>
      <c r="Y7" s="1"/>
      <c r="Z7" s="8" t="s">
        <v>38</v>
      </c>
      <c r="AA7" s="8" t="s">
        <v>39</v>
      </c>
      <c r="AB7" s="8"/>
      <c r="AC7" s="22"/>
      <c r="AD7" s="1"/>
      <c r="AE7" s="23" t="s">
        <v>36</v>
      </c>
      <c r="AF7" s="1">
        <v>177</v>
      </c>
      <c r="AG7" s="2"/>
    </row>
    <row r="8" spans="1:33" s="24" customFormat="1" ht="30" x14ac:dyDescent="0.25">
      <c r="A8" s="4"/>
      <c r="B8" s="4">
        <v>44798</v>
      </c>
      <c r="C8" s="6" t="s">
        <v>1695</v>
      </c>
      <c r="D8" s="224" t="s">
        <v>3499</v>
      </c>
      <c r="E8" s="6" t="s">
        <v>1696</v>
      </c>
      <c r="F8" s="234" t="s">
        <v>40</v>
      </c>
      <c r="G8" s="1" t="s">
        <v>41</v>
      </c>
      <c r="H8" s="8">
        <v>8</v>
      </c>
      <c r="I8" s="8"/>
      <c r="J8" s="115">
        <f>Table224[[#This Row],[Qty]]-Table224[[#This Row],[Issue Qty]]</f>
        <v>8</v>
      </c>
      <c r="K8" s="195"/>
      <c r="L8" s="195" t="s">
        <v>3480</v>
      </c>
      <c r="M8" s="5">
        <f>57464.17/8</f>
        <v>7183.0212499999998</v>
      </c>
      <c r="N8" s="5">
        <f t="shared" si="0"/>
        <v>57464.17</v>
      </c>
      <c r="O8" s="11">
        <v>0.18</v>
      </c>
      <c r="P8" s="9">
        <f t="shared" si="1"/>
        <v>10343.550599999999</v>
      </c>
      <c r="Q8" s="5">
        <v>0</v>
      </c>
      <c r="R8" s="5"/>
      <c r="S8" s="5">
        <f t="shared" si="2"/>
        <v>67807.720600000001</v>
      </c>
      <c r="T8" s="1" t="s">
        <v>42</v>
      </c>
      <c r="U8" s="1" t="s">
        <v>1697</v>
      </c>
      <c r="V8" s="1" t="s">
        <v>43</v>
      </c>
      <c r="W8" s="1"/>
      <c r="X8" s="1"/>
      <c r="Y8" s="1"/>
      <c r="Z8" s="8" t="s">
        <v>44</v>
      </c>
      <c r="AA8" s="8" t="s">
        <v>45</v>
      </c>
      <c r="AB8" s="8"/>
      <c r="AC8" s="22"/>
      <c r="AD8" s="1"/>
      <c r="AE8" s="23"/>
      <c r="AF8" s="1">
        <v>208</v>
      </c>
      <c r="AG8" s="2"/>
    </row>
    <row r="9" spans="1:33" s="24" customFormat="1" ht="30" x14ac:dyDescent="0.25">
      <c r="A9" s="4"/>
      <c r="B9" s="4">
        <v>44798</v>
      </c>
      <c r="C9" s="6" t="s">
        <v>1695</v>
      </c>
      <c r="D9" s="224" t="s">
        <v>3499</v>
      </c>
      <c r="E9" s="6" t="s">
        <v>1698</v>
      </c>
      <c r="F9" s="234" t="s">
        <v>46</v>
      </c>
      <c r="G9" s="1" t="s">
        <v>47</v>
      </c>
      <c r="H9" s="8">
        <v>8</v>
      </c>
      <c r="I9" s="8">
        <v>8</v>
      </c>
      <c r="J9" s="115">
        <f>Table224[[#This Row],[Qty]]-Table224[[#This Row],[Issue Qty]]</f>
        <v>0</v>
      </c>
      <c r="K9" s="195"/>
      <c r="L9" s="195" t="s">
        <v>3480</v>
      </c>
      <c r="M9" s="5">
        <f>(50.32/2)*90</f>
        <v>2264.4</v>
      </c>
      <c r="N9" s="5">
        <f t="shared" si="0"/>
        <v>18115.2</v>
      </c>
      <c r="O9" s="11">
        <v>0.05</v>
      </c>
      <c r="P9" s="9">
        <f t="shared" si="1"/>
        <v>905.7600000000001</v>
      </c>
      <c r="Q9" s="5"/>
      <c r="R9" s="5">
        <v>0.04</v>
      </c>
      <c r="S9" s="5">
        <f t="shared" si="2"/>
        <v>19021</v>
      </c>
      <c r="T9" s="1" t="s">
        <v>42</v>
      </c>
      <c r="U9" s="1" t="s">
        <v>1697</v>
      </c>
      <c r="V9" s="1" t="s">
        <v>43</v>
      </c>
      <c r="W9" s="1"/>
      <c r="X9" s="1"/>
      <c r="Y9" s="1"/>
      <c r="Z9" s="8" t="s">
        <v>48</v>
      </c>
      <c r="AA9" s="8"/>
      <c r="AB9" s="8"/>
      <c r="AC9" s="22"/>
      <c r="AD9" s="1" t="s">
        <v>49</v>
      </c>
      <c r="AE9" s="23"/>
      <c r="AF9" s="1">
        <v>208</v>
      </c>
      <c r="AG9" s="2"/>
    </row>
    <row r="10" spans="1:33" s="24" customFormat="1" x14ac:dyDescent="0.25">
      <c r="A10" s="4"/>
      <c r="B10" s="4">
        <v>44803</v>
      </c>
      <c r="C10" s="1" t="s">
        <v>1991</v>
      </c>
      <c r="D10" s="224" t="s">
        <v>3490</v>
      </c>
      <c r="E10" s="6" t="s">
        <v>1699</v>
      </c>
      <c r="F10" s="234" t="s">
        <v>50</v>
      </c>
      <c r="G10" s="1" t="s">
        <v>51</v>
      </c>
      <c r="H10" s="8">
        <v>1</v>
      </c>
      <c r="I10" s="8">
        <v>0</v>
      </c>
      <c r="J10" s="115">
        <f>Table224[[#This Row],[Qty]]-Table224[[#This Row],[Issue Qty]]</f>
        <v>1</v>
      </c>
      <c r="K10" s="195"/>
      <c r="L10" s="195" t="s">
        <v>3480</v>
      </c>
      <c r="M10" s="5">
        <v>14777.63</v>
      </c>
      <c r="N10" s="5">
        <f t="shared" si="0"/>
        <v>14777.63</v>
      </c>
      <c r="O10" s="11">
        <v>0</v>
      </c>
      <c r="P10" s="9">
        <f t="shared" si="1"/>
        <v>0</v>
      </c>
      <c r="Q10" s="5"/>
      <c r="R10" s="5"/>
      <c r="S10" s="5">
        <f t="shared" si="2"/>
        <v>14777.63</v>
      </c>
      <c r="T10" s="1" t="s">
        <v>20</v>
      </c>
      <c r="U10" s="1" t="s">
        <v>1690</v>
      </c>
      <c r="V10" s="1"/>
      <c r="W10" s="1"/>
      <c r="X10" s="1"/>
      <c r="Y10" s="1"/>
      <c r="Z10" s="21" t="s">
        <v>52</v>
      </c>
      <c r="AA10" s="21" t="s">
        <v>53</v>
      </c>
      <c r="AB10" s="8"/>
      <c r="AC10" s="12"/>
      <c r="AD10" s="2"/>
      <c r="AE10" s="23"/>
      <c r="AF10" s="1">
        <v>121</v>
      </c>
      <c r="AG10" s="2"/>
    </row>
    <row r="11" spans="1:33" s="24" customFormat="1" ht="30" x14ac:dyDescent="0.25">
      <c r="A11" s="4"/>
      <c r="B11" s="4">
        <v>44803</v>
      </c>
      <c r="C11" s="6" t="s">
        <v>54</v>
      </c>
      <c r="D11" s="224" t="s">
        <v>3500</v>
      </c>
      <c r="E11" s="6" t="s">
        <v>37</v>
      </c>
      <c r="F11" s="102" t="s">
        <v>55</v>
      </c>
      <c r="G11" s="1" t="s">
        <v>55</v>
      </c>
      <c r="H11" s="8">
        <v>1</v>
      </c>
      <c r="I11" s="8"/>
      <c r="J11" s="115">
        <f>Table224[[#This Row],[Qty]]-Table224[[#This Row],[Issue Qty]]</f>
        <v>1</v>
      </c>
      <c r="K11" s="195"/>
      <c r="L11" s="195" t="s">
        <v>3480</v>
      </c>
      <c r="M11" s="5">
        <v>301025.73</v>
      </c>
      <c r="N11" s="5">
        <f t="shared" si="0"/>
        <v>301025.73</v>
      </c>
      <c r="O11" s="11"/>
      <c r="P11" s="9">
        <f t="shared" si="1"/>
        <v>0</v>
      </c>
      <c r="Q11" s="5"/>
      <c r="R11" s="5">
        <v>0.27</v>
      </c>
      <c r="S11" s="5">
        <f t="shared" si="2"/>
        <v>301026</v>
      </c>
      <c r="T11" s="1" t="s">
        <v>20</v>
      </c>
      <c r="U11" s="1" t="s">
        <v>1690</v>
      </c>
      <c r="V11" s="1" t="s">
        <v>56</v>
      </c>
      <c r="W11" s="1"/>
      <c r="X11" s="1">
        <v>121</v>
      </c>
      <c r="Y11" s="2"/>
      <c r="Z11" s="21" t="s">
        <v>3177</v>
      </c>
      <c r="AA11" s="21"/>
      <c r="AB11" s="21"/>
      <c r="AC11" s="12" t="s">
        <v>57</v>
      </c>
      <c r="AD11" s="2"/>
      <c r="AE11" s="23"/>
      <c r="AF11" s="2"/>
      <c r="AG11" s="2"/>
    </row>
    <row r="12" spans="1:33" s="24" customFormat="1" ht="30" x14ac:dyDescent="0.25">
      <c r="A12" s="4"/>
      <c r="B12" s="4">
        <v>44803</v>
      </c>
      <c r="C12" s="6" t="s">
        <v>54</v>
      </c>
      <c r="D12" s="224" t="s">
        <v>3500</v>
      </c>
      <c r="E12" s="6" t="s">
        <v>1700</v>
      </c>
      <c r="F12" s="234" t="s">
        <v>58</v>
      </c>
      <c r="G12" s="1" t="s">
        <v>59</v>
      </c>
      <c r="H12" s="8">
        <v>1</v>
      </c>
      <c r="I12" s="8"/>
      <c r="J12" s="115">
        <f>Table224[[#This Row],[Qty]]-Table224[[#This Row],[Issue Qty]]</f>
        <v>1</v>
      </c>
      <c r="K12" s="195"/>
      <c r="L12" s="195" t="s">
        <v>3480</v>
      </c>
      <c r="M12" s="5">
        <v>18765.240000000002</v>
      </c>
      <c r="N12" s="5">
        <f t="shared" si="0"/>
        <v>18765.240000000002</v>
      </c>
      <c r="O12" s="11"/>
      <c r="P12" s="9">
        <f t="shared" si="1"/>
        <v>0</v>
      </c>
      <c r="Q12" s="5"/>
      <c r="R12" s="5"/>
      <c r="S12" s="5">
        <f t="shared" si="2"/>
        <v>18765.240000000002</v>
      </c>
      <c r="T12" s="1" t="s">
        <v>20</v>
      </c>
      <c r="U12" s="1" t="s">
        <v>1690</v>
      </c>
      <c r="V12" s="1" t="s">
        <v>56</v>
      </c>
      <c r="W12" s="1"/>
      <c r="X12" s="1">
        <v>121</v>
      </c>
      <c r="Y12" s="2"/>
      <c r="Z12" s="21" t="s">
        <v>505</v>
      </c>
      <c r="AA12" s="21" t="s">
        <v>3178</v>
      </c>
      <c r="AB12" s="21"/>
      <c r="AC12" s="12" t="s">
        <v>57</v>
      </c>
      <c r="AD12" s="2"/>
      <c r="AE12" s="23"/>
      <c r="AF12" s="2"/>
      <c r="AG12" s="2"/>
    </row>
    <row r="13" spans="1:33" s="24" customFormat="1" ht="30" x14ac:dyDescent="0.25">
      <c r="A13" s="4"/>
      <c r="B13" s="4">
        <v>44803</v>
      </c>
      <c r="C13" s="6" t="s">
        <v>54</v>
      </c>
      <c r="D13" s="224" t="s">
        <v>3500</v>
      </c>
      <c r="E13" s="6" t="s">
        <v>1701</v>
      </c>
      <c r="F13" s="234" t="s">
        <v>60</v>
      </c>
      <c r="G13" s="1" t="s">
        <v>61</v>
      </c>
      <c r="H13" s="8">
        <v>6</v>
      </c>
      <c r="I13" s="8">
        <v>0</v>
      </c>
      <c r="J13" s="115">
        <f>Table224[[#This Row],[Qty]]-Table224[[#This Row],[Issue Qty]]</f>
        <v>6</v>
      </c>
      <c r="K13" s="195"/>
      <c r="L13" s="195" t="s">
        <v>3480</v>
      </c>
      <c r="M13" s="5">
        <f>93826.2/2</f>
        <v>46913.1</v>
      </c>
      <c r="N13" s="5">
        <f t="shared" si="0"/>
        <v>281478.59999999998</v>
      </c>
      <c r="O13" s="11"/>
      <c r="P13" s="9">
        <f t="shared" si="1"/>
        <v>0</v>
      </c>
      <c r="Q13" s="5"/>
      <c r="R13" s="5"/>
      <c r="S13" s="5">
        <f t="shared" si="2"/>
        <v>281478.59999999998</v>
      </c>
      <c r="T13" s="1" t="s">
        <v>20</v>
      </c>
      <c r="U13" s="1" t="s">
        <v>1690</v>
      </c>
      <c r="V13" s="1" t="s">
        <v>56</v>
      </c>
      <c r="W13" s="1"/>
      <c r="X13" s="1">
        <v>121</v>
      </c>
      <c r="Y13" s="2"/>
      <c r="Z13" s="21" t="s">
        <v>505</v>
      </c>
      <c r="AA13" s="21" t="s">
        <v>3178</v>
      </c>
      <c r="AB13" s="21"/>
      <c r="AC13" s="12" t="s">
        <v>57</v>
      </c>
      <c r="AD13" s="2"/>
      <c r="AE13" s="23"/>
      <c r="AF13" s="2"/>
      <c r="AG13" s="2"/>
    </row>
    <row r="14" spans="1:33" s="24" customFormat="1" x14ac:dyDescent="0.25">
      <c r="A14" s="4"/>
      <c r="B14" s="4">
        <v>44806</v>
      </c>
      <c r="C14" s="6" t="s">
        <v>1683</v>
      </c>
      <c r="D14" s="224" t="s">
        <v>3429</v>
      </c>
      <c r="E14" s="6" t="s">
        <v>1702</v>
      </c>
      <c r="F14" s="234" t="s">
        <v>62</v>
      </c>
      <c r="G14" s="1" t="s">
        <v>63</v>
      </c>
      <c r="H14" s="8">
        <v>2</v>
      </c>
      <c r="I14" s="8"/>
      <c r="J14" s="115">
        <f>Table224[[#This Row],[Qty]]-Table224[[#This Row],[Issue Qty]]</f>
        <v>2</v>
      </c>
      <c r="K14" s="195"/>
      <c r="L14" s="195" t="s">
        <v>3480</v>
      </c>
      <c r="M14" s="5">
        <v>1186.44</v>
      </c>
      <c r="N14" s="5">
        <f t="shared" si="0"/>
        <v>2372.88</v>
      </c>
      <c r="O14" s="11">
        <v>0</v>
      </c>
      <c r="P14" s="9">
        <f t="shared" si="1"/>
        <v>0</v>
      </c>
      <c r="Q14" s="5"/>
      <c r="R14" s="5">
        <v>0.24</v>
      </c>
      <c r="S14" s="5">
        <f t="shared" si="2"/>
        <v>2373.12</v>
      </c>
      <c r="T14" s="1" t="s">
        <v>20</v>
      </c>
      <c r="U14" s="1" t="s">
        <v>1703</v>
      </c>
      <c r="V14" s="1"/>
      <c r="W14" s="1"/>
      <c r="X14" s="1"/>
      <c r="Y14" s="1"/>
      <c r="Z14" s="21" t="s">
        <v>22</v>
      </c>
      <c r="AA14" s="21" t="s">
        <v>65</v>
      </c>
      <c r="AB14" s="8"/>
      <c r="AC14" s="22"/>
      <c r="AD14" s="1"/>
      <c r="AE14" s="23"/>
      <c r="AF14" s="1">
        <v>196</v>
      </c>
      <c r="AG14" s="2"/>
    </row>
    <row r="15" spans="1:33" s="25" customFormat="1" x14ac:dyDescent="0.25">
      <c r="A15" s="4"/>
      <c r="B15" s="4">
        <v>44811</v>
      </c>
      <c r="C15" s="6" t="s">
        <v>54</v>
      </c>
      <c r="D15" s="224" t="s">
        <v>3499</v>
      </c>
      <c r="E15" s="6" t="s">
        <v>1704</v>
      </c>
      <c r="F15" s="234" t="s">
        <v>66</v>
      </c>
      <c r="G15" s="1" t="s">
        <v>67</v>
      </c>
      <c r="H15" s="8">
        <v>8</v>
      </c>
      <c r="I15" s="8"/>
      <c r="J15" s="115">
        <f>Table224[[#This Row],[Qty]]-Table224[[#This Row],[Issue Qty]]</f>
        <v>8</v>
      </c>
      <c r="K15" s="195"/>
      <c r="L15" s="195" t="s">
        <v>3480</v>
      </c>
      <c r="M15" s="5">
        <f>7920/8</f>
        <v>990</v>
      </c>
      <c r="N15" s="5">
        <f t="shared" si="0"/>
        <v>7920</v>
      </c>
      <c r="O15" s="11">
        <v>0</v>
      </c>
      <c r="P15" s="9">
        <f t="shared" si="1"/>
        <v>0</v>
      </c>
      <c r="Q15" s="5"/>
      <c r="R15" s="5"/>
      <c r="S15" s="5">
        <f t="shared" si="2"/>
        <v>7920</v>
      </c>
      <c r="T15" s="1" t="s">
        <v>42</v>
      </c>
      <c r="U15" s="1" t="s">
        <v>1697</v>
      </c>
      <c r="V15" s="1" t="s">
        <v>43</v>
      </c>
      <c r="W15" s="1"/>
      <c r="X15" s="1"/>
      <c r="Y15" s="1"/>
      <c r="Z15" s="21" t="s">
        <v>68</v>
      </c>
      <c r="AA15" s="21" t="s">
        <v>69</v>
      </c>
      <c r="AB15" s="8"/>
      <c r="AC15" s="22"/>
      <c r="AD15" s="1"/>
      <c r="AE15" s="23" t="s">
        <v>70</v>
      </c>
      <c r="AF15" s="1">
        <v>209</v>
      </c>
      <c r="AG15" s="1"/>
    </row>
    <row r="16" spans="1:33" s="24" customFormat="1" ht="30" x14ac:dyDescent="0.25">
      <c r="A16" s="4"/>
      <c r="B16" s="4">
        <v>44812</v>
      </c>
      <c r="C16" s="6" t="s">
        <v>1688</v>
      </c>
      <c r="D16" s="224" t="s">
        <v>3456</v>
      </c>
      <c r="E16" s="6" t="s">
        <v>1705</v>
      </c>
      <c r="F16" s="245" t="s">
        <v>71</v>
      </c>
      <c r="G16" s="1" t="s">
        <v>71</v>
      </c>
      <c r="H16" s="8">
        <v>1</v>
      </c>
      <c r="I16" s="8"/>
      <c r="J16" s="115">
        <f>Table224[[#This Row],[Qty]]-Table224[[#This Row],[Issue Qty]]</f>
        <v>1</v>
      </c>
      <c r="K16" s="195"/>
      <c r="L16" s="195" t="s">
        <v>3479</v>
      </c>
      <c r="M16" s="5">
        <v>7320</v>
      </c>
      <c r="N16" s="5">
        <f t="shared" si="0"/>
        <v>7320</v>
      </c>
      <c r="O16" s="11">
        <v>0</v>
      </c>
      <c r="P16" s="9">
        <f t="shared" si="1"/>
        <v>0</v>
      </c>
      <c r="Q16" s="5"/>
      <c r="R16" s="5"/>
      <c r="S16" s="5">
        <f t="shared" si="2"/>
        <v>7320</v>
      </c>
      <c r="T16" s="1" t="s">
        <v>20</v>
      </c>
      <c r="U16" s="1" t="s">
        <v>1690</v>
      </c>
      <c r="V16" s="1"/>
      <c r="W16" s="1"/>
      <c r="X16" s="1">
        <v>216</v>
      </c>
      <c r="Y16" s="2"/>
      <c r="Z16" s="21" t="s">
        <v>72</v>
      </c>
      <c r="AA16" s="21" t="s">
        <v>73</v>
      </c>
      <c r="AB16" s="21"/>
      <c r="AC16" s="12"/>
      <c r="AD16" s="2"/>
      <c r="AE16" s="23"/>
      <c r="AF16" s="2"/>
      <c r="AG16" s="2"/>
    </row>
    <row r="17" spans="1:33" s="24" customFormat="1" x14ac:dyDescent="0.25">
      <c r="A17" s="4"/>
      <c r="B17" s="4">
        <v>44818</v>
      </c>
      <c r="C17" s="6" t="s">
        <v>1683</v>
      </c>
      <c r="D17" s="224" t="s">
        <v>3444</v>
      </c>
      <c r="E17" s="6" t="s">
        <v>37</v>
      </c>
      <c r="F17" s="102" t="s">
        <v>3531</v>
      </c>
      <c r="G17" s="1" t="s">
        <v>74</v>
      </c>
      <c r="H17" s="8">
        <v>1</v>
      </c>
      <c r="I17" s="8"/>
      <c r="J17" s="115">
        <f>Table224[[#This Row],[Qty]]-Table224[[#This Row],[Issue Qty]]</f>
        <v>1</v>
      </c>
      <c r="K17" s="195"/>
      <c r="L17" s="195" t="s">
        <v>3480</v>
      </c>
      <c r="M17" s="5">
        <v>8774</v>
      </c>
      <c r="N17" s="5">
        <f t="shared" si="0"/>
        <v>8774</v>
      </c>
      <c r="O17" s="11"/>
      <c r="P17" s="9">
        <f t="shared" si="1"/>
        <v>0</v>
      </c>
      <c r="Q17" s="5"/>
      <c r="R17" s="5"/>
      <c r="S17" s="5">
        <f t="shared" si="2"/>
        <v>8774</v>
      </c>
      <c r="T17" s="1" t="s">
        <v>20</v>
      </c>
      <c r="U17" s="1" t="s">
        <v>1690</v>
      </c>
      <c r="V17" s="1" t="s">
        <v>56</v>
      </c>
      <c r="W17" s="1" t="s">
        <v>1706</v>
      </c>
      <c r="X17" s="1">
        <v>222</v>
      </c>
      <c r="Y17" s="2"/>
      <c r="Z17" s="21" t="s">
        <v>107</v>
      </c>
      <c r="AA17" s="21" t="s">
        <v>457</v>
      </c>
      <c r="AB17" s="21"/>
      <c r="AC17" s="12"/>
      <c r="AD17" s="2"/>
      <c r="AE17" s="23"/>
      <c r="AF17" s="2"/>
      <c r="AG17" s="2"/>
    </row>
    <row r="18" spans="1:33" s="25" customFormat="1" ht="30" x14ac:dyDescent="0.25">
      <c r="A18" s="4"/>
      <c r="B18" s="4">
        <v>44879</v>
      </c>
      <c r="C18" s="6" t="s">
        <v>54</v>
      </c>
      <c r="D18" s="186" t="s">
        <v>3430</v>
      </c>
      <c r="E18" s="6" t="s">
        <v>1691</v>
      </c>
      <c r="F18" s="170" t="s">
        <v>30</v>
      </c>
      <c r="G18" s="1" t="s">
        <v>75</v>
      </c>
      <c r="H18" s="8">
        <v>2</v>
      </c>
      <c r="I18" s="8"/>
      <c r="J18" s="115">
        <f>Table224[[#This Row],[Qty]]-Table224[[#This Row],[Issue Qty]]</f>
        <v>2</v>
      </c>
      <c r="K18" s="195"/>
      <c r="L18" s="195" t="s">
        <v>3486</v>
      </c>
      <c r="M18" s="5">
        <f>995/5</f>
        <v>199</v>
      </c>
      <c r="N18" s="5">
        <f t="shared" si="0"/>
        <v>398</v>
      </c>
      <c r="O18" s="11">
        <v>0.18</v>
      </c>
      <c r="P18" s="9">
        <f t="shared" si="1"/>
        <v>71.64</v>
      </c>
      <c r="Q18" s="5"/>
      <c r="R18" s="5"/>
      <c r="S18" s="5">
        <f t="shared" si="2"/>
        <v>469.64</v>
      </c>
      <c r="T18" s="1" t="s">
        <v>76</v>
      </c>
      <c r="U18" s="1" t="s">
        <v>1703</v>
      </c>
      <c r="V18" s="1"/>
      <c r="W18" s="1"/>
      <c r="X18" s="1">
        <v>249</v>
      </c>
      <c r="Y18" s="2"/>
      <c r="Z18" s="8" t="s">
        <v>688</v>
      </c>
      <c r="AA18" s="8"/>
      <c r="AB18" s="21"/>
      <c r="AC18" s="12" t="s">
        <v>3472</v>
      </c>
      <c r="AD18" s="2" t="s">
        <v>49</v>
      </c>
      <c r="AE18" s="23"/>
      <c r="AF18" s="2"/>
      <c r="AG18" s="1"/>
    </row>
    <row r="19" spans="1:33" s="24" customFormat="1" ht="30" x14ac:dyDescent="0.25">
      <c r="A19" s="4"/>
      <c r="B19" s="4">
        <v>44880</v>
      </c>
      <c r="C19" s="1" t="s">
        <v>1991</v>
      </c>
      <c r="D19" s="224" t="s">
        <v>3443</v>
      </c>
      <c r="E19" s="6" t="s">
        <v>1707</v>
      </c>
      <c r="F19" s="234" t="s">
        <v>77</v>
      </c>
      <c r="G19" s="1" t="s">
        <v>77</v>
      </c>
      <c r="H19" s="8">
        <v>1</v>
      </c>
      <c r="I19" s="8"/>
      <c r="J19" s="115">
        <f>Table224[[#This Row],[Qty]]-Table224[[#This Row],[Issue Qty]]</f>
        <v>1</v>
      </c>
      <c r="K19" s="195"/>
      <c r="L19" s="195" t="s">
        <v>3480</v>
      </c>
      <c r="M19" s="5">
        <v>1099</v>
      </c>
      <c r="N19" s="5">
        <f t="shared" si="0"/>
        <v>1099</v>
      </c>
      <c r="O19" s="11">
        <v>0</v>
      </c>
      <c r="P19" s="9">
        <f t="shared" si="1"/>
        <v>0</v>
      </c>
      <c r="Q19" s="5"/>
      <c r="R19" s="5"/>
      <c r="S19" s="5">
        <f t="shared" si="2"/>
        <v>1099</v>
      </c>
      <c r="T19" s="1" t="s">
        <v>76</v>
      </c>
      <c r="U19" s="1" t="s">
        <v>1703</v>
      </c>
      <c r="V19" s="1"/>
      <c r="W19" s="1"/>
      <c r="X19" s="1"/>
      <c r="Y19" s="1"/>
      <c r="Z19" s="21" t="s">
        <v>25</v>
      </c>
      <c r="AA19" s="21" t="s">
        <v>79</v>
      </c>
      <c r="AB19" s="8"/>
      <c r="AC19" s="22"/>
      <c r="AD19" s="1"/>
      <c r="AE19" s="23"/>
      <c r="AF19" s="1">
        <v>248</v>
      </c>
      <c r="AG19" s="2"/>
    </row>
    <row r="20" spans="1:33" s="24" customFormat="1" x14ac:dyDescent="0.25">
      <c r="A20" s="4"/>
      <c r="B20" s="4">
        <v>44881</v>
      </c>
      <c r="C20" s="6" t="s">
        <v>1683</v>
      </c>
      <c r="D20" s="224" t="s">
        <v>1663</v>
      </c>
      <c r="E20" s="6" t="s">
        <v>37</v>
      </c>
      <c r="F20" s="102" t="s">
        <v>80</v>
      </c>
      <c r="G20" s="1" t="s">
        <v>80</v>
      </c>
      <c r="H20" s="8">
        <v>1</v>
      </c>
      <c r="I20" s="8">
        <v>1</v>
      </c>
      <c r="J20" s="115">
        <f>Table224[[#This Row],[Qty]]-Table224[[#This Row],[Issue Qty]]</f>
        <v>0</v>
      </c>
      <c r="K20" s="195"/>
      <c r="L20" s="195" t="s">
        <v>3480</v>
      </c>
      <c r="M20" s="5">
        <v>8745.52</v>
      </c>
      <c r="N20" s="5">
        <f t="shared" si="0"/>
        <v>8745.52</v>
      </c>
      <c r="O20" s="11">
        <v>0</v>
      </c>
      <c r="P20" s="9">
        <f t="shared" si="1"/>
        <v>0</v>
      </c>
      <c r="Q20" s="5"/>
      <c r="R20" s="5"/>
      <c r="S20" s="5">
        <f t="shared" si="2"/>
        <v>8745.52</v>
      </c>
      <c r="T20" s="1" t="s">
        <v>76</v>
      </c>
      <c r="U20" s="1" t="s">
        <v>37</v>
      </c>
      <c r="V20" s="1"/>
      <c r="W20" s="1"/>
      <c r="X20" s="1">
        <v>252</v>
      </c>
      <c r="Y20" s="2"/>
      <c r="Z20" s="21"/>
      <c r="AA20" s="21"/>
      <c r="AB20" s="21">
        <v>1</v>
      </c>
      <c r="AC20" s="12" t="s">
        <v>81</v>
      </c>
      <c r="AD20" s="2"/>
      <c r="AE20" s="23"/>
      <c r="AF20" s="2"/>
      <c r="AG20" s="2"/>
    </row>
    <row r="21" spans="1:33" s="24" customFormat="1" ht="30" x14ac:dyDescent="0.25">
      <c r="A21" s="4"/>
      <c r="B21" s="4">
        <v>44884</v>
      </c>
      <c r="C21" s="6" t="s">
        <v>54</v>
      </c>
      <c r="D21" s="224" t="s">
        <v>3430</v>
      </c>
      <c r="E21" s="6" t="s">
        <v>1708</v>
      </c>
      <c r="F21" s="234" t="s">
        <v>82</v>
      </c>
      <c r="G21" s="1" t="s">
        <v>83</v>
      </c>
      <c r="H21" s="8">
        <v>2</v>
      </c>
      <c r="I21" s="8"/>
      <c r="J21" s="115">
        <f>Table224[[#This Row],[Qty]]-Table224[[#This Row],[Issue Qty]]</f>
        <v>2</v>
      </c>
      <c r="K21" s="195"/>
      <c r="L21" s="195" t="s">
        <v>3479</v>
      </c>
      <c r="M21" s="5">
        <f>398/H21</f>
        <v>199</v>
      </c>
      <c r="N21" s="5">
        <f t="shared" si="0"/>
        <v>398</v>
      </c>
      <c r="O21" s="11">
        <v>0</v>
      </c>
      <c r="P21" s="9">
        <f t="shared" si="1"/>
        <v>0</v>
      </c>
      <c r="Q21" s="5"/>
      <c r="R21" s="5"/>
      <c r="S21" s="5">
        <f t="shared" si="2"/>
        <v>398</v>
      </c>
      <c r="T21" s="1" t="s">
        <v>76</v>
      </c>
      <c r="U21" s="1" t="s">
        <v>1709</v>
      </c>
      <c r="V21" s="1"/>
      <c r="W21" s="1"/>
      <c r="X21" s="1"/>
      <c r="Y21" s="1"/>
      <c r="Z21" s="21" t="s">
        <v>688</v>
      </c>
      <c r="AA21" s="21"/>
      <c r="AB21" s="8"/>
      <c r="AC21" s="22"/>
      <c r="AD21" s="1"/>
      <c r="AE21" s="23"/>
      <c r="AF21" s="1">
        <v>266</v>
      </c>
      <c r="AG21" s="2"/>
    </row>
    <row r="22" spans="1:33" s="24" customFormat="1" ht="30" x14ac:dyDescent="0.25">
      <c r="A22" s="4"/>
      <c r="B22" s="4">
        <v>44884</v>
      </c>
      <c r="C22" s="6" t="s">
        <v>54</v>
      </c>
      <c r="D22" s="224" t="s">
        <v>3430</v>
      </c>
      <c r="E22" s="6" t="s">
        <v>1708</v>
      </c>
      <c r="F22" s="234" t="s">
        <v>82</v>
      </c>
      <c r="G22" s="1" t="s">
        <v>84</v>
      </c>
      <c r="H22" s="8">
        <v>1</v>
      </c>
      <c r="I22" s="8"/>
      <c r="J22" s="115">
        <f>Table224[[#This Row],[Qty]]-Table224[[#This Row],[Issue Qty]]</f>
        <v>1</v>
      </c>
      <c r="K22" s="195"/>
      <c r="L22" s="195" t="s">
        <v>3479</v>
      </c>
      <c r="M22" s="5">
        <v>199</v>
      </c>
      <c r="N22" s="5">
        <f t="shared" si="0"/>
        <v>199</v>
      </c>
      <c r="O22" s="11">
        <v>0</v>
      </c>
      <c r="P22" s="9">
        <f t="shared" si="1"/>
        <v>0</v>
      </c>
      <c r="Q22" s="5"/>
      <c r="R22" s="5"/>
      <c r="S22" s="5">
        <f t="shared" si="2"/>
        <v>199</v>
      </c>
      <c r="T22" s="1" t="s">
        <v>76</v>
      </c>
      <c r="U22" s="1" t="s">
        <v>1703</v>
      </c>
      <c r="V22" s="1"/>
      <c r="W22" s="1"/>
      <c r="X22" s="1"/>
      <c r="Y22" s="1"/>
      <c r="Z22" s="21" t="s">
        <v>688</v>
      </c>
      <c r="AA22" s="21"/>
      <c r="AB22" s="8"/>
      <c r="AC22" s="22"/>
      <c r="AD22" s="1"/>
      <c r="AE22" s="23"/>
      <c r="AF22" s="1">
        <v>266</v>
      </c>
      <c r="AG22" s="2"/>
    </row>
    <row r="23" spans="1:33" s="24" customFormat="1" x14ac:dyDescent="0.25">
      <c r="A23" s="4"/>
      <c r="B23" s="4">
        <v>44886</v>
      </c>
      <c r="C23" s="6" t="s">
        <v>1683</v>
      </c>
      <c r="D23" s="224" t="s">
        <v>3429</v>
      </c>
      <c r="E23" s="6" t="s">
        <v>1710</v>
      </c>
      <c r="F23" s="234" t="s">
        <v>85</v>
      </c>
      <c r="G23" s="1" t="s">
        <v>85</v>
      </c>
      <c r="H23" s="8">
        <v>4</v>
      </c>
      <c r="I23" s="8"/>
      <c r="J23" s="115">
        <f>Table224[[#This Row],[Qty]]-Table224[[#This Row],[Issue Qty]]</f>
        <v>4</v>
      </c>
      <c r="K23" s="195"/>
      <c r="L23" s="195" t="s">
        <v>3480</v>
      </c>
      <c r="M23" s="5">
        <v>1146.172</v>
      </c>
      <c r="N23" s="5">
        <f t="shared" si="0"/>
        <v>4584.6880000000001</v>
      </c>
      <c r="O23" s="11">
        <v>0</v>
      </c>
      <c r="P23" s="9">
        <f t="shared" si="1"/>
        <v>0</v>
      </c>
      <c r="Q23" s="5"/>
      <c r="R23" s="5">
        <v>0.31</v>
      </c>
      <c r="S23" s="5">
        <f t="shared" si="2"/>
        <v>4584.9980000000005</v>
      </c>
      <c r="T23" s="1" t="s">
        <v>76</v>
      </c>
      <c r="U23" s="1" t="s">
        <v>1703</v>
      </c>
      <c r="V23" s="1"/>
      <c r="W23" s="1"/>
      <c r="X23" s="1"/>
      <c r="Y23" s="1"/>
      <c r="Z23" s="21" t="s">
        <v>64</v>
      </c>
      <c r="AA23" s="21" t="s">
        <v>65</v>
      </c>
      <c r="AB23" s="8"/>
      <c r="AC23" s="22"/>
      <c r="AD23" s="1"/>
      <c r="AE23" s="23"/>
      <c r="AF23" s="1">
        <v>267</v>
      </c>
      <c r="AG23" s="2"/>
    </row>
    <row r="24" spans="1:33" s="24" customFormat="1" ht="30" x14ac:dyDescent="0.25">
      <c r="A24" s="4"/>
      <c r="B24" s="4">
        <v>44921</v>
      </c>
      <c r="C24" s="1" t="s">
        <v>1991</v>
      </c>
      <c r="D24" s="224" t="s">
        <v>3459</v>
      </c>
      <c r="E24" s="6" t="s">
        <v>1713</v>
      </c>
      <c r="F24" s="268" t="s">
        <v>3421</v>
      </c>
      <c r="G24" s="1" t="s">
        <v>93</v>
      </c>
      <c r="H24" s="8">
        <v>1</v>
      </c>
      <c r="I24" s="8">
        <v>1</v>
      </c>
      <c r="J24" s="115">
        <f>Table224[[#This Row],[Qty]]-Table224[[#This Row],[Issue Qty]]</f>
        <v>0</v>
      </c>
      <c r="K24" s="195"/>
      <c r="L24" s="195" t="s">
        <v>3480</v>
      </c>
      <c r="M24" s="5">
        <v>8143.13</v>
      </c>
      <c r="N24" s="5">
        <f t="shared" si="0"/>
        <v>8143.13</v>
      </c>
      <c r="O24" s="11">
        <v>0</v>
      </c>
      <c r="P24" s="9">
        <f t="shared" si="1"/>
        <v>0</v>
      </c>
      <c r="Q24" s="5"/>
      <c r="R24" s="5"/>
      <c r="S24" s="5">
        <f t="shared" si="2"/>
        <v>8143.13</v>
      </c>
      <c r="T24" s="1" t="s">
        <v>88</v>
      </c>
      <c r="U24" s="1" t="s">
        <v>1703</v>
      </c>
      <c r="V24" s="1"/>
      <c r="W24" s="1"/>
      <c r="X24" s="1"/>
      <c r="Y24" s="1"/>
      <c r="Z24" s="21" t="s">
        <v>72</v>
      </c>
      <c r="AA24" s="21" t="s">
        <v>94</v>
      </c>
      <c r="AB24" s="8"/>
      <c r="AC24" s="22"/>
      <c r="AD24" s="1" t="s">
        <v>3789</v>
      </c>
      <c r="AE24" s="23" t="s">
        <v>93</v>
      </c>
      <c r="AF24" s="1">
        <v>303</v>
      </c>
      <c r="AG24" s="2"/>
    </row>
    <row r="25" spans="1:33" s="24" customFormat="1" ht="29.25" customHeight="1" x14ac:dyDescent="0.25">
      <c r="A25" s="4"/>
      <c r="B25" s="4">
        <v>44921</v>
      </c>
      <c r="C25" s="1" t="s">
        <v>1991</v>
      </c>
      <c r="D25" s="224" t="s">
        <v>3463</v>
      </c>
      <c r="E25" s="6" t="s">
        <v>1711</v>
      </c>
      <c r="F25" s="257" t="s">
        <v>86</v>
      </c>
      <c r="G25" s="1" t="s">
        <v>87</v>
      </c>
      <c r="H25" s="8">
        <v>2</v>
      </c>
      <c r="I25" s="8">
        <v>0</v>
      </c>
      <c r="J25" s="115">
        <f>Table224[[#This Row],[Qty]]-Table224[[#This Row],[Issue Qty]]</f>
        <v>2</v>
      </c>
      <c r="K25" s="332">
        <v>2</v>
      </c>
      <c r="L25" s="195" t="s">
        <v>3480</v>
      </c>
      <c r="M25" s="5">
        <f>5084.74/2</f>
        <v>2542.37</v>
      </c>
      <c r="N25" s="5">
        <f t="shared" si="0"/>
        <v>5084.74</v>
      </c>
      <c r="O25" s="11"/>
      <c r="P25" s="9">
        <f t="shared" si="1"/>
        <v>0</v>
      </c>
      <c r="Q25" s="5"/>
      <c r="R25" s="5"/>
      <c r="S25" s="5">
        <f t="shared" si="2"/>
        <v>5084.74</v>
      </c>
      <c r="T25" s="1" t="s">
        <v>88</v>
      </c>
      <c r="U25" s="1" t="s">
        <v>1703</v>
      </c>
      <c r="V25" s="1"/>
      <c r="W25" s="1"/>
      <c r="X25" s="1">
        <v>297</v>
      </c>
      <c r="Y25" s="2"/>
      <c r="Z25" s="21" t="s">
        <v>89</v>
      </c>
      <c r="AA25" s="21" t="s">
        <v>90</v>
      </c>
      <c r="AB25" s="21"/>
      <c r="AC25" s="12" t="s">
        <v>3471</v>
      </c>
      <c r="AD25" s="2"/>
      <c r="AE25" s="23" t="s">
        <v>91</v>
      </c>
      <c r="AF25" s="2"/>
      <c r="AG25" s="2"/>
    </row>
    <row r="26" spans="1:33" s="24" customFormat="1" ht="28.5" customHeight="1" x14ac:dyDescent="0.25">
      <c r="A26" s="4"/>
      <c r="B26" s="4">
        <v>44921</v>
      </c>
      <c r="C26" s="1" t="s">
        <v>1991</v>
      </c>
      <c r="D26" s="224" t="s">
        <v>3459</v>
      </c>
      <c r="E26" s="6" t="s">
        <v>1712</v>
      </c>
      <c r="F26" s="234" t="s">
        <v>92</v>
      </c>
      <c r="G26" s="1" t="s">
        <v>93</v>
      </c>
      <c r="H26" s="8">
        <v>1</v>
      </c>
      <c r="I26" s="8">
        <v>0</v>
      </c>
      <c r="J26" s="115">
        <f>Table224[[#This Row],[Qty]]-Table224[[#This Row],[Issue Qty]]</f>
        <v>1</v>
      </c>
      <c r="K26" s="195"/>
      <c r="L26" s="195" t="s">
        <v>3480</v>
      </c>
      <c r="M26" s="5">
        <v>3058</v>
      </c>
      <c r="N26" s="5">
        <f t="shared" si="0"/>
        <v>3058</v>
      </c>
      <c r="O26" s="11">
        <v>0</v>
      </c>
      <c r="P26" s="9">
        <f t="shared" si="1"/>
        <v>0</v>
      </c>
      <c r="Q26" s="5"/>
      <c r="R26" s="5"/>
      <c r="S26" s="5">
        <f t="shared" si="2"/>
        <v>3058</v>
      </c>
      <c r="T26" s="1" t="s">
        <v>88</v>
      </c>
      <c r="U26" s="1" t="s">
        <v>1703</v>
      </c>
      <c r="V26" s="1"/>
      <c r="W26" s="1"/>
      <c r="X26" s="1"/>
      <c r="Y26" s="1"/>
      <c r="Z26" s="21" t="s">
        <v>72</v>
      </c>
      <c r="AA26" s="21" t="s">
        <v>94</v>
      </c>
      <c r="AB26" s="8"/>
      <c r="AC26" s="22"/>
      <c r="AD26" s="1"/>
      <c r="AE26" s="23" t="s">
        <v>95</v>
      </c>
      <c r="AF26" s="1">
        <v>303</v>
      </c>
      <c r="AG26" s="2"/>
    </row>
    <row r="27" spans="1:33" s="24" customFormat="1" x14ac:dyDescent="0.25">
      <c r="A27" s="4"/>
      <c r="B27" s="4">
        <v>44950</v>
      </c>
      <c r="C27" s="6" t="s">
        <v>1695</v>
      </c>
      <c r="D27" s="224" t="s">
        <v>3457</v>
      </c>
      <c r="E27" s="6" t="s">
        <v>1714</v>
      </c>
      <c r="F27" s="234" t="s">
        <v>97</v>
      </c>
      <c r="G27" s="1" t="s">
        <v>97</v>
      </c>
      <c r="H27" s="8">
        <v>1</v>
      </c>
      <c r="I27" s="8"/>
      <c r="J27" s="115">
        <f>Table224[[#This Row],[Qty]]-Table224[[#This Row],[Issue Qty]]</f>
        <v>1</v>
      </c>
      <c r="K27" s="195"/>
      <c r="L27" s="195" t="s">
        <v>3480</v>
      </c>
      <c r="M27" s="5">
        <v>20894.490000000002</v>
      </c>
      <c r="N27" s="5">
        <f t="shared" si="0"/>
        <v>20894.490000000002</v>
      </c>
      <c r="O27" s="11">
        <v>0</v>
      </c>
      <c r="P27" s="9">
        <f t="shared" si="1"/>
        <v>0</v>
      </c>
      <c r="Q27" s="5"/>
      <c r="R27" s="5"/>
      <c r="S27" s="5">
        <f t="shared" si="2"/>
        <v>20894.490000000002</v>
      </c>
      <c r="T27" s="1" t="s">
        <v>88</v>
      </c>
      <c r="U27" s="1" t="s">
        <v>1703</v>
      </c>
      <c r="V27" s="1"/>
      <c r="W27" s="1"/>
      <c r="X27" s="1"/>
      <c r="Y27" s="1"/>
      <c r="Z27" s="21" t="s">
        <v>98</v>
      </c>
      <c r="AA27" s="21" t="s">
        <v>99</v>
      </c>
      <c r="AB27" s="8"/>
      <c r="AC27" s="22"/>
      <c r="AD27" s="1"/>
      <c r="AE27" s="23" t="s">
        <v>97</v>
      </c>
      <c r="AF27" s="1">
        <v>329</v>
      </c>
      <c r="AG27" s="2"/>
    </row>
    <row r="28" spans="1:33" s="24" customFormat="1" x14ac:dyDescent="0.25">
      <c r="A28" s="4"/>
      <c r="B28" s="4">
        <v>44958</v>
      </c>
      <c r="C28" s="1" t="s">
        <v>1991</v>
      </c>
      <c r="D28" s="224" t="s">
        <v>3443</v>
      </c>
      <c r="E28" s="6" t="s">
        <v>1757</v>
      </c>
      <c r="F28" s="226" t="s">
        <v>206</v>
      </c>
      <c r="G28" s="1" t="s">
        <v>207</v>
      </c>
      <c r="H28" s="8">
        <v>4</v>
      </c>
      <c r="I28" s="8">
        <v>4</v>
      </c>
      <c r="J28" s="115">
        <f>Table224[[#This Row],[Qty]]-Table224[[#This Row],[Issue Qty]]</f>
        <v>0</v>
      </c>
      <c r="K28" s="195"/>
      <c r="L28" s="195" t="s">
        <v>3480</v>
      </c>
      <c r="M28" s="5">
        <v>738</v>
      </c>
      <c r="N28" s="5">
        <f t="shared" si="0"/>
        <v>2952</v>
      </c>
      <c r="O28" s="11"/>
      <c r="P28" s="9">
        <f t="shared" si="1"/>
        <v>0</v>
      </c>
      <c r="Q28" s="5"/>
      <c r="R28" s="5"/>
      <c r="S28" s="5">
        <f t="shared" si="2"/>
        <v>2952</v>
      </c>
      <c r="T28" s="1" t="s">
        <v>20</v>
      </c>
      <c r="U28" s="1" t="s">
        <v>1709</v>
      </c>
      <c r="V28" s="1"/>
      <c r="W28" s="1"/>
      <c r="X28" s="1">
        <v>260</v>
      </c>
      <c r="Y28" s="2"/>
      <c r="Z28" s="21"/>
      <c r="AA28" s="21"/>
      <c r="AB28" s="21"/>
      <c r="AC28" s="12"/>
      <c r="AD28" s="2"/>
      <c r="AE28" s="23"/>
      <c r="AF28" s="2"/>
      <c r="AG28" s="2"/>
    </row>
    <row r="29" spans="1:33" s="24" customFormat="1" x14ac:dyDescent="0.25">
      <c r="A29" s="4"/>
      <c r="B29" s="4">
        <v>44958</v>
      </c>
      <c r="C29" s="1" t="s">
        <v>1991</v>
      </c>
      <c r="D29" s="224" t="s">
        <v>3490</v>
      </c>
      <c r="E29" s="6" t="s">
        <v>1715</v>
      </c>
      <c r="F29" s="234" t="s">
        <v>100</v>
      </c>
      <c r="G29" s="1" t="s">
        <v>101</v>
      </c>
      <c r="H29" s="8">
        <v>1</v>
      </c>
      <c r="I29" s="8"/>
      <c r="J29" s="115">
        <f>Table224[[#This Row],[Qty]]-Table224[[#This Row],[Issue Qty]]</f>
        <v>1</v>
      </c>
      <c r="K29" s="195"/>
      <c r="L29" s="195" t="s">
        <v>3480</v>
      </c>
      <c r="M29" s="5">
        <v>309</v>
      </c>
      <c r="N29" s="5">
        <f t="shared" si="0"/>
        <v>309</v>
      </c>
      <c r="O29" s="11">
        <v>0</v>
      </c>
      <c r="P29" s="9">
        <f t="shared" si="1"/>
        <v>0</v>
      </c>
      <c r="Q29" s="5"/>
      <c r="R29" s="5"/>
      <c r="S29" s="5">
        <f t="shared" si="2"/>
        <v>309</v>
      </c>
      <c r="T29" s="1" t="s">
        <v>20</v>
      </c>
      <c r="U29" s="1" t="s">
        <v>37</v>
      </c>
      <c r="V29" s="1"/>
      <c r="W29" s="1"/>
      <c r="X29" s="1"/>
      <c r="Y29" s="1"/>
      <c r="Z29" s="21" t="s">
        <v>52</v>
      </c>
      <c r="AA29" s="21" t="s">
        <v>53</v>
      </c>
      <c r="AB29" s="8"/>
      <c r="AC29" s="22"/>
      <c r="AD29" s="1"/>
      <c r="AE29" s="23"/>
      <c r="AF29" s="1">
        <v>260</v>
      </c>
      <c r="AG29" s="2"/>
    </row>
    <row r="30" spans="1:33" s="24" customFormat="1" x14ac:dyDescent="0.25">
      <c r="A30" s="4"/>
      <c r="B30" s="4">
        <v>44958</v>
      </c>
      <c r="C30" s="1" t="s">
        <v>1991</v>
      </c>
      <c r="D30" s="224" t="s">
        <v>3501</v>
      </c>
      <c r="E30" s="6" t="s">
        <v>1716</v>
      </c>
      <c r="F30" s="234" t="s">
        <v>102</v>
      </c>
      <c r="G30" s="1" t="s">
        <v>102</v>
      </c>
      <c r="H30" s="8">
        <v>2</v>
      </c>
      <c r="I30" s="8">
        <v>2</v>
      </c>
      <c r="J30" s="115">
        <f>Table224[[#This Row],[Qty]]-Table224[[#This Row],[Issue Qty]]</f>
        <v>0</v>
      </c>
      <c r="K30" s="195"/>
      <c r="L30" s="195" t="s">
        <v>3480</v>
      </c>
      <c r="M30" s="5">
        <v>15.3</v>
      </c>
      <c r="N30" s="5">
        <f t="shared" si="0"/>
        <v>30.6</v>
      </c>
      <c r="O30" s="11">
        <v>0.18</v>
      </c>
      <c r="P30" s="9">
        <f t="shared" si="1"/>
        <v>5.508</v>
      </c>
      <c r="Q30" s="5"/>
      <c r="R30" s="5"/>
      <c r="S30" s="5">
        <f t="shared" si="2"/>
        <v>36.108000000000004</v>
      </c>
      <c r="T30" s="1" t="s">
        <v>20</v>
      </c>
      <c r="U30" s="1" t="s">
        <v>37</v>
      </c>
      <c r="V30" s="1"/>
      <c r="W30" s="1"/>
      <c r="X30" s="1"/>
      <c r="Y30" s="1"/>
      <c r="Z30" s="8" t="s">
        <v>573</v>
      </c>
      <c r="AA30" s="8"/>
      <c r="AB30" s="8"/>
      <c r="AC30" s="22"/>
      <c r="AD30" s="1"/>
      <c r="AE30" s="23"/>
      <c r="AF30" s="1">
        <v>261</v>
      </c>
      <c r="AG30" s="2"/>
    </row>
    <row r="31" spans="1:33" s="24" customFormat="1" x14ac:dyDescent="0.25">
      <c r="A31" s="4"/>
      <c r="B31" s="4">
        <v>44958</v>
      </c>
      <c r="C31" s="1" t="s">
        <v>1991</v>
      </c>
      <c r="D31" s="224" t="s">
        <v>3502</v>
      </c>
      <c r="E31" s="6" t="s">
        <v>1717</v>
      </c>
      <c r="F31" s="234" t="s">
        <v>105</v>
      </c>
      <c r="G31" s="3" t="s">
        <v>106</v>
      </c>
      <c r="H31" s="8">
        <v>1</v>
      </c>
      <c r="I31" s="8"/>
      <c r="J31" s="115">
        <f>Table224[[#This Row],[Qty]]-Table224[[#This Row],[Issue Qty]]</f>
        <v>1</v>
      </c>
      <c r="K31" s="195"/>
      <c r="L31" s="195" t="s">
        <v>3480</v>
      </c>
      <c r="M31" s="5">
        <v>371.7</v>
      </c>
      <c r="N31" s="5">
        <f t="shared" si="0"/>
        <v>371.7</v>
      </c>
      <c r="O31" s="11">
        <v>0</v>
      </c>
      <c r="P31" s="9">
        <f t="shared" si="1"/>
        <v>0</v>
      </c>
      <c r="Q31" s="5"/>
      <c r="R31" s="5"/>
      <c r="S31" s="5">
        <f t="shared" si="2"/>
        <v>371.7</v>
      </c>
      <c r="T31" s="1" t="s">
        <v>20</v>
      </c>
      <c r="U31" s="1" t="s">
        <v>37</v>
      </c>
      <c r="V31" s="1"/>
      <c r="W31" s="1"/>
      <c r="X31" s="1"/>
      <c r="Y31" s="1"/>
      <c r="Z31" s="8" t="s">
        <v>38</v>
      </c>
      <c r="AA31" s="8"/>
      <c r="AB31" s="8"/>
      <c r="AC31" s="22"/>
      <c r="AD31" s="1"/>
      <c r="AE31" s="23" t="s">
        <v>109</v>
      </c>
      <c r="AF31" s="1">
        <v>261</v>
      </c>
      <c r="AG31" s="2"/>
    </row>
    <row r="32" spans="1:33" s="24" customFormat="1" ht="30" x14ac:dyDescent="0.25">
      <c r="A32" s="4"/>
      <c r="B32" s="4">
        <v>44958</v>
      </c>
      <c r="C32" s="1" t="s">
        <v>1991</v>
      </c>
      <c r="D32" s="224" t="s">
        <v>3459</v>
      </c>
      <c r="E32" s="6" t="s">
        <v>1718</v>
      </c>
      <c r="F32" s="234" t="s">
        <v>110</v>
      </c>
      <c r="G32" s="1" t="s">
        <v>111</v>
      </c>
      <c r="H32" s="8">
        <v>2</v>
      </c>
      <c r="I32" s="8">
        <v>0</v>
      </c>
      <c r="J32" s="115">
        <f>Table224[[#This Row],[Qty]]-Table224[[#This Row],[Issue Qty]]</f>
        <v>2</v>
      </c>
      <c r="K32" s="195"/>
      <c r="L32" s="195" t="s">
        <v>3480</v>
      </c>
      <c r="M32" s="5">
        <v>295</v>
      </c>
      <c r="N32" s="5">
        <f t="shared" si="0"/>
        <v>590</v>
      </c>
      <c r="O32" s="11">
        <v>0</v>
      </c>
      <c r="P32" s="9">
        <f t="shared" si="1"/>
        <v>0</v>
      </c>
      <c r="Q32" s="5"/>
      <c r="R32" s="5"/>
      <c r="S32" s="5">
        <f t="shared" si="2"/>
        <v>590</v>
      </c>
      <c r="T32" s="1" t="s">
        <v>20</v>
      </c>
      <c r="U32" s="1" t="s">
        <v>37</v>
      </c>
      <c r="V32" s="1"/>
      <c r="W32" s="1"/>
      <c r="X32" s="1"/>
      <c r="Y32" s="1"/>
      <c r="Z32" s="21" t="s">
        <v>72</v>
      </c>
      <c r="AA32" s="21" t="s">
        <v>94</v>
      </c>
      <c r="AB32" s="8">
        <v>2</v>
      </c>
      <c r="AC32" s="22" t="s">
        <v>81</v>
      </c>
      <c r="AD32" s="1"/>
      <c r="AE32" s="23"/>
      <c r="AF32" s="1">
        <v>260</v>
      </c>
      <c r="AG32" s="2"/>
    </row>
    <row r="33" spans="1:33" s="24" customFormat="1" x14ac:dyDescent="0.25">
      <c r="A33" s="4"/>
      <c r="B33" s="4">
        <v>44958</v>
      </c>
      <c r="C33" s="1" t="s">
        <v>1991</v>
      </c>
      <c r="D33" s="224" t="s">
        <v>3463</v>
      </c>
      <c r="E33" s="6" t="s">
        <v>1719</v>
      </c>
      <c r="F33" s="102" t="s">
        <v>112</v>
      </c>
      <c r="G33" s="1" t="s">
        <v>113</v>
      </c>
      <c r="H33" s="8">
        <v>1</v>
      </c>
      <c r="I33" s="8"/>
      <c r="J33" s="115">
        <f>Table224[[#This Row],[Qty]]-Table224[[#This Row],[Issue Qty]]</f>
        <v>1</v>
      </c>
      <c r="K33" s="195"/>
      <c r="L33" s="195" t="s">
        <v>3486</v>
      </c>
      <c r="M33" s="5">
        <v>2699.1</v>
      </c>
      <c r="N33" s="5">
        <f t="shared" si="0"/>
        <v>2699.1</v>
      </c>
      <c r="O33" s="11">
        <v>0</v>
      </c>
      <c r="P33" s="9">
        <f t="shared" si="1"/>
        <v>0</v>
      </c>
      <c r="Q33" s="5"/>
      <c r="R33" s="5"/>
      <c r="S33" s="5">
        <f t="shared" si="2"/>
        <v>2699.1</v>
      </c>
      <c r="T33" s="1" t="s">
        <v>20</v>
      </c>
      <c r="U33" s="1" t="s">
        <v>37</v>
      </c>
      <c r="V33" s="1"/>
      <c r="W33" s="1"/>
      <c r="X33" s="1"/>
      <c r="Y33" s="1"/>
      <c r="Z33" s="21" t="s">
        <v>89</v>
      </c>
      <c r="AA33" s="21" t="s">
        <v>692</v>
      </c>
      <c r="AB33" s="8"/>
      <c r="AC33" s="22"/>
      <c r="AD33" s="1" t="s">
        <v>3572</v>
      </c>
      <c r="AE33" s="23"/>
      <c r="AF33" s="1">
        <v>261</v>
      </c>
      <c r="AG33" s="2"/>
    </row>
    <row r="34" spans="1:33" s="24" customFormat="1" x14ac:dyDescent="0.25">
      <c r="A34" s="4"/>
      <c r="B34" s="4">
        <v>44958</v>
      </c>
      <c r="C34" s="6" t="s">
        <v>1683</v>
      </c>
      <c r="D34" s="224" t="s">
        <v>3439</v>
      </c>
      <c r="E34" s="6" t="s">
        <v>1721</v>
      </c>
      <c r="F34" s="234" t="s">
        <v>115</v>
      </c>
      <c r="G34" s="1" t="s">
        <v>116</v>
      </c>
      <c r="H34" s="8">
        <v>1</v>
      </c>
      <c r="I34" s="8">
        <v>1</v>
      </c>
      <c r="J34" s="115">
        <f>Table224[[#This Row],[Qty]]-Table224[[#This Row],[Issue Qty]]</f>
        <v>0</v>
      </c>
      <c r="K34" s="195"/>
      <c r="L34" s="195" t="s">
        <v>3480</v>
      </c>
      <c r="M34" s="5">
        <v>499</v>
      </c>
      <c r="N34" s="5">
        <f t="shared" si="0"/>
        <v>499</v>
      </c>
      <c r="O34" s="11">
        <v>0</v>
      </c>
      <c r="P34" s="9">
        <f t="shared" si="1"/>
        <v>0</v>
      </c>
      <c r="Q34" s="5"/>
      <c r="R34" s="5"/>
      <c r="S34" s="5">
        <f t="shared" si="2"/>
        <v>499</v>
      </c>
      <c r="T34" s="1" t="s">
        <v>20</v>
      </c>
      <c r="U34" s="1" t="s">
        <v>37</v>
      </c>
      <c r="V34" s="1"/>
      <c r="W34" s="1"/>
      <c r="X34" s="1"/>
      <c r="Y34" s="1"/>
      <c r="Z34" s="21" t="s">
        <v>72</v>
      </c>
      <c r="AA34" s="21" t="s">
        <v>117</v>
      </c>
      <c r="AB34" s="8">
        <v>1</v>
      </c>
      <c r="AC34" s="22" t="s">
        <v>474</v>
      </c>
      <c r="AD34" s="1"/>
      <c r="AE34" s="23"/>
      <c r="AF34" s="1">
        <v>260</v>
      </c>
      <c r="AG34" s="2"/>
    </row>
    <row r="35" spans="1:33" s="24" customFormat="1" ht="30" x14ac:dyDescent="0.25">
      <c r="A35" s="4"/>
      <c r="B35" s="4">
        <v>44958</v>
      </c>
      <c r="C35" s="6" t="s">
        <v>1695</v>
      </c>
      <c r="D35" s="224" t="s">
        <v>3457</v>
      </c>
      <c r="E35" s="6" t="s">
        <v>1722</v>
      </c>
      <c r="F35" s="234" t="s">
        <v>118</v>
      </c>
      <c r="G35" s="1" t="s">
        <v>119</v>
      </c>
      <c r="H35" s="8">
        <v>1</v>
      </c>
      <c r="I35" s="8"/>
      <c r="J35" s="115">
        <f>Table224[[#This Row],[Qty]]-Table224[[#This Row],[Issue Qty]]</f>
        <v>1</v>
      </c>
      <c r="K35" s="195"/>
      <c r="L35" s="195" t="s">
        <v>3480</v>
      </c>
      <c r="M35" s="5">
        <v>4999</v>
      </c>
      <c r="N35" s="5">
        <f t="shared" si="0"/>
        <v>4999</v>
      </c>
      <c r="O35" s="11">
        <v>0</v>
      </c>
      <c r="P35" s="9">
        <f t="shared" si="1"/>
        <v>0</v>
      </c>
      <c r="Q35" s="5"/>
      <c r="R35" s="5"/>
      <c r="S35" s="5">
        <f t="shared" si="2"/>
        <v>4999</v>
      </c>
      <c r="T35" s="1" t="s">
        <v>20</v>
      </c>
      <c r="U35" s="1" t="s">
        <v>37</v>
      </c>
      <c r="V35" s="1"/>
      <c r="W35" s="1"/>
      <c r="X35" s="1"/>
      <c r="Y35" s="1"/>
      <c r="Z35" s="21" t="s">
        <v>98</v>
      </c>
      <c r="AA35" s="21" t="s">
        <v>99</v>
      </c>
      <c r="AB35" s="8"/>
      <c r="AC35" s="22"/>
      <c r="AD35" s="1"/>
      <c r="AE35" s="23" t="s">
        <v>120</v>
      </c>
      <c r="AF35" s="1">
        <v>259</v>
      </c>
      <c r="AG35" s="2"/>
    </row>
    <row r="36" spans="1:33" s="24" customFormat="1" x14ac:dyDescent="0.25">
      <c r="A36" s="4"/>
      <c r="B36" s="4">
        <v>44958</v>
      </c>
      <c r="C36" s="1" t="s">
        <v>1991</v>
      </c>
      <c r="D36" s="224" t="s">
        <v>3443</v>
      </c>
      <c r="E36" s="6" t="s">
        <v>1723</v>
      </c>
      <c r="F36" s="170" t="s">
        <v>121</v>
      </c>
      <c r="G36" s="1" t="s">
        <v>122</v>
      </c>
      <c r="H36" s="8">
        <v>2</v>
      </c>
      <c r="I36" s="8"/>
      <c r="J36" s="115">
        <f>Table224[[#This Row],[Qty]]-Table224[[#This Row],[Issue Qty]]</f>
        <v>2</v>
      </c>
      <c r="K36" s="195"/>
      <c r="L36" s="195" t="s">
        <v>3480</v>
      </c>
      <c r="M36" s="5">
        <f>17998.2/2</f>
        <v>8999.1</v>
      </c>
      <c r="N36" s="5">
        <f t="shared" si="0"/>
        <v>17998.2</v>
      </c>
      <c r="O36" s="11">
        <v>0</v>
      </c>
      <c r="P36" s="9">
        <f t="shared" si="1"/>
        <v>0</v>
      </c>
      <c r="Q36" s="5"/>
      <c r="R36" s="5"/>
      <c r="S36" s="5">
        <f t="shared" si="2"/>
        <v>17998.2</v>
      </c>
      <c r="T36" s="1" t="s">
        <v>20</v>
      </c>
      <c r="U36" s="1" t="s">
        <v>1685</v>
      </c>
      <c r="V36" s="1"/>
      <c r="W36" s="1"/>
      <c r="X36" s="1"/>
      <c r="Y36" s="1"/>
      <c r="Z36" s="21" t="s">
        <v>25</v>
      </c>
      <c r="AA36" s="21" t="s">
        <v>26</v>
      </c>
      <c r="AB36" s="8"/>
      <c r="AC36" s="22"/>
      <c r="AD36" s="1"/>
      <c r="AE36" s="23"/>
      <c r="AF36" s="1" t="s">
        <v>37</v>
      </c>
      <c r="AG36" s="2"/>
    </row>
    <row r="37" spans="1:33" s="24" customFormat="1" x14ac:dyDescent="0.25">
      <c r="A37" s="4"/>
      <c r="B37" s="4">
        <v>44958</v>
      </c>
      <c r="C37" s="1" t="s">
        <v>1991</v>
      </c>
      <c r="D37" s="224" t="s">
        <v>3443</v>
      </c>
      <c r="E37" s="26" t="s">
        <v>1723</v>
      </c>
      <c r="F37" s="168" t="s">
        <v>121</v>
      </c>
      <c r="G37" s="1" t="s">
        <v>123</v>
      </c>
      <c r="H37" s="8">
        <v>1</v>
      </c>
      <c r="I37" s="8"/>
      <c r="J37" s="115">
        <f>Table224[[#This Row],[Qty]]-Table224[[#This Row],[Issue Qty]]</f>
        <v>1</v>
      </c>
      <c r="K37" s="195"/>
      <c r="L37" s="195" t="s">
        <v>3480</v>
      </c>
      <c r="M37" s="5">
        <v>9899</v>
      </c>
      <c r="N37" s="5">
        <f t="shared" si="0"/>
        <v>9899</v>
      </c>
      <c r="O37" s="11">
        <v>0</v>
      </c>
      <c r="P37" s="9">
        <f t="shared" si="1"/>
        <v>0</v>
      </c>
      <c r="Q37" s="5"/>
      <c r="R37" s="5"/>
      <c r="S37" s="5">
        <f t="shared" si="2"/>
        <v>9899</v>
      </c>
      <c r="T37" s="1" t="s">
        <v>20</v>
      </c>
      <c r="U37" s="1" t="s">
        <v>1685</v>
      </c>
      <c r="V37" s="1"/>
      <c r="W37" s="1"/>
      <c r="X37" s="1">
        <v>260</v>
      </c>
      <c r="Y37" s="26"/>
      <c r="Z37" s="21" t="s">
        <v>25</v>
      </c>
      <c r="AA37" s="21" t="s">
        <v>26</v>
      </c>
      <c r="AB37" s="21"/>
      <c r="AC37" s="12"/>
      <c r="AD37" s="26"/>
      <c r="AE37" s="23"/>
      <c r="AF37" s="26"/>
      <c r="AG37" s="2"/>
    </row>
    <row r="38" spans="1:33" s="24" customFormat="1" x14ac:dyDescent="0.25">
      <c r="A38" s="4"/>
      <c r="B38" s="4">
        <v>44958</v>
      </c>
      <c r="C38" s="6" t="s">
        <v>54</v>
      </c>
      <c r="D38" s="224" t="s">
        <v>3430</v>
      </c>
      <c r="E38" s="6" t="s">
        <v>1724</v>
      </c>
      <c r="F38" s="234" t="s">
        <v>124</v>
      </c>
      <c r="G38" s="1" t="s">
        <v>125</v>
      </c>
      <c r="H38" s="8">
        <v>3</v>
      </c>
      <c r="I38" s="8"/>
      <c r="J38" s="115">
        <f>Table224[[#This Row],[Qty]]-Table224[[#This Row],[Issue Qty]]</f>
        <v>3</v>
      </c>
      <c r="K38" s="195"/>
      <c r="L38" s="195" t="s">
        <v>3479</v>
      </c>
      <c r="M38" s="5">
        <f>57598.2/2</f>
        <v>28799.1</v>
      </c>
      <c r="N38" s="5">
        <f t="shared" si="0"/>
        <v>86397.299999999988</v>
      </c>
      <c r="O38" s="11">
        <v>0</v>
      </c>
      <c r="P38" s="9">
        <f t="shared" si="1"/>
        <v>0</v>
      </c>
      <c r="Q38" s="5"/>
      <c r="R38" s="5"/>
      <c r="S38" s="5">
        <f t="shared" si="2"/>
        <v>86397.299999999988</v>
      </c>
      <c r="T38" s="1" t="s">
        <v>20</v>
      </c>
      <c r="U38" s="1" t="s">
        <v>1685</v>
      </c>
      <c r="V38" s="1"/>
      <c r="W38" s="1"/>
      <c r="X38" s="1"/>
      <c r="Y38" s="1"/>
      <c r="Z38" s="8" t="s">
        <v>126</v>
      </c>
      <c r="AA38" s="8"/>
      <c r="AB38" s="8"/>
      <c r="AC38" s="22"/>
      <c r="AD38" s="1"/>
      <c r="AE38" s="23" t="s">
        <v>125</v>
      </c>
      <c r="AF38" s="1" t="s">
        <v>37</v>
      </c>
      <c r="AG38" s="2"/>
    </row>
    <row r="39" spans="1:33" s="24" customFormat="1" ht="30" x14ac:dyDescent="0.25">
      <c r="A39" s="4"/>
      <c r="B39" s="4">
        <v>44958</v>
      </c>
      <c r="C39" s="1" t="s">
        <v>1991</v>
      </c>
      <c r="D39" s="224" t="s">
        <v>3460</v>
      </c>
      <c r="E39" s="26" t="s">
        <v>1725</v>
      </c>
      <c r="F39" s="233" t="s">
        <v>127</v>
      </c>
      <c r="G39" s="1" t="s">
        <v>128</v>
      </c>
      <c r="H39" s="8">
        <v>1</v>
      </c>
      <c r="I39" s="8"/>
      <c r="J39" s="115">
        <f>Table224[[#This Row],[Qty]]-Table224[[#This Row],[Issue Qty]]</f>
        <v>1</v>
      </c>
      <c r="K39" s="195"/>
      <c r="L39" s="195" t="s">
        <v>3480</v>
      </c>
      <c r="M39" s="5">
        <v>3644</v>
      </c>
      <c r="N39" s="5">
        <f t="shared" si="0"/>
        <v>3644</v>
      </c>
      <c r="O39" s="11">
        <v>0</v>
      </c>
      <c r="P39" s="9">
        <f t="shared" si="1"/>
        <v>0</v>
      </c>
      <c r="Q39" s="5"/>
      <c r="R39" s="5"/>
      <c r="S39" s="5">
        <f t="shared" si="2"/>
        <v>3644</v>
      </c>
      <c r="T39" s="1" t="s">
        <v>20</v>
      </c>
      <c r="U39" s="1" t="s">
        <v>37</v>
      </c>
      <c r="V39" s="1"/>
      <c r="W39" s="1"/>
      <c r="X39" s="1"/>
      <c r="Y39" s="1"/>
      <c r="Z39" s="21" t="s">
        <v>107</v>
      </c>
      <c r="AA39" s="21" t="s">
        <v>129</v>
      </c>
      <c r="AB39" s="8"/>
      <c r="AC39" s="22"/>
      <c r="AD39" s="1"/>
      <c r="AE39" s="23"/>
      <c r="AF39" s="1">
        <v>260</v>
      </c>
      <c r="AG39" s="2"/>
    </row>
    <row r="40" spans="1:33" s="24" customFormat="1" x14ac:dyDescent="0.25">
      <c r="A40" s="4"/>
      <c r="B40" s="4">
        <v>44958</v>
      </c>
      <c r="C40" s="6" t="s">
        <v>1695</v>
      </c>
      <c r="D40" s="224" t="s">
        <v>3457</v>
      </c>
      <c r="E40" s="6" t="s">
        <v>1726</v>
      </c>
      <c r="F40" s="234" t="s">
        <v>130</v>
      </c>
      <c r="G40" s="1" t="s">
        <v>131</v>
      </c>
      <c r="H40" s="8">
        <v>1</v>
      </c>
      <c r="I40" s="8"/>
      <c r="J40" s="115">
        <f>Table224[[#This Row],[Qty]]-Table224[[#This Row],[Issue Qty]]</f>
        <v>1</v>
      </c>
      <c r="K40" s="195"/>
      <c r="L40" s="195" t="s">
        <v>3480</v>
      </c>
      <c r="M40" s="5">
        <f>124770.51+17992.22</f>
        <v>142762.72999999998</v>
      </c>
      <c r="N40" s="5">
        <f t="shared" si="0"/>
        <v>142762.72999999998</v>
      </c>
      <c r="O40" s="11">
        <v>0</v>
      </c>
      <c r="P40" s="9">
        <f t="shared" si="1"/>
        <v>0</v>
      </c>
      <c r="Q40" s="5"/>
      <c r="R40" s="5"/>
      <c r="S40" s="5">
        <f t="shared" si="2"/>
        <v>142762.72999999998</v>
      </c>
      <c r="T40" s="1" t="s">
        <v>20</v>
      </c>
      <c r="U40" s="1" t="s">
        <v>1690</v>
      </c>
      <c r="V40" s="1" t="s">
        <v>132</v>
      </c>
      <c r="W40" s="1"/>
      <c r="X40" s="1"/>
      <c r="Y40" s="1"/>
      <c r="Z40" s="8" t="s">
        <v>133</v>
      </c>
      <c r="AA40" s="8"/>
      <c r="AB40" s="8"/>
      <c r="AC40" s="22"/>
      <c r="AD40" s="1"/>
      <c r="AE40" s="23" t="s">
        <v>134</v>
      </c>
      <c r="AF40" s="1" t="s">
        <v>37</v>
      </c>
      <c r="AG40" s="2"/>
    </row>
    <row r="41" spans="1:33" s="24" customFormat="1" x14ac:dyDescent="0.25">
      <c r="A41" s="4"/>
      <c r="B41" s="4">
        <v>44958</v>
      </c>
      <c r="C41" s="1" t="s">
        <v>1991</v>
      </c>
      <c r="D41" s="224" t="s">
        <v>3455</v>
      </c>
      <c r="E41" s="26" t="s">
        <v>1727</v>
      </c>
      <c r="F41" s="233" t="s">
        <v>135</v>
      </c>
      <c r="G41" s="1" t="s">
        <v>136</v>
      </c>
      <c r="H41" s="8">
        <v>2</v>
      </c>
      <c r="I41" s="8"/>
      <c r="J41" s="115">
        <f>Table224[[#This Row],[Qty]]-Table224[[#This Row],[Issue Qty]]</f>
        <v>2</v>
      </c>
      <c r="K41" s="195"/>
      <c r="L41" s="195" t="s">
        <v>3480</v>
      </c>
      <c r="M41" s="5">
        <f>3299/2</f>
        <v>1649.5</v>
      </c>
      <c r="N41" s="5">
        <f t="shared" si="0"/>
        <v>3299</v>
      </c>
      <c r="O41" s="11">
        <v>0</v>
      </c>
      <c r="P41" s="9">
        <f t="shared" si="1"/>
        <v>0</v>
      </c>
      <c r="Q41" s="5"/>
      <c r="R41" s="5"/>
      <c r="S41" s="5">
        <f t="shared" si="2"/>
        <v>3299</v>
      </c>
      <c r="T41" s="1" t="s">
        <v>20</v>
      </c>
      <c r="U41" s="1" t="s">
        <v>37</v>
      </c>
      <c r="V41" s="1"/>
      <c r="W41" s="1"/>
      <c r="X41" s="1"/>
      <c r="Y41" s="1"/>
      <c r="Z41" s="21" t="s">
        <v>29</v>
      </c>
      <c r="AA41" s="8"/>
      <c r="AB41" s="8"/>
      <c r="AC41" s="22"/>
      <c r="AD41" s="1"/>
      <c r="AE41" s="23"/>
      <c r="AF41" s="1">
        <v>260</v>
      </c>
      <c r="AG41" s="2"/>
    </row>
    <row r="42" spans="1:33" s="24" customFormat="1" x14ac:dyDescent="0.25">
      <c r="A42" s="4"/>
      <c r="B42" s="4">
        <v>44958</v>
      </c>
      <c r="C42" s="1" t="s">
        <v>1991</v>
      </c>
      <c r="D42" s="224" t="s">
        <v>3455</v>
      </c>
      <c r="E42" s="26" t="s">
        <v>1728</v>
      </c>
      <c r="F42" s="233" t="s">
        <v>137</v>
      </c>
      <c r="G42" s="1" t="s">
        <v>138</v>
      </c>
      <c r="H42" s="8">
        <v>1</v>
      </c>
      <c r="I42" s="8"/>
      <c r="J42" s="115">
        <f>Table224[[#This Row],[Qty]]-Table224[[#This Row],[Issue Qty]]</f>
        <v>1</v>
      </c>
      <c r="K42" s="195"/>
      <c r="L42" s="195" t="s">
        <v>3480</v>
      </c>
      <c r="M42" s="5">
        <v>3299</v>
      </c>
      <c r="N42" s="5">
        <f t="shared" si="0"/>
        <v>3299</v>
      </c>
      <c r="O42" s="11">
        <v>0</v>
      </c>
      <c r="P42" s="9">
        <f t="shared" si="1"/>
        <v>0</v>
      </c>
      <c r="Q42" s="5"/>
      <c r="R42" s="5"/>
      <c r="S42" s="5">
        <f t="shared" si="2"/>
        <v>3299</v>
      </c>
      <c r="T42" s="1" t="s">
        <v>20</v>
      </c>
      <c r="U42" s="1" t="s">
        <v>37</v>
      </c>
      <c r="V42" s="1"/>
      <c r="W42" s="1"/>
      <c r="X42" s="1"/>
      <c r="Y42" s="1"/>
      <c r="Z42" s="21" t="s">
        <v>29</v>
      </c>
      <c r="AA42" s="8"/>
      <c r="AB42" s="8"/>
      <c r="AC42" s="22"/>
      <c r="AD42" s="1"/>
      <c r="AE42" s="23"/>
      <c r="AF42" s="1">
        <v>261</v>
      </c>
      <c r="AG42" s="2"/>
    </row>
    <row r="43" spans="1:33" s="24" customFormat="1" x14ac:dyDescent="0.25">
      <c r="A43" s="4"/>
      <c r="B43" s="4">
        <v>44958</v>
      </c>
      <c r="C43" s="6" t="s">
        <v>1683</v>
      </c>
      <c r="D43" s="224" t="s">
        <v>3431</v>
      </c>
      <c r="E43" s="26" t="s">
        <v>1729</v>
      </c>
      <c r="F43" s="233" t="s">
        <v>139</v>
      </c>
      <c r="G43" s="1" t="s">
        <v>140</v>
      </c>
      <c r="H43" s="8">
        <v>2</v>
      </c>
      <c r="I43" s="8">
        <v>0</v>
      </c>
      <c r="J43" s="115">
        <f>Table224[[#This Row],[Qty]]-Table224[[#This Row],[Issue Qty]]</f>
        <v>2</v>
      </c>
      <c r="K43" s="195"/>
      <c r="L43" s="195" t="s">
        <v>3480</v>
      </c>
      <c r="M43" s="5">
        <f>32.99*90</f>
        <v>2969.1000000000004</v>
      </c>
      <c r="N43" s="5">
        <f t="shared" si="0"/>
        <v>5938.2000000000007</v>
      </c>
      <c r="O43" s="11">
        <v>0</v>
      </c>
      <c r="P43" s="9">
        <f t="shared" si="1"/>
        <v>0</v>
      </c>
      <c r="Q43" s="5"/>
      <c r="R43" s="5"/>
      <c r="S43" s="5">
        <f t="shared" si="2"/>
        <v>5938.2000000000007</v>
      </c>
      <c r="T43" s="1" t="s">
        <v>20</v>
      </c>
      <c r="U43" s="1" t="s">
        <v>37</v>
      </c>
      <c r="V43" s="1"/>
      <c r="W43" s="1"/>
      <c r="X43" s="1"/>
      <c r="Y43" s="1"/>
      <c r="Z43" s="21" t="s">
        <v>72</v>
      </c>
      <c r="AA43" s="21" t="s">
        <v>117</v>
      </c>
      <c r="AB43" s="8">
        <v>2</v>
      </c>
      <c r="AC43" s="22"/>
      <c r="AD43" s="1"/>
      <c r="AE43" s="23"/>
      <c r="AF43" s="1">
        <v>260</v>
      </c>
      <c r="AG43" s="2"/>
    </row>
    <row r="44" spans="1:33" s="24" customFormat="1" ht="45" x14ac:dyDescent="0.25">
      <c r="A44" s="4"/>
      <c r="B44" s="4">
        <v>44958</v>
      </c>
      <c r="C44" s="6" t="s">
        <v>1730</v>
      </c>
      <c r="D44" s="224" t="s">
        <v>3503</v>
      </c>
      <c r="E44" s="26" t="s">
        <v>1731</v>
      </c>
      <c r="F44" s="233" t="s">
        <v>141</v>
      </c>
      <c r="G44" s="1" t="s">
        <v>142</v>
      </c>
      <c r="H44" s="8">
        <v>1</v>
      </c>
      <c r="I44" s="8"/>
      <c r="J44" s="115">
        <f>Table224[[#This Row],[Qty]]-Table224[[#This Row],[Issue Qty]]</f>
        <v>1</v>
      </c>
      <c r="K44" s="195"/>
      <c r="L44" s="195" t="s">
        <v>3480</v>
      </c>
      <c r="M44" s="5">
        <v>39000</v>
      </c>
      <c r="N44" s="5">
        <f t="shared" si="0"/>
        <v>39000</v>
      </c>
      <c r="O44" s="11">
        <v>0</v>
      </c>
      <c r="P44" s="9">
        <f t="shared" si="1"/>
        <v>0</v>
      </c>
      <c r="Q44" s="5"/>
      <c r="R44" s="5"/>
      <c r="S44" s="5">
        <f t="shared" si="2"/>
        <v>39000</v>
      </c>
      <c r="T44" s="1" t="s">
        <v>20</v>
      </c>
      <c r="U44" s="1" t="s">
        <v>37</v>
      </c>
      <c r="V44" s="1"/>
      <c r="W44" s="1"/>
      <c r="X44" s="1"/>
      <c r="Y44" s="1"/>
      <c r="Z44" s="8" t="s">
        <v>38</v>
      </c>
      <c r="AA44" s="8"/>
      <c r="AB44" s="8"/>
      <c r="AC44" s="22"/>
      <c r="AD44" s="1"/>
      <c r="AE44" s="23"/>
      <c r="AF44" s="1">
        <v>260</v>
      </c>
      <c r="AG44" s="2"/>
    </row>
    <row r="45" spans="1:33" s="24" customFormat="1" ht="30" x14ac:dyDescent="0.25">
      <c r="A45" s="4"/>
      <c r="B45" s="4">
        <v>44958</v>
      </c>
      <c r="C45" s="6" t="s">
        <v>1683</v>
      </c>
      <c r="D45" s="224" t="s">
        <v>3429</v>
      </c>
      <c r="E45" s="6" t="s">
        <v>1732</v>
      </c>
      <c r="F45" s="234" t="s">
        <v>143</v>
      </c>
      <c r="G45" s="1" t="s">
        <v>144</v>
      </c>
      <c r="H45" s="8">
        <v>4</v>
      </c>
      <c r="I45" s="8"/>
      <c r="J45" s="115">
        <f>Table224[[#This Row],[Qty]]-Table224[[#This Row],[Issue Qty]]</f>
        <v>4</v>
      </c>
      <c r="K45" s="195"/>
      <c r="L45" s="195" t="s">
        <v>3480</v>
      </c>
      <c r="M45" s="5">
        <f>23022/4</f>
        <v>5755.5</v>
      </c>
      <c r="N45" s="5">
        <f t="shared" si="0"/>
        <v>23022</v>
      </c>
      <c r="O45" s="11">
        <v>0</v>
      </c>
      <c r="P45" s="9">
        <f t="shared" si="1"/>
        <v>0</v>
      </c>
      <c r="Q45" s="5"/>
      <c r="R45" s="5"/>
      <c r="S45" s="5">
        <f t="shared" si="2"/>
        <v>23022</v>
      </c>
      <c r="T45" s="1" t="s">
        <v>20</v>
      </c>
      <c r="U45" s="1" t="s">
        <v>1733</v>
      </c>
      <c r="V45" s="1"/>
      <c r="W45" s="1"/>
      <c r="X45" s="1"/>
      <c r="Y45" s="1"/>
      <c r="Z45" s="8" t="s">
        <v>22</v>
      </c>
      <c r="AA45" s="8" t="s">
        <v>1734</v>
      </c>
      <c r="AB45" s="8"/>
      <c r="AC45" s="22"/>
      <c r="AD45" s="1"/>
      <c r="AE45" s="23" t="s">
        <v>144</v>
      </c>
      <c r="AF45" s="1" t="s">
        <v>37</v>
      </c>
      <c r="AG45" s="2"/>
    </row>
    <row r="46" spans="1:33" s="24" customFormat="1" ht="30" x14ac:dyDescent="0.25">
      <c r="A46" s="4"/>
      <c r="B46" s="4">
        <v>44958</v>
      </c>
      <c r="C46" s="6" t="s">
        <v>1683</v>
      </c>
      <c r="D46" s="224" t="s">
        <v>3429</v>
      </c>
      <c r="E46" s="6" t="s">
        <v>1732</v>
      </c>
      <c r="F46" s="234" t="s">
        <v>143</v>
      </c>
      <c r="G46" s="1" t="s">
        <v>144</v>
      </c>
      <c r="H46" s="8">
        <v>4</v>
      </c>
      <c r="I46" s="8"/>
      <c r="J46" s="115">
        <f>Table224[[#This Row],[Qty]]-Table224[[#This Row],[Issue Qty]]</f>
        <v>4</v>
      </c>
      <c r="K46" s="195"/>
      <c r="L46" s="195" t="s">
        <v>3480</v>
      </c>
      <c r="M46" s="5">
        <f>23022/4</f>
        <v>5755.5</v>
      </c>
      <c r="N46" s="5">
        <f t="shared" si="0"/>
        <v>23022</v>
      </c>
      <c r="O46" s="11"/>
      <c r="P46" s="9">
        <f t="shared" si="1"/>
        <v>0</v>
      </c>
      <c r="Q46" s="5"/>
      <c r="R46" s="5"/>
      <c r="S46" s="5">
        <f t="shared" si="2"/>
        <v>23022</v>
      </c>
      <c r="T46" s="1" t="s">
        <v>20</v>
      </c>
      <c r="U46" s="1" t="s">
        <v>1733</v>
      </c>
      <c r="V46" s="1"/>
      <c r="W46" s="1"/>
      <c r="X46" s="1" t="s">
        <v>37</v>
      </c>
      <c r="Y46" s="26"/>
      <c r="Z46" s="8"/>
      <c r="AA46" s="8"/>
      <c r="AB46" s="21">
        <v>4</v>
      </c>
      <c r="AC46" s="12" t="s">
        <v>145</v>
      </c>
      <c r="AD46" s="26"/>
      <c r="AE46" s="23" t="s">
        <v>144</v>
      </c>
      <c r="AF46" s="26"/>
      <c r="AG46" s="2"/>
    </row>
    <row r="47" spans="1:33" s="24" customFormat="1" ht="30" x14ac:dyDescent="0.25">
      <c r="A47" s="4"/>
      <c r="B47" s="4">
        <v>44958</v>
      </c>
      <c r="C47" s="6" t="s">
        <v>1683</v>
      </c>
      <c r="D47" s="224" t="s">
        <v>3429</v>
      </c>
      <c r="E47" s="6" t="s">
        <v>1732</v>
      </c>
      <c r="F47" s="234" t="s">
        <v>143</v>
      </c>
      <c r="G47" s="1" t="s">
        <v>146</v>
      </c>
      <c r="H47" s="8">
        <v>6</v>
      </c>
      <c r="I47" s="8"/>
      <c r="J47" s="115">
        <f>Table224[[#This Row],[Qty]]-Table224[[#This Row],[Issue Qty]]</f>
        <v>6</v>
      </c>
      <c r="K47" s="195"/>
      <c r="L47" s="195" t="s">
        <v>3480</v>
      </c>
      <c r="M47" s="5">
        <f>23022/4</f>
        <v>5755.5</v>
      </c>
      <c r="N47" s="5">
        <f t="shared" si="0"/>
        <v>34533</v>
      </c>
      <c r="O47" s="11">
        <v>0</v>
      </c>
      <c r="P47" s="9">
        <f t="shared" si="1"/>
        <v>0</v>
      </c>
      <c r="Q47" s="5"/>
      <c r="R47" s="5"/>
      <c r="S47" s="5">
        <f t="shared" si="2"/>
        <v>34533</v>
      </c>
      <c r="T47" s="1" t="s">
        <v>20</v>
      </c>
      <c r="U47" s="1" t="s">
        <v>1733</v>
      </c>
      <c r="V47" s="1"/>
      <c r="W47" s="1"/>
      <c r="X47" s="1"/>
      <c r="Y47" s="1"/>
      <c r="Z47" s="8" t="s">
        <v>22</v>
      </c>
      <c r="AA47" s="8" t="s">
        <v>1734</v>
      </c>
      <c r="AB47" s="8"/>
      <c r="AC47" s="22"/>
      <c r="AD47" s="1" t="s">
        <v>3440</v>
      </c>
      <c r="AE47" s="23" t="s">
        <v>147</v>
      </c>
      <c r="AF47" s="1" t="s">
        <v>37</v>
      </c>
      <c r="AG47" s="2"/>
    </row>
    <row r="48" spans="1:33" s="24" customFormat="1" ht="30" x14ac:dyDescent="0.25">
      <c r="A48" s="4"/>
      <c r="B48" s="4">
        <v>44958</v>
      </c>
      <c r="C48" s="1" t="s">
        <v>1991</v>
      </c>
      <c r="D48" s="224" t="s">
        <v>3443</v>
      </c>
      <c r="E48" s="6" t="s">
        <v>1735</v>
      </c>
      <c r="F48" s="234" t="s">
        <v>148</v>
      </c>
      <c r="G48" s="1" t="s">
        <v>149</v>
      </c>
      <c r="H48" s="8">
        <v>6</v>
      </c>
      <c r="I48" s="8"/>
      <c r="J48" s="115">
        <f>Table224[[#This Row],[Qty]]-Table224[[#This Row],[Issue Qty]]</f>
        <v>6</v>
      </c>
      <c r="K48" s="195"/>
      <c r="L48" s="195" t="s">
        <v>3480</v>
      </c>
      <c r="M48" s="5">
        <v>2265.3000000000002</v>
      </c>
      <c r="N48" s="5">
        <f t="shared" si="0"/>
        <v>13591.800000000001</v>
      </c>
      <c r="O48" s="11">
        <v>0</v>
      </c>
      <c r="P48" s="9">
        <f t="shared" si="1"/>
        <v>0</v>
      </c>
      <c r="Q48" s="5"/>
      <c r="R48" s="5"/>
      <c r="S48" s="5">
        <f t="shared" si="2"/>
        <v>13591.800000000001</v>
      </c>
      <c r="T48" s="1" t="s">
        <v>20</v>
      </c>
      <c r="U48" s="1" t="s">
        <v>1733</v>
      </c>
      <c r="V48" s="1"/>
      <c r="W48" s="1"/>
      <c r="X48" s="1"/>
      <c r="Y48" s="1"/>
      <c r="Z48" s="8" t="s">
        <v>25</v>
      </c>
      <c r="AA48" s="21" t="s">
        <v>79</v>
      </c>
      <c r="AB48" s="8">
        <v>4</v>
      </c>
      <c r="AC48" s="22" t="s">
        <v>3449</v>
      </c>
      <c r="AD48" s="1"/>
      <c r="AE48" s="23" t="s">
        <v>151</v>
      </c>
      <c r="AF48" s="1" t="s">
        <v>37</v>
      </c>
      <c r="AG48" s="2"/>
    </row>
    <row r="49" spans="1:33" s="24" customFormat="1" ht="30" x14ac:dyDescent="0.25">
      <c r="A49" s="4"/>
      <c r="B49" s="4">
        <v>44958</v>
      </c>
      <c r="C49" s="1" t="s">
        <v>1991</v>
      </c>
      <c r="D49" s="224" t="s">
        <v>3443</v>
      </c>
      <c r="E49" s="6" t="s">
        <v>1735</v>
      </c>
      <c r="F49" s="234" t="s">
        <v>148</v>
      </c>
      <c r="G49" s="1" t="s">
        <v>149</v>
      </c>
      <c r="H49" s="8">
        <v>4</v>
      </c>
      <c r="I49" s="8">
        <v>0</v>
      </c>
      <c r="J49" s="115">
        <f>Table224[[#This Row],[Qty]]-Table224[[#This Row],[Issue Qty]]</f>
        <v>4</v>
      </c>
      <c r="K49" s="195"/>
      <c r="L49" s="195" t="s">
        <v>3480</v>
      </c>
      <c r="M49" s="5">
        <v>2265.3000000000002</v>
      </c>
      <c r="N49" s="5">
        <f t="shared" si="0"/>
        <v>9061.2000000000007</v>
      </c>
      <c r="O49" s="11"/>
      <c r="P49" s="9">
        <f t="shared" si="1"/>
        <v>0</v>
      </c>
      <c r="Q49" s="5"/>
      <c r="R49" s="5"/>
      <c r="S49" s="5">
        <f t="shared" si="2"/>
        <v>9061.2000000000007</v>
      </c>
      <c r="T49" s="1" t="s">
        <v>20</v>
      </c>
      <c r="U49" s="1" t="s">
        <v>1733</v>
      </c>
      <c r="V49" s="1"/>
      <c r="W49" s="1"/>
      <c r="X49" s="1" t="s">
        <v>37</v>
      </c>
      <c r="Y49" s="2"/>
      <c r="Z49" s="21" t="s">
        <v>552</v>
      </c>
      <c r="AA49" s="21"/>
      <c r="AB49" s="21">
        <v>4</v>
      </c>
      <c r="AC49" s="12" t="s">
        <v>145</v>
      </c>
      <c r="AD49" s="2"/>
      <c r="AE49" s="23" t="s">
        <v>151</v>
      </c>
      <c r="AF49" s="2"/>
      <c r="AG49" s="2"/>
    </row>
    <row r="50" spans="1:33" s="24" customFormat="1" x14ac:dyDescent="0.25">
      <c r="A50" s="4"/>
      <c r="B50" s="4">
        <v>44958</v>
      </c>
      <c r="C50" s="1" t="s">
        <v>1991</v>
      </c>
      <c r="D50" s="224" t="s">
        <v>3504</v>
      </c>
      <c r="E50" s="6" t="s">
        <v>1736</v>
      </c>
      <c r="F50" s="234" t="s">
        <v>152</v>
      </c>
      <c r="G50" s="1" t="s">
        <v>152</v>
      </c>
      <c r="H50" s="8">
        <v>1</v>
      </c>
      <c r="I50" s="8"/>
      <c r="J50" s="115">
        <f>Table224[[#This Row],[Qty]]-Table224[[#This Row],[Issue Qty]]</f>
        <v>1</v>
      </c>
      <c r="K50" s="195"/>
      <c r="L50" s="195" t="s">
        <v>3480</v>
      </c>
      <c r="M50" s="5">
        <v>1300</v>
      </c>
      <c r="N50" s="5">
        <f t="shared" si="0"/>
        <v>1300</v>
      </c>
      <c r="O50" s="11">
        <v>0</v>
      </c>
      <c r="P50" s="9">
        <f t="shared" si="1"/>
        <v>0</v>
      </c>
      <c r="Q50" s="5"/>
      <c r="R50" s="5"/>
      <c r="S50" s="5">
        <f t="shared" si="2"/>
        <v>1300</v>
      </c>
      <c r="T50" s="1" t="s">
        <v>20</v>
      </c>
      <c r="U50" s="1" t="s">
        <v>37</v>
      </c>
      <c r="V50" s="1"/>
      <c r="W50" s="1"/>
      <c r="X50" s="1"/>
      <c r="Y50" s="1"/>
      <c r="Z50" s="8" t="s">
        <v>38</v>
      </c>
      <c r="AA50" s="8" t="s">
        <v>1128</v>
      </c>
      <c r="AB50" s="8"/>
      <c r="AC50" s="22"/>
      <c r="AD50" s="1"/>
      <c r="AE50" s="23"/>
      <c r="AF50" s="1">
        <v>261</v>
      </c>
      <c r="AG50" s="2"/>
    </row>
    <row r="51" spans="1:33" s="24" customFormat="1" x14ac:dyDescent="0.25">
      <c r="A51" s="4"/>
      <c r="B51" s="4">
        <v>44958</v>
      </c>
      <c r="C51" s="6" t="s">
        <v>54</v>
      </c>
      <c r="D51" s="224" t="s">
        <v>3430</v>
      </c>
      <c r="E51" s="6" t="s">
        <v>1737</v>
      </c>
      <c r="F51" s="234" t="s">
        <v>154</v>
      </c>
      <c r="G51" s="1" t="s">
        <v>155</v>
      </c>
      <c r="H51" s="8">
        <v>1</v>
      </c>
      <c r="I51" s="8"/>
      <c r="J51" s="115">
        <f>Table224[[#This Row],[Qty]]-Table224[[#This Row],[Issue Qty]]</f>
        <v>1</v>
      </c>
      <c r="K51" s="195"/>
      <c r="L51" s="195" t="s">
        <v>3479</v>
      </c>
      <c r="M51" s="5">
        <f>226.26/3</f>
        <v>75.42</v>
      </c>
      <c r="N51" s="5">
        <f t="shared" si="0"/>
        <v>75.42</v>
      </c>
      <c r="O51" s="11">
        <v>0</v>
      </c>
      <c r="P51" s="9">
        <f t="shared" si="1"/>
        <v>0</v>
      </c>
      <c r="Q51" s="5"/>
      <c r="R51" s="5"/>
      <c r="S51" s="5">
        <f t="shared" si="2"/>
        <v>75.42</v>
      </c>
      <c r="T51" s="1" t="s">
        <v>20</v>
      </c>
      <c r="U51" s="1" t="s">
        <v>37</v>
      </c>
      <c r="V51" s="1"/>
      <c r="W51" s="1"/>
      <c r="X51" s="1"/>
      <c r="Y51" s="1"/>
      <c r="Z51" s="8" t="s">
        <v>156</v>
      </c>
      <c r="AA51" s="8" t="s">
        <v>157</v>
      </c>
      <c r="AB51" s="8"/>
      <c r="AC51" s="22"/>
      <c r="AD51" s="1"/>
      <c r="AE51" s="23"/>
      <c r="AF51" s="1" t="s">
        <v>37</v>
      </c>
      <c r="AG51" s="2"/>
    </row>
    <row r="52" spans="1:33" s="206" customFormat="1" ht="30" x14ac:dyDescent="0.25">
      <c r="A52" s="4"/>
      <c r="B52" s="4">
        <v>44958</v>
      </c>
      <c r="C52" s="6" t="s">
        <v>54</v>
      </c>
      <c r="D52" s="224" t="s">
        <v>3430</v>
      </c>
      <c r="E52" s="6" t="s">
        <v>1738</v>
      </c>
      <c r="F52" s="234" t="s">
        <v>158</v>
      </c>
      <c r="G52" s="1" t="s">
        <v>159</v>
      </c>
      <c r="H52" s="8">
        <v>2</v>
      </c>
      <c r="I52" s="8">
        <v>2</v>
      </c>
      <c r="J52" s="115">
        <f>Table224[[#This Row],[Qty]]-Table224[[#This Row],[Issue Qty]]</f>
        <v>0</v>
      </c>
      <c r="K52" s="195"/>
      <c r="L52" s="195" t="s">
        <v>3479</v>
      </c>
      <c r="M52" s="5">
        <v>270</v>
      </c>
      <c r="N52" s="5">
        <f t="shared" si="0"/>
        <v>540</v>
      </c>
      <c r="O52" s="11">
        <v>0</v>
      </c>
      <c r="P52" s="9">
        <f t="shared" si="1"/>
        <v>0</v>
      </c>
      <c r="Q52" s="5"/>
      <c r="R52" s="5"/>
      <c r="S52" s="5">
        <f t="shared" si="2"/>
        <v>540</v>
      </c>
      <c r="T52" s="1" t="s">
        <v>20</v>
      </c>
      <c r="U52" s="1" t="s">
        <v>37</v>
      </c>
      <c r="V52" s="1"/>
      <c r="W52" s="1"/>
      <c r="X52" s="1"/>
      <c r="Y52" s="1"/>
      <c r="Z52" s="8" t="s">
        <v>552</v>
      </c>
      <c r="AA52" s="8"/>
      <c r="AB52" s="8">
        <v>2</v>
      </c>
      <c r="AC52" s="22" t="s">
        <v>500</v>
      </c>
      <c r="AD52" s="1"/>
      <c r="AE52" s="23"/>
      <c r="AF52" s="1" t="s">
        <v>37</v>
      </c>
      <c r="AG52" s="2"/>
    </row>
    <row r="53" spans="1:33" s="24" customFormat="1" ht="27.75" customHeight="1" x14ac:dyDescent="0.25">
      <c r="A53" s="4"/>
      <c r="B53" s="4">
        <v>44958</v>
      </c>
      <c r="C53" s="1" t="s">
        <v>1991</v>
      </c>
      <c r="D53" s="224" t="s">
        <v>3505</v>
      </c>
      <c r="E53" s="26" t="s">
        <v>1739</v>
      </c>
      <c r="F53" s="233" t="s">
        <v>160</v>
      </c>
      <c r="G53" s="1" t="s">
        <v>161</v>
      </c>
      <c r="H53" s="8">
        <v>1</v>
      </c>
      <c r="I53" s="8"/>
      <c r="J53" s="115">
        <f>Table224[[#This Row],[Qty]]-Table224[[#This Row],[Issue Qty]]</f>
        <v>1</v>
      </c>
      <c r="K53" s="195"/>
      <c r="L53" s="195" t="s">
        <v>3480</v>
      </c>
      <c r="M53" s="5">
        <v>8500</v>
      </c>
      <c r="N53" s="5">
        <f t="shared" si="0"/>
        <v>8500</v>
      </c>
      <c r="O53" s="11">
        <v>0</v>
      </c>
      <c r="P53" s="9">
        <f t="shared" si="1"/>
        <v>0</v>
      </c>
      <c r="Q53" s="5"/>
      <c r="R53" s="5"/>
      <c r="S53" s="5">
        <f t="shared" si="2"/>
        <v>8500</v>
      </c>
      <c r="T53" s="1" t="s">
        <v>20</v>
      </c>
      <c r="U53" s="1" t="s">
        <v>37</v>
      </c>
      <c r="V53" s="1"/>
      <c r="W53" s="1"/>
      <c r="X53" s="1"/>
      <c r="Y53" s="1"/>
      <c r="Z53" s="8" t="s">
        <v>72</v>
      </c>
      <c r="AA53" s="8" t="s">
        <v>162</v>
      </c>
      <c r="AB53" s="8"/>
      <c r="AC53" s="22"/>
      <c r="AD53" s="1"/>
      <c r="AE53" s="23"/>
      <c r="AF53" s="1">
        <v>261</v>
      </c>
      <c r="AG53" s="26"/>
    </row>
    <row r="54" spans="1:33" s="24" customFormat="1" ht="30" x14ac:dyDescent="0.25">
      <c r="A54" s="4"/>
      <c r="B54" s="4">
        <v>44958</v>
      </c>
      <c r="C54" s="1" t="s">
        <v>1991</v>
      </c>
      <c r="D54" s="224" t="s">
        <v>3459</v>
      </c>
      <c r="E54" s="26" t="s">
        <v>1740</v>
      </c>
      <c r="F54" s="233" t="s">
        <v>163</v>
      </c>
      <c r="G54" s="1" t="s">
        <v>164</v>
      </c>
      <c r="H54" s="8">
        <v>2</v>
      </c>
      <c r="I54" s="8"/>
      <c r="J54" s="115">
        <f>Table224[[#This Row],[Qty]]-Table224[[#This Row],[Issue Qty]]</f>
        <v>2</v>
      </c>
      <c r="K54" s="195"/>
      <c r="L54" s="195" t="s">
        <v>3480</v>
      </c>
      <c r="M54" s="5">
        <v>3481</v>
      </c>
      <c r="N54" s="5">
        <f t="shared" si="0"/>
        <v>6962</v>
      </c>
      <c r="O54" s="11">
        <v>0</v>
      </c>
      <c r="P54" s="9">
        <f t="shared" si="1"/>
        <v>0</v>
      </c>
      <c r="Q54" s="5"/>
      <c r="R54" s="5"/>
      <c r="S54" s="5">
        <f t="shared" si="2"/>
        <v>6962</v>
      </c>
      <c r="T54" s="1" t="s">
        <v>20</v>
      </c>
      <c r="U54" s="1" t="s">
        <v>37</v>
      </c>
      <c r="V54" s="1"/>
      <c r="W54" s="1"/>
      <c r="X54" s="1"/>
      <c r="Y54" s="1"/>
      <c r="Z54" s="8" t="s">
        <v>72</v>
      </c>
      <c r="AA54" s="8" t="s">
        <v>94</v>
      </c>
      <c r="AB54" s="8"/>
      <c r="AC54" s="22"/>
      <c r="AD54" s="1"/>
      <c r="AE54" s="23"/>
      <c r="AF54" s="1">
        <v>260</v>
      </c>
      <c r="AG54" s="2"/>
    </row>
    <row r="55" spans="1:33" s="24" customFormat="1" ht="30" x14ac:dyDescent="0.25">
      <c r="A55" s="4"/>
      <c r="B55" s="4">
        <v>44958</v>
      </c>
      <c r="C55" s="6" t="s">
        <v>54</v>
      </c>
      <c r="D55" s="224" t="s">
        <v>3460</v>
      </c>
      <c r="E55" s="6" t="s">
        <v>1749</v>
      </c>
      <c r="F55" s="234" t="s">
        <v>187</v>
      </c>
      <c r="G55" s="1" t="s">
        <v>188</v>
      </c>
      <c r="H55" s="8">
        <v>1</v>
      </c>
      <c r="I55" s="8"/>
      <c r="J55" s="115">
        <f>Table224[[#This Row],[Qty]]-Table224[[#This Row],[Issue Qty]]</f>
        <v>1</v>
      </c>
      <c r="K55" s="195"/>
      <c r="L55" s="195" t="s">
        <v>3480</v>
      </c>
      <c r="M55" s="5">
        <f>219*90</f>
        <v>19710</v>
      </c>
      <c r="N55" s="5">
        <f t="shared" si="0"/>
        <v>19710</v>
      </c>
      <c r="O55" s="11">
        <v>0</v>
      </c>
      <c r="P55" s="9">
        <f t="shared" si="1"/>
        <v>0</v>
      </c>
      <c r="Q55" s="5"/>
      <c r="R55" s="5"/>
      <c r="S55" s="5">
        <f t="shared" si="2"/>
        <v>19710</v>
      </c>
      <c r="T55" s="1" t="s">
        <v>20</v>
      </c>
      <c r="U55" s="1" t="s">
        <v>37</v>
      </c>
      <c r="V55" s="1"/>
      <c r="W55" s="1"/>
      <c r="X55" s="1"/>
      <c r="Y55" s="1"/>
      <c r="Z55" s="8" t="s">
        <v>107</v>
      </c>
      <c r="AA55" s="8" t="s">
        <v>129</v>
      </c>
      <c r="AB55" s="8"/>
      <c r="AC55" s="22"/>
      <c r="AD55" s="1"/>
      <c r="AE55" s="23" t="s">
        <v>189</v>
      </c>
      <c r="AF55" s="1">
        <v>259</v>
      </c>
      <c r="AG55" s="2"/>
    </row>
    <row r="56" spans="1:33" s="24" customFormat="1" x14ac:dyDescent="0.25">
      <c r="A56" s="4"/>
      <c r="B56" s="4">
        <v>44958</v>
      </c>
      <c r="C56" s="1" t="s">
        <v>1991</v>
      </c>
      <c r="D56" s="224" t="s">
        <v>3490</v>
      </c>
      <c r="E56" s="6" t="s">
        <v>1750</v>
      </c>
      <c r="F56" s="234" t="s">
        <v>190</v>
      </c>
      <c r="G56" s="1" t="s">
        <v>191</v>
      </c>
      <c r="H56" s="8">
        <v>1</v>
      </c>
      <c r="I56" s="8">
        <v>0</v>
      </c>
      <c r="J56" s="115">
        <f>Table224[[#This Row],[Qty]]-Table224[[#This Row],[Issue Qty]]</f>
        <v>1</v>
      </c>
      <c r="K56" s="195"/>
      <c r="L56" s="195" t="s">
        <v>3480</v>
      </c>
      <c r="M56" s="5">
        <v>1246</v>
      </c>
      <c r="N56" s="5">
        <f t="shared" si="0"/>
        <v>1246</v>
      </c>
      <c r="O56" s="11">
        <v>0</v>
      </c>
      <c r="P56" s="9">
        <f t="shared" si="1"/>
        <v>0</v>
      </c>
      <c r="Q56" s="5"/>
      <c r="R56" s="5"/>
      <c r="S56" s="5">
        <f t="shared" si="2"/>
        <v>1246</v>
      </c>
      <c r="T56" s="1" t="s">
        <v>20</v>
      </c>
      <c r="U56" s="1" t="s">
        <v>37</v>
      </c>
      <c r="V56" s="1"/>
      <c r="W56" s="1"/>
      <c r="X56" s="1"/>
      <c r="Y56" s="1"/>
      <c r="Z56" s="8" t="s">
        <v>52</v>
      </c>
      <c r="AA56" s="8" t="s">
        <v>53</v>
      </c>
      <c r="AB56" s="8"/>
      <c r="AC56" s="22"/>
      <c r="AD56" s="1"/>
      <c r="AE56" s="23"/>
      <c r="AF56" s="1">
        <v>261</v>
      </c>
      <c r="AG56" s="2"/>
    </row>
    <row r="57" spans="1:33" s="24" customFormat="1" x14ac:dyDescent="0.25">
      <c r="A57" s="4"/>
      <c r="B57" s="4">
        <v>44958</v>
      </c>
      <c r="C57" s="1" t="s">
        <v>1991</v>
      </c>
      <c r="D57" s="224" t="s">
        <v>3463</v>
      </c>
      <c r="E57" s="6" t="s">
        <v>1751</v>
      </c>
      <c r="F57" s="234" t="s">
        <v>192</v>
      </c>
      <c r="G57" s="1" t="s">
        <v>193</v>
      </c>
      <c r="H57" s="8">
        <v>1</v>
      </c>
      <c r="I57" s="8">
        <v>1</v>
      </c>
      <c r="J57" s="115">
        <f>Table224[[#This Row],[Qty]]-Table224[[#This Row],[Issue Qty]]</f>
        <v>0</v>
      </c>
      <c r="K57" s="195"/>
      <c r="L57" s="195" t="s">
        <v>3480</v>
      </c>
      <c r="M57" s="5">
        <v>20341.86</v>
      </c>
      <c r="N57" s="5">
        <f t="shared" si="0"/>
        <v>20341.86</v>
      </c>
      <c r="O57" s="11">
        <v>0</v>
      </c>
      <c r="P57" s="9">
        <f t="shared" si="1"/>
        <v>0</v>
      </c>
      <c r="Q57" s="5"/>
      <c r="R57" s="5"/>
      <c r="S57" s="5">
        <f t="shared" si="2"/>
        <v>20341.86</v>
      </c>
      <c r="T57" s="1" t="s">
        <v>20</v>
      </c>
      <c r="U57" s="1" t="s">
        <v>37</v>
      </c>
      <c r="V57" s="1"/>
      <c r="W57" s="1"/>
      <c r="X57" s="1"/>
      <c r="Y57" s="1"/>
      <c r="Z57" s="8" t="s">
        <v>3349</v>
      </c>
      <c r="AA57" s="8"/>
      <c r="AB57" s="8">
        <v>1</v>
      </c>
      <c r="AC57" s="22" t="s">
        <v>1733</v>
      </c>
      <c r="AD57" s="1"/>
      <c r="AE57" s="23" t="s">
        <v>194</v>
      </c>
      <c r="AF57" s="1">
        <v>260</v>
      </c>
      <c r="AG57" s="2"/>
    </row>
    <row r="58" spans="1:33" s="25" customFormat="1" x14ac:dyDescent="0.25">
      <c r="A58" s="4"/>
      <c r="B58" s="4">
        <v>44958</v>
      </c>
      <c r="C58" s="1" t="s">
        <v>1991</v>
      </c>
      <c r="D58" s="224" t="s">
        <v>3443</v>
      </c>
      <c r="E58" s="6" t="s">
        <v>1741</v>
      </c>
      <c r="F58" s="234" t="s">
        <v>165</v>
      </c>
      <c r="G58" s="1" t="s">
        <v>166</v>
      </c>
      <c r="H58" s="8">
        <v>1</v>
      </c>
      <c r="I58" s="8">
        <v>1</v>
      </c>
      <c r="J58" s="115">
        <f>Table224[[#This Row],[Qty]]-Table224[[#This Row],[Issue Qty]]</f>
        <v>0</v>
      </c>
      <c r="K58" s="195"/>
      <c r="L58" s="195" t="s">
        <v>3480</v>
      </c>
      <c r="M58" s="5">
        <f>16524/6</f>
        <v>2754</v>
      </c>
      <c r="N58" s="5">
        <f t="shared" si="0"/>
        <v>2754</v>
      </c>
      <c r="O58" s="11">
        <v>0</v>
      </c>
      <c r="P58" s="9">
        <f t="shared" si="1"/>
        <v>0</v>
      </c>
      <c r="Q58" s="5"/>
      <c r="R58" s="5"/>
      <c r="S58" s="5">
        <f t="shared" si="2"/>
        <v>2754</v>
      </c>
      <c r="T58" s="1" t="s">
        <v>20</v>
      </c>
      <c r="U58" s="1" t="s">
        <v>1742</v>
      </c>
      <c r="V58" s="1"/>
      <c r="W58" s="1"/>
      <c r="X58" s="1" t="s">
        <v>37</v>
      </c>
      <c r="Y58" s="26"/>
      <c r="Z58" s="8" t="s">
        <v>244</v>
      </c>
      <c r="AA58" s="204"/>
      <c r="AB58" s="21">
        <v>1</v>
      </c>
      <c r="AC58" s="12" t="s">
        <v>81</v>
      </c>
      <c r="AD58" s="26"/>
      <c r="AE58" s="23" t="s">
        <v>167</v>
      </c>
      <c r="AF58" s="26"/>
      <c r="AG58" s="2"/>
    </row>
    <row r="59" spans="1:33" s="24" customFormat="1" ht="30" x14ac:dyDescent="0.25">
      <c r="A59" s="4"/>
      <c r="B59" s="4">
        <v>44958</v>
      </c>
      <c r="C59" s="6" t="s">
        <v>1683</v>
      </c>
      <c r="D59" s="224" t="s">
        <v>3429</v>
      </c>
      <c r="E59" s="6" t="s">
        <v>1743</v>
      </c>
      <c r="F59" s="234" t="s">
        <v>168</v>
      </c>
      <c r="G59" s="1" t="s">
        <v>169</v>
      </c>
      <c r="H59" s="8">
        <v>3</v>
      </c>
      <c r="I59" s="8"/>
      <c r="J59" s="115">
        <f>Table224[[#This Row],[Qty]]-Table224[[#This Row],[Issue Qty]]</f>
        <v>3</v>
      </c>
      <c r="K59" s="195"/>
      <c r="L59" s="195" t="s">
        <v>3480</v>
      </c>
      <c r="M59" s="5">
        <f>30523.5/3</f>
        <v>10174.5</v>
      </c>
      <c r="N59" s="5">
        <f t="shared" si="0"/>
        <v>30523.5</v>
      </c>
      <c r="O59" s="11">
        <v>0</v>
      </c>
      <c r="P59" s="9">
        <f t="shared" si="1"/>
        <v>0</v>
      </c>
      <c r="Q59" s="5"/>
      <c r="R59" s="5"/>
      <c r="S59" s="5">
        <f t="shared" si="2"/>
        <v>30523.5</v>
      </c>
      <c r="T59" s="1" t="s">
        <v>20</v>
      </c>
      <c r="U59" s="1" t="s">
        <v>37</v>
      </c>
      <c r="V59" s="1"/>
      <c r="W59" s="1"/>
      <c r="X59" s="1"/>
      <c r="Y59" s="1"/>
      <c r="Z59" s="8" t="s">
        <v>22</v>
      </c>
      <c r="AA59" s="8" t="s">
        <v>23</v>
      </c>
      <c r="AB59" s="8"/>
      <c r="AC59" s="12"/>
      <c r="AD59" s="1"/>
      <c r="AE59" s="23" t="s">
        <v>170</v>
      </c>
      <c r="AF59" s="1" t="s">
        <v>37</v>
      </c>
      <c r="AG59" s="2"/>
    </row>
    <row r="60" spans="1:33" s="24" customFormat="1" x14ac:dyDescent="0.25">
      <c r="A60" s="4"/>
      <c r="B60" s="4">
        <v>44958</v>
      </c>
      <c r="C60" s="6" t="s">
        <v>54</v>
      </c>
      <c r="D60" s="224" t="s">
        <v>3430</v>
      </c>
      <c r="E60" s="26" t="s">
        <v>1744</v>
      </c>
      <c r="F60" s="168" t="s">
        <v>171</v>
      </c>
      <c r="G60" s="1" t="s">
        <v>172</v>
      </c>
      <c r="H60" s="8">
        <v>3</v>
      </c>
      <c r="I60" s="8"/>
      <c r="J60" s="115">
        <f>Table224[[#This Row],[Qty]]-Table224[[#This Row],[Issue Qty]]</f>
        <v>3</v>
      </c>
      <c r="K60" s="195"/>
      <c r="L60" s="195" t="s">
        <v>3479</v>
      </c>
      <c r="M60" s="5">
        <f>26163/4</f>
        <v>6540.75</v>
      </c>
      <c r="N60" s="5">
        <f t="shared" si="0"/>
        <v>19622.25</v>
      </c>
      <c r="O60" s="11">
        <v>0</v>
      </c>
      <c r="P60" s="9">
        <f t="shared" si="1"/>
        <v>0</v>
      </c>
      <c r="Q60" s="5"/>
      <c r="R60" s="5"/>
      <c r="S60" s="5">
        <f t="shared" si="2"/>
        <v>19622.25</v>
      </c>
      <c r="T60" s="1" t="s">
        <v>20</v>
      </c>
      <c r="U60" s="1" t="s">
        <v>37</v>
      </c>
      <c r="V60" s="1"/>
      <c r="W60" s="1"/>
      <c r="X60" s="1"/>
      <c r="Y60" s="1"/>
      <c r="Z60" s="8" t="s">
        <v>156</v>
      </c>
      <c r="AA60" s="8" t="s">
        <v>173</v>
      </c>
      <c r="AB60" s="8"/>
      <c r="AC60" s="22"/>
      <c r="AD60" s="1" t="s">
        <v>3549</v>
      </c>
      <c r="AE60" s="23"/>
      <c r="AF60" s="1" t="s">
        <v>37</v>
      </c>
      <c r="AG60" s="2"/>
    </row>
    <row r="61" spans="1:33" s="24" customFormat="1" x14ac:dyDescent="0.25">
      <c r="A61" s="4"/>
      <c r="B61" s="4">
        <v>44958</v>
      </c>
      <c r="C61" s="6" t="s">
        <v>1683</v>
      </c>
      <c r="D61" s="224" t="s">
        <v>3429</v>
      </c>
      <c r="E61" s="26" t="s">
        <v>1745</v>
      </c>
      <c r="F61" s="233" t="s">
        <v>174</v>
      </c>
      <c r="G61" s="1" t="s">
        <v>175</v>
      </c>
      <c r="H61" s="8">
        <v>1</v>
      </c>
      <c r="I61" s="8"/>
      <c r="J61" s="115">
        <f>Table224[[#This Row],[Qty]]-Table224[[#This Row],[Issue Qty]]</f>
        <v>1</v>
      </c>
      <c r="K61" s="195"/>
      <c r="L61" s="195" t="s">
        <v>3480</v>
      </c>
      <c r="M61" s="5">
        <f>25.9*90</f>
        <v>2331</v>
      </c>
      <c r="N61" s="5">
        <f t="shared" si="0"/>
        <v>2331</v>
      </c>
      <c r="O61" s="11">
        <v>0</v>
      </c>
      <c r="P61" s="9">
        <f t="shared" si="1"/>
        <v>0</v>
      </c>
      <c r="Q61" s="5"/>
      <c r="R61" s="5"/>
      <c r="S61" s="5">
        <f t="shared" si="2"/>
        <v>2331</v>
      </c>
      <c r="T61" s="1" t="s">
        <v>20</v>
      </c>
      <c r="U61" s="1" t="s">
        <v>37</v>
      </c>
      <c r="V61" s="1"/>
      <c r="W61" s="1"/>
      <c r="X61" s="1"/>
      <c r="Y61" s="1"/>
      <c r="Z61" s="8" t="s">
        <v>107</v>
      </c>
      <c r="AA61" s="8" t="s">
        <v>129</v>
      </c>
      <c r="AB61" s="8"/>
      <c r="AC61" s="22"/>
      <c r="AD61" s="1"/>
      <c r="AE61" s="23"/>
      <c r="AF61" s="1">
        <v>261</v>
      </c>
      <c r="AG61" s="2"/>
    </row>
    <row r="62" spans="1:33" s="24" customFormat="1" x14ac:dyDescent="0.25">
      <c r="A62" s="4"/>
      <c r="B62" s="4">
        <v>44958</v>
      </c>
      <c r="C62" s="6" t="s">
        <v>1683</v>
      </c>
      <c r="D62" s="224" t="s">
        <v>3429</v>
      </c>
      <c r="E62" s="26" t="s">
        <v>1746</v>
      </c>
      <c r="F62" s="233" t="s">
        <v>176</v>
      </c>
      <c r="G62" s="1" t="s">
        <v>177</v>
      </c>
      <c r="H62" s="8">
        <v>2</v>
      </c>
      <c r="I62" s="8"/>
      <c r="J62" s="115">
        <f>Table224[[#This Row],[Qty]]-Table224[[#This Row],[Issue Qty]]</f>
        <v>2</v>
      </c>
      <c r="K62" s="195"/>
      <c r="L62" s="195" t="s">
        <v>3480</v>
      </c>
      <c r="M62" s="5">
        <f>61.9*90</f>
        <v>5571</v>
      </c>
      <c r="N62" s="5">
        <f t="shared" si="0"/>
        <v>11142</v>
      </c>
      <c r="O62" s="11">
        <v>0</v>
      </c>
      <c r="P62" s="9">
        <f t="shared" si="1"/>
        <v>0</v>
      </c>
      <c r="Q62" s="5"/>
      <c r="R62" s="5"/>
      <c r="S62" s="5">
        <f t="shared" si="2"/>
        <v>11142</v>
      </c>
      <c r="T62" s="1" t="s">
        <v>20</v>
      </c>
      <c r="U62" s="1" t="s">
        <v>37</v>
      </c>
      <c r="V62" s="1"/>
      <c r="W62" s="1"/>
      <c r="X62" s="1"/>
      <c r="Y62" s="1"/>
      <c r="Z62" s="8" t="s">
        <v>22</v>
      </c>
      <c r="AA62" s="8" t="s">
        <v>1734</v>
      </c>
      <c r="AB62" s="8"/>
      <c r="AC62" s="22" t="s">
        <v>3427</v>
      </c>
      <c r="AD62" s="1"/>
      <c r="AE62" s="23"/>
      <c r="AF62" s="1">
        <v>260</v>
      </c>
      <c r="AG62" s="1"/>
    </row>
    <row r="63" spans="1:33" s="24" customFormat="1" ht="30" x14ac:dyDescent="0.25">
      <c r="A63" s="4"/>
      <c r="B63" s="4">
        <v>44958</v>
      </c>
      <c r="C63" s="6" t="s">
        <v>54</v>
      </c>
      <c r="D63" s="224" t="s">
        <v>3430</v>
      </c>
      <c r="E63" s="6" t="s">
        <v>1747</v>
      </c>
      <c r="F63" s="234" t="s">
        <v>178</v>
      </c>
      <c r="G63" s="1" t="s">
        <v>179</v>
      </c>
      <c r="H63" s="8">
        <v>8</v>
      </c>
      <c r="I63" s="8">
        <v>0</v>
      </c>
      <c r="J63" s="115">
        <f>Table224[[#This Row],[Qty]]-Table224[[#This Row],[Issue Qty]]</f>
        <v>8</v>
      </c>
      <c r="K63" s="195"/>
      <c r="L63" s="195" t="s">
        <v>3479</v>
      </c>
      <c r="M63" s="5">
        <v>2439</v>
      </c>
      <c r="N63" s="5">
        <f t="shared" si="0"/>
        <v>19512</v>
      </c>
      <c r="O63" s="11">
        <v>0</v>
      </c>
      <c r="P63" s="9">
        <f t="shared" si="1"/>
        <v>0</v>
      </c>
      <c r="Q63" s="5"/>
      <c r="R63" s="5"/>
      <c r="S63" s="5">
        <f t="shared" si="2"/>
        <v>19512</v>
      </c>
      <c r="T63" s="1" t="s">
        <v>20</v>
      </c>
      <c r="U63" s="1" t="s">
        <v>37</v>
      </c>
      <c r="V63" s="1"/>
      <c r="W63" s="1"/>
      <c r="X63" s="1"/>
      <c r="Y63" s="1"/>
      <c r="Z63" s="8" t="s">
        <v>156</v>
      </c>
      <c r="AA63" s="8" t="s">
        <v>180</v>
      </c>
      <c r="AB63" s="8">
        <v>1</v>
      </c>
      <c r="AC63" s="22" t="s">
        <v>226</v>
      </c>
      <c r="AD63" s="1" t="s">
        <v>1647</v>
      </c>
      <c r="AE63" s="23" t="s">
        <v>181</v>
      </c>
      <c r="AF63" s="1">
        <v>259</v>
      </c>
      <c r="AG63" s="2"/>
    </row>
    <row r="64" spans="1:33" s="24" customFormat="1" x14ac:dyDescent="0.25">
      <c r="A64" s="4"/>
      <c r="B64" s="4">
        <v>44958</v>
      </c>
      <c r="C64" s="6" t="s">
        <v>54</v>
      </c>
      <c r="D64" s="224" t="s">
        <v>3430</v>
      </c>
      <c r="E64" s="6" t="s">
        <v>1747</v>
      </c>
      <c r="F64" s="234" t="s">
        <v>178</v>
      </c>
      <c r="G64" s="1" t="s">
        <v>182</v>
      </c>
      <c r="H64" s="8">
        <v>4</v>
      </c>
      <c r="I64" s="8">
        <v>0</v>
      </c>
      <c r="J64" s="115">
        <f>Table224[[#This Row],[Qty]]-Table224[[#This Row],[Issue Qty]]</f>
        <v>4</v>
      </c>
      <c r="K64" s="195"/>
      <c r="L64" s="195" t="s">
        <v>3479</v>
      </c>
      <c r="M64" s="5">
        <f>8036.24/4</f>
        <v>2009.06</v>
      </c>
      <c r="N64" s="5">
        <f t="shared" si="0"/>
        <v>8036.24</v>
      </c>
      <c r="O64" s="11">
        <v>0</v>
      </c>
      <c r="P64" s="9">
        <f t="shared" si="1"/>
        <v>0</v>
      </c>
      <c r="Q64" s="5"/>
      <c r="R64" s="5"/>
      <c r="S64" s="5">
        <f t="shared" si="2"/>
        <v>8036.24</v>
      </c>
      <c r="T64" s="1" t="s">
        <v>20</v>
      </c>
      <c r="U64" s="1" t="s">
        <v>37</v>
      </c>
      <c r="V64" s="1"/>
      <c r="W64" s="1"/>
      <c r="X64" s="1"/>
      <c r="Y64" s="1"/>
      <c r="Z64" s="8" t="s">
        <v>156</v>
      </c>
      <c r="AA64" s="8" t="s">
        <v>180</v>
      </c>
      <c r="AB64" s="8"/>
      <c r="AC64" s="22"/>
      <c r="AD64" s="1"/>
      <c r="AE64" s="23" t="s">
        <v>182</v>
      </c>
      <c r="AF64" s="1" t="s">
        <v>37</v>
      </c>
      <c r="AG64" s="2"/>
    </row>
    <row r="65" spans="1:33" s="24" customFormat="1" ht="30" x14ac:dyDescent="0.25">
      <c r="A65" s="4"/>
      <c r="B65" s="4">
        <v>44958</v>
      </c>
      <c r="C65" s="6" t="s">
        <v>1683</v>
      </c>
      <c r="D65" s="224" t="s">
        <v>3429</v>
      </c>
      <c r="E65" s="6" t="s">
        <v>1748</v>
      </c>
      <c r="F65" s="234" t="s">
        <v>183</v>
      </c>
      <c r="G65" s="1" t="s">
        <v>184</v>
      </c>
      <c r="H65" s="8">
        <v>1</v>
      </c>
      <c r="I65" s="8"/>
      <c r="J65" s="115">
        <f>Table224[[#This Row],[Qty]]-Table224[[#This Row],[Issue Qty]]</f>
        <v>1</v>
      </c>
      <c r="K65" s="195"/>
      <c r="L65" s="195" t="s">
        <v>3480</v>
      </c>
      <c r="M65" s="5">
        <v>13050</v>
      </c>
      <c r="N65" s="5">
        <f t="shared" si="0"/>
        <v>13050</v>
      </c>
      <c r="O65" s="11">
        <v>0</v>
      </c>
      <c r="P65" s="9">
        <f t="shared" si="1"/>
        <v>0</v>
      </c>
      <c r="Q65" s="5"/>
      <c r="R65" s="5"/>
      <c r="S65" s="5">
        <f t="shared" si="2"/>
        <v>13050</v>
      </c>
      <c r="T65" s="1" t="s">
        <v>20</v>
      </c>
      <c r="U65" s="1" t="s">
        <v>37</v>
      </c>
      <c r="V65" s="1"/>
      <c r="W65" s="1"/>
      <c r="X65" s="1"/>
      <c r="Y65" s="1"/>
      <c r="Z65" s="8" t="s">
        <v>22</v>
      </c>
      <c r="AA65" s="8" t="s">
        <v>185</v>
      </c>
      <c r="AB65" s="8"/>
      <c r="AC65" s="22"/>
      <c r="AD65" s="1"/>
      <c r="AE65" s="23" t="s">
        <v>186</v>
      </c>
      <c r="AF65" s="1">
        <v>260</v>
      </c>
      <c r="AG65" s="2"/>
    </row>
    <row r="66" spans="1:33" s="24" customFormat="1" ht="30" x14ac:dyDescent="0.25">
      <c r="A66" s="4"/>
      <c r="B66" s="4">
        <v>44958</v>
      </c>
      <c r="C66" s="6" t="s">
        <v>1683</v>
      </c>
      <c r="D66" s="224" t="s">
        <v>3439</v>
      </c>
      <c r="E66" s="6" t="s">
        <v>1752</v>
      </c>
      <c r="F66" s="257" t="s">
        <v>195</v>
      </c>
      <c r="G66" s="1" t="s">
        <v>196</v>
      </c>
      <c r="H66" s="8">
        <v>4</v>
      </c>
      <c r="I66" s="8">
        <v>4</v>
      </c>
      <c r="J66" s="115">
        <f>Table224[[#This Row],[Qty]]-Table224[[#This Row],[Issue Qty]]</f>
        <v>0</v>
      </c>
      <c r="K66" s="332">
        <v>4</v>
      </c>
      <c r="L66" s="195" t="s">
        <v>3480</v>
      </c>
      <c r="M66" s="5">
        <v>93.22</v>
      </c>
      <c r="N66" s="5">
        <f t="shared" si="0"/>
        <v>372.88</v>
      </c>
      <c r="O66" s="11">
        <v>0</v>
      </c>
      <c r="P66" s="9">
        <f t="shared" si="1"/>
        <v>0</v>
      </c>
      <c r="Q66" s="5"/>
      <c r="R66" s="5"/>
      <c r="S66" s="5">
        <f t="shared" si="2"/>
        <v>372.88</v>
      </c>
      <c r="T66" s="1" t="s">
        <v>20</v>
      </c>
      <c r="U66" s="1" t="s">
        <v>37</v>
      </c>
      <c r="V66" s="1"/>
      <c r="W66" s="1"/>
      <c r="X66" s="1"/>
      <c r="Y66" s="1"/>
      <c r="Z66" s="8" t="s">
        <v>72</v>
      </c>
      <c r="AA66" s="8" t="s">
        <v>117</v>
      </c>
      <c r="AB66" s="8">
        <v>4</v>
      </c>
      <c r="AC66" s="22" t="s">
        <v>3799</v>
      </c>
      <c r="AD66" s="1"/>
      <c r="AE66" s="23"/>
      <c r="AF66" s="1" t="s">
        <v>37</v>
      </c>
      <c r="AG66" s="2"/>
    </row>
    <row r="67" spans="1:33" s="24" customFormat="1" ht="45" x14ac:dyDescent="0.25">
      <c r="A67" s="4"/>
      <c r="B67" s="4">
        <v>44958</v>
      </c>
      <c r="C67" s="6" t="s">
        <v>1683</v>
      </c>
      <c r="D67" s="224" t="s">
        <v>3439</v>
      </c>
      <c r="E67" s="6" t="s">
        <v>1753</v>
      </c>
      <c r="F67" s="234" t="s">
        <v>197</v>
      </c>
      <c r="G67" s="1" t="s">
        <v>197</v>
      </c>
      <c r="H67" s="8">
        <v>1</v>
      </c>
      <c r="I67" s="8"/>
      <c r="J67" s="115">
        <f>Table224[[#This Row],[Qty]]-Table224[[#This Row],[Issue Qty]]</f>
        <v>1</v>
      </c>
      <c r="K67" s="195"/>
      <c r="L67" s="195" t="s">
        <v>3480</v>
      </c>
      <c r="M67" s="5">
        <v>82</v>
      </c>
      <c r="N67" s="5">
        <f t="shared" ref="N67:N130" si="3">H67*M67</f>
        <v>82</v>
      </c>
      <c r="O67" s="11">
        <v>0</v>
      </c>
      <c r="P67" s="9">
        <f t="shared" ref="P67:P130" si="4">N67*O67</f>
        <v>0</v>
      </c>
      <c r="Q67" s="5"/>
      <c r="R67" s="5"/>
      <c r="S67" s="5">
        <f t="shared" ref="S67:S130" si="5">N67+P67+Q67+R67</f>
        <v>82</v>
      </c>
      <c r="T67" s="1" t="s">
        <v>20</v>
      </c>
      <c r="U67" s="1" t="s">
        <v>37</v>
      </c>
      <c r="V67" s="1"/>
      <c r="W67" s="1"/>
      <c r="X67" s="1"/>
      <c r="Y67" s="1"/>
      <c r="Z67" s="8" t="s">
        <v>72</v>
      </c>
      <c r="AA67" s="8" t="s">
        <v>117</v>
      </c>
      <c r="AB67" s="8"/>
      <c r="AC67" s="22"/>
      <c r="AD67" s="1" t="s">
        <v>3800</v>
      </c>
      <c r="AE67" s="23"/>
      <c r="AF67" s="1">
        <v>260</v>
      </c>
      <c r="AG67" s="2"/>
    </row>
    <row r="68" spans="1:33" s="24" customFormat="1" ht="30" x14ac:dyDescent="0.25">
      <c r="A68" s="4"/>
      <c r="B68" s="4">
        <v>44958</v>
      </c>
      <c r="C68" s="1" t="s">
        <v>1991</v>
      </c>
      <c r="D68" s="224" t="s">
        <v>3490</v>
      </c>
      <c r="E68" s="6" t="s">
        <v>1754</v>
      </c>
      <c r="F68" s="234" t="s">
        <v>198</v>
      </c>
      <c r="G68" s="1" t="s">
        <v>199</v>
      </c>
      <c r="H68" s="8">
        <v>1</v>
      </c>
      <c r="I68" s="8"/>
      <c r="J68" s="115">
        <f>Table224[[#This Row],[Qty]]-Table224[[#This Row],[Issue Qty]]</f>
        <v>1</v>
      </c>
      <c r="K68" s="195"/>
      <c r="L68" s="195" t="s">
        <v>3480</v>
      </c>
      <c r="M68" s="5">
        <v>2189</v>
      </c>
      <c r="N68" s="5">
        <f t="shared" si="3"/>
        <v>2189</v>
      </c>
      <c r="O68" s="11">
        <v>0</v>
      </c>
      <c r="P68" s="9">
        <f t="shared" si="4"/>
        <v>0</v>
      </c>
      <c r="Q68" s="5"/>
      <c r="R68" s="5"/>
      <c r="S68" s="5">
        <f t="shared" si="5"/>
        <v>2189</v>
      </c>
      <c r="T68" s="1" t="s">
        <v>20</v>
      </c>
      <c r="U68" s="1" t="s">
        <v>37</v>
      </c>
      <c r="V68" s="1"/>
      <c r="W68" s="1"/>
      <c r="X68" s="1"/>
      <c r="Y68" s="1"/>
      <c r="Z68" s="8" t="s">
        <v>52</v>
      </c>
      <c r="AA68" s="8" t="s">
        <v>53</v>
      </c>
      <c r="AB68" s="8"/>
      <c r="AC68" s="22"/>
      <c r="AD68" s="1"/>
      <c r="AE68" s="23" t="s">
        <v>200</v>
      </c>
      <c r="AF68" s="1">
        <v>259</v>
      </c>
      <c r="AG68" s="2"/>
    </row>
    <row r="69" spans="1:33" s="24" customFormat="1" ht="30" x14ac:dyDescent="0.25">
      <c r="A69" s="4"/>
      <c r="B69" s="4">
        <v>44958</v>
      </c>
      <c r="C69" s="6" t="s">
        <v>54</v>
      </c>
      <c r="D69" s="224" t="s">
        <v>3496</v>
      </c>
      <c r="E69" s="6" t="s">
        <v>1755</v>
      </c>
      <c r="F69" s="234" t="s">
        <v>201</v>
      </c>
      <c r="G69" s="1" t="s">
        <v>201</v>
      </c>
      <c r="H69" s="8">
        <v>1</v>
      </c>
      <c r="I69" s="8"/>
      <c r="J69" s="115">
        <f>Table224[[#This Row],[Qty]]-Table224[[#This Row],[Issue Qty]]</f>
        <v>1</v>
      </c>
      <c r="K69" s="195"/>
      <c r="L69" s="195" t="s">
        <v>3480</v>
      </c>
      <c r="M69" s="5">
        <f>79.25*90</f>
        <v>7132.5</v>
      </c>
      <c r="N69" s="5">
        <f t="shared" si="3"/>
        <v>7132.5</v>
      </c>
      <c r="O69" s="11">
        <v>0</v>
      </c>
      <c r="P69" s="9">
        <f t="shared" si="4"/>
        <v>0</v>
      </c>
      <c r="Q69" s="5"/>
      <c r="R69" s="5"/>
      <c r="S69" s="5">
        <f t="shared" si="5"/>
        <v>7132.5</v>
      </c>
      <c r="T69" s="1" t="s">
        <v>20</v>
      </c>
      <c r="U69" s="1" t="s">
        <v>37</v>
      </c>
      <c r="V69" s="1"/>
      <c r="W69" s="1"/>
      <c r="X69" s="1"/>
      <c r="Y69" s="1"/>
      <c r="Z69" s="8" t="s">
        <v>107</v>
      </c>
      <c r="AA69" s="8" t="s">
        <v>129</v>
      </c>
      <c r="AB69" s="8"/>
      <c r="AC69" s="22"/>
      <c r="AD69" s="1"/>
      <c r="AE69" s="23" t="s">
        <v>201</v>
      </c>
      <c r="AF69" s="1">
        <v>261</v>
      </c>
      <c r="AG69" s="2"/>
    </row>
    <row r="70" spans="1:33" s="24" customFormat="1" ht="30" x14ac:dyDescent="0.25">
      <c r="A70" s="4"/>
      <c r="B70" s="4">
        <v>44958</v>
      </c>
      <c r="C70" s="6" t="s">
        <v>1695</v>
      </c>
      <c r="D70" s="224" t="s">
        <v>202</v>
      </c>
      <c r="E70" s="6" t="s">
        <v>1756</v>
      </c>
      <c r="F70" s="234" t="s">
        <v>202</v>
      </c>
      <c r="G70" s="1" t="s">
        <v>203</v>
      </c>
      <c r="H70" s="8">
        <v>1</v>
      </c>
      <c r="I70" s="8">
        <v>1</v>
      </c>
      <c r="J70" s="115">
        <f>Table224[[#This Row],[Qty]]-Table224[[#This Row],[Issue Qty]]</f>
        <v>0</v>
      </c>
      <c r="K70" s="195"/>
      <c r="L70" s="195" t="s">
        <v>3480</v>
      </c>
      <c r="M70" s="5">
        <v>184399.47</v>
      </c>
      <c r="N70" s="5">
        <f t="shared" si="3"/>
        <v>184399.47</v>
      </c>
      <c r="O70" s="11">
        <v>0</v>
      </c>
      <c r="P70" s="9">
        <f t="shared" si="4"/>
        <v>0</v>
      </c>
      <c r="Q70" s="5"/>
      <c r="R70" s="5"/>
      <c r="S70" s="5">
        <f t="shared" si="5"/>
        <v>184399.47</v>
      </c>
      <c r="T70" s="1" t="s">
        <v>20</v>
      </c>
      <c r="U70" s="1" t="s">
        <v>37</v>
      </c>
      <c r="V70" s="1" t="s">
        <v>132</v>
      </c>
      <c r="W70" s="1"/>
      <c r="X70" s="1"/>
      <c r="Y70" s="1"/>
      <c r="Z70" s="8" t="s">
        <v>360</v>
      </c>
      <c r="AA70" s="8" t="s">
        <v>3342</v>
      </c>
      <c r="AB70" s="8" t="s">
        <v>3356</v>
      </c>
      <c r="AC70" s="22"/>
      <c r="AD70" s="1"/>
      <c r="AE70" s="23" t="s">
        <v>205</v>
      </c>
      <c r="AF70" s="1" t="s">
        <v>37</v>
      </c>
      <c r="AG70" s="2"/>
    </row>
    <row r="71" spans="1:33" s="24" customFormat="1" ht="30" x14ac:dyDescent="0.25">
      <c r="A71" s="4"/>
      <c r="B71" s="4">
        <v>44961</v>
      </c>
      <c r="C71" s="6" t="s">
        <v>1695</v>
      </c>
      <c r="D71" s="224" t="s">
        <v>3457</v>
      </c>
      <c r="E71" s="6" t="s">
        <v>1758</v>
      </c>
      <c r="F71" s="234" t="s">
        <v>209</v>
      </c>
      <c r="G71" s="1" t="s">
        <v>210</v>
      </c>
      <c r="H71" s="8">
        <v>1</v>
      </c>
      <c r="I71" s="8"/>
      <c r="J71" s="115">
        <f>Table224[[#This Row],[Qty]]-Table224[[#This Row],[Issue Qty]]</f>
        <v>1</v>
      </c>
      <c r="K71" s="195"/>
      <c r="L71" s="195" t="s">
        <v>3480</v>
      </c>
      <c r="M71" s="5">
        <v>4259.32</v>
      </c>
      <c r="N71" s="5">
        <f t="shared" si="3"/>
        <v>4259.32</v>
      </c>
      <c r="O71" s="11">
        <v>0</v>
      </c>
      <c r="P71" s="9">
        <f t="shared" si="4"/>
        <v>0</v>
      </c>
      <c r="Q71" s="5"/>
      <c r="R71" s="5"/>
      <c r="S71" s="5">
        <f t="shared" si="5"/>
        <v>4259.32</v>
      </c>
      <c r="T71" s="1" t="s">
        <v>211</v>
      </c>
      <c r="U71" s="1" t="s">
        <v>1690</v>
      </c>
      <c r="V71" s="1"/>
      <c r="W71" s="1"/>
      <c r="X71" s="1"/>
      <c r="Y71" s="1"/>
      <c r="Z71" s="8" t="s">
        <v>98</v>
      </c>
      <c r="AA71" s="8" t="s">
        <v>99</v>
      </c>
      <c r="AB71" s="8"/>
      <c r="AC71" s="22"/>
      <c r="AD71" s="1"/>
      <c r="AE71" s="23" t="s">
        <v>210</v>
      </c>
      <c r="AF71" s="1">
        <v>349</v>
      </c>
      <c r="AG71" s="2"/>
    </row>
    <row r="72" spans="1:33" s="24" customFormat="1" x14ac:dyDescent="0.25">
      <c r="A72" s="4"/>
      <c r="B72" s="4">
        <v>44972</v>
      </c>
      <c r="C72" s="6" t="s">
        <v>1730</v>
      </c>
      <c r="D72" s="224" t="s">
        <v>3506</v>
      </c>
      <c r="E72" s="6" t="s">
        <v>1759</v>
      </c>
      <c r="F72" s="165" t="s">
        <v>212</v>
      </c>
      <c r="G72" s="1" t="s">
        <v>213</v>
      </c>
      <c r="H72" s="8">
        <v>1</v>
      </c>
      <c r="I72" s="8"/>
      <c r="J72" s="115">
        <f>Table224[[#This Row],[Qty]]-Table224[[#This Row],[Issue Qty]]</f>
        <v>1</v>
      </c>
      <c r="K72" s="195"/>
      <c r="L72" s="195" t="s">
        <v>3480</v>
      </c>
      <c r="M72" s="5">
        <v>12000</v>
      </c>
      <c r="N72" s="5">
        <f t="shared" si="3"/>
        <v>12000</v>
      </c>
      <c r="O72" s="11">
        <v>0</v>
      </c>
      <c r="P72" s="9">
        <f t="shared" si="4"/>
        <v>0</v>
      </c>
      <c r="Q72" s="5"/>
      <c r="R72" s="5"/>
      <c r="S72" s="5">
        <f t="shared" si="5"/>
        <v>12000</v>
      </c>
      <c r="T72" s="1" t="s">
        <v>211</v>
      </c>
      <c r="U72" s="1" t="s">
        <v>1690</v>
      </c>
      <c r="V72" s="1"/>
      <c r="W72" s="1"/>
      <c r="X72" s="1"/>
      <c r="Y72" s="1"/>
      <c r="Z72" s="8" t="s">
        <v>3179</v>
      </c>
      <c r="AA72" s="8"/>
      <c r="AB72" s="8"/>
      <c r="AC72" s="22"/>
      <c r="AD72" s="1"/>
      <c r="AE72" s="23"/>
      <c r="AF72" s="1">
        <v>348</v>
      </c>
      <c r="AG72" s="2"/>
    </row>
    <row r="73" spans="1:33" s="24" customFormat="1" ht="30" x14ac:dyDescent="0.25">
      <c r="A73" s="4"/>
      <c r="B73" s="4">
        <v>44973</v>
      </c>
      <c r="C73" s="1" t="s">
        <v>1991</v>
      </c>
      <c r="D73" s="224" t="s">
        <v>3463</v>
      </c>
      <c r="E73" s="6" t="s">
        <v>1760</v>
      </c>
      <c r="F73" s="234" t="s">
        <v>214</v>
      </c>
      <c r="G73" s="1" t="s">
        <v>215</v>
      </c>
      <c r="H73" s="8">
        <v>1</v>
      </c>
      <c r="I73" s="8"/>
      <c r="J73" s="115">
        <f>Table224[[#This Row],[Qty]]-Table224[[#This Row],[Issue Qty]]</f>
        <v>1</v>
      </c>
      <c r="K73" s="195"/>
      <c r="L73" s="195" t="s">
        <v>3480</v>
      </c>
      <c r="M73" s="5">
        <f>40602.6/2</f>
        <v>20301.3</v>
      </c>
      <c r="N73" s="5">
        <f t="shared" si="3"/>
        <v>20301.3</v>
      </c>
      <c r="O73" s="11">
        <v>0</v>
      </c>
      <c r="P73" s="9">
        <f t="shared" si="4"/>
        <v>0</v>
      </c>
      <c r="Q73" s="5"/>
      <c r="R73" s="5"/>
      <c r="S73" s="5">
        <f t="shared" si="5"/>
        <v>20301.3</v>
      </c>
      <c r="T73" s="1" t="s">
        <v>211</v>
      </c>
      <c r="U73" s="1" t="s">
        <v>1690</v>
      </c>
      <c r="V73" s="1" t="s">
        <v>216</v>
      </c>
      <c r="W73" s="1"/>
      <c r="X73" s="1"/>
      <c r="Y73" s="1"/>
      <c r="Z73" s="8" t="s">
        <v>89</v>
      </c>
      <c r="AA73" s="8" t="s">
        <v>801</v>
      </c>
      <c r="AB73" s="8"/>
      <c r="AC73" s="22"/>
      <c r="AD73" s="1"/>
      <c r="AE73" s="23" t="s">
        <v>218</v>
      </c>
      <c r="AF73" s="1">
        <v>356</v>
      </c>
      <c r="AG73" s="2"/>
    </row>
    <row r="74" spans="1:33" s="24" customFormat="1" ht="30" x14ac:dyDescent="0.25">
      <c r="A74" s="4"/>
      <c r="B74" s="4">
        <v>44984</v>
      </c>
      <c r="C74" s="1" t="s">
        <v>1991</v>
      </c>
      <c r="D74" s="224" t="s">
        <v>3508</v>
      </c>
      <c r="E74" s="6" t="s">
        <v>1761</v>
      </c>
      <c r="F74" s="234" t="s">
        <v>3507</v>
      </c>
      <c r="G74" s="1" t="s">
        <v>220</v>
      </c>
      <c r="H74" s="8">
        <v>1</v>
      </c>
      <c r="I74" s="8"/>
      <c r="J74" s="115">
        <f>Table224[[#This Row],[Qty]]-Table224[[#This Row],[Issue Qty]]</f>
        <v>1</v>
      </c>
      <c r="K74" s="195"/>
      <c r="L74" s="195" t="s">
        <v>3486</v>
      </c>
      <c r="M74" s="5">
        <v>228925.41</v>
      </c>
      <c r="N74" s="5">
        <f t="shared" si="3"/>
        <v>228925.41</v>
      </c>
      <c r="O74" s="11">
        <v>0</v>
      </c>
      <c r="P74" s="9">
        <f t="shared" si="4"/>
        <v>0</v>
      </c>
      <c r="Q74" s="5"/>
      <c r="R74" s="5"/>
      <c r="S74" s="5">
        <f t="shared" si="5"/>
        <v>228925.41</v>
      </c>
      <c r="T74" s="1" t="s">
        <v>211</v>
      </c>
      <c r="U74" s="1" t="s">
        <v>1690</v>
      </c>
      <c r="V74" s="1" t="s">
        <v>221</v>
      </c>
      <c r="W74" s="1"/>
      <c r="X74" s="1"/>
      <c r="Y74" s="1"/>
      <c r="Z74" s="8" t="s">
        <v>3011</v>
      </c>
      <c r="AA74" s="8" t="s">
        <v>3608</v>
      </c>
      <c r="AB74" s="8"/>
      <c r="AC74" s="22"/>
      <c r="AD74" s="1"/>
      <c r="AE74" s="23" t="s">
        <v>223</v>
      </c>
      <c r="AF74" s="1">
        <v>352</v>
      </c>
      <c r="AG74" s="2"/>
    </row>
    <row r="75" spans="1:33" s="24" customFormat="1" ht="30" x14ac:dyDescent="0.25">
      <c r="A75" s="4"/>
      <c r="B75" s="4">
        <v>44985</v>
      </c>
      <c r="C75" s="6" t="s">
        <v>1695</v>
      </c>
      <c r="D75" s="224" t="s">
        <v>3457</v>
      </c>
      <c r="E75" s="6" t="s">
        <v>1762</v>
      </c>
      <c r="F75" s="234" t="s">
        <v>224</v>
      </c>
      <c r="G75" s="1" t="s">
        <v>224</v>
      </c>
      <c r="H75" s="8">
        <v>1</v>
      </c>
      <c r="I75" s="8"/>
      <c r="J75" s="115">
        <f>Table224[[#This Row],[Qty]]-Table224[[#This Row],[Issue Qty]]</f>
        <v>1</v>
      </c>
      <c r="K75" s="195"/>
      <c r="L75" s="195" t="s">
        <v>3480</v>
      </c>
      <c r="M75" s="5">
        <v>249588.5</v>
      </c>
      <c r="N75" s="5">
        <f t="shared" si="3"/>
        <v>249588.5</v>
      </c>
      <c r="O75" s="11">
        <v>0</v>
      </c>
      <c r="P75" s="9">
        <f t="shared" si="4"/>
        <v>0</v>
      </c>
      <c r="Q75" s="5"/>
      <c r="R75" s="5"/>
      <c r="S75" s="5">
        <f t="shared" si="5"/>
        <v>249588.5</v>
      </c>
      <c r="T75" s="1" t="s">
        <v>2887</v>
      </c>
      <c r="U75" s="1" t="s">
        <v>1763</v>
      </c>
      <c r="V75" s="1" t="s">
        <v>225</v>
      </c>
      <c r="W75" s="1"/>
      <c r="X75" s="1"/>
      <c r="Y75" s="1"/>
      <c r="Z75" s="8" t="s">
        <v>313</v>
      </c>
      <c r="AA75" s="8"/>
      <c r="AB75" s="8"/>
      <c r="AC75" s="22"/>
      <c r="AD75" s="1"/>
      <c r="AE75" s="23" t="s">
        <v>227</v>
      </c>
      <c r="AF75" s="1">
        <v>363</v>
      </c>
      <c r="AG75" s="2"/>
    </row>
    <row r="76" spans="1:33" s="24" customFormat="1" ht="30" x14ac:dyDescent="0.25">
      <c r="A76" s="4"/>
      <c r="B76" s="4">
        <v>44985</v>
      </c>
      <c r="C76" s="6" t="s">
        <v>1695</v>
      </c>
      <c r="D76" s="224" t="s">
        <v>3457</v>
      </c>
      <c r="E76" s="6" t="s">
        <v>1764</v>
      </c>
      <c r="F76" s="234" t="s">
        <v>228</v>
      </c>
      <c r="G76" s="1" t="s">
        <v>228</v>
      </c>
      <c r="H76" s="8">
        <v>1</v>
      </c>
      <c r="I76" s="8">
        <v>1</v>
      </c>
      <c r="J76" s="115">
        <f>Table224[[#This Row],[Qty]]-Table224[[#This Row],[Issue Qty]]</f>
        <v>0</v>
      </c>
      <c r="K76" s="195"/>
      <c r="L76" s="195" t="s">
        <v>3480</v>
      </c>
      <c r="M76" s="5">
        <v>0</v>
      </c>
      <c r="N76" s="5">
        <f t="shared" si="3"/>
        <v>0</v>
      </c>
      <c r="O76" s="11">
        <v>0</v>
      </c>
      <c r="P76" s="9">
        <f t="shared" si="4"/>
        <v>0</v>
      </c>
      <c r="Q76" s="5"/>
      <c r="R76" s="5"/>
      <c r="S76" s="5">
        <f t="shared" si="5"/>
        <v>0</v>
      </c>
      <c r="T76" s="1" t="s">
        <v>2887</v>
      </c>
      <c r="U76" s="1" t="s">
        <v>1763</v>
      </c>
      <c r="V76" s="1" t="s">
        <v>225</v>
      </c>
      <c r="W76" s="1"/>
      <c r="X76" s="1"/>
      <c r="Y76" s="1"/>
      <c r="Z76" s="8" t="s">
        <v>1046</v>
      </c>
      <c r="AA76" s="8"/>
      <c r="AB76" s="8">
        <v>1</v>
      </c>
      <c r="AC76" s="22" t="s">
        <v>2777</v>
      </c>
      <c r="AD76" s="1"/>
      <c r="AE76" s="23" t="s">
        <v>227</v>
      </c>
      <c r="AF76" s="1">
        <v>363</v>
      </c>
      <c r="AG76" s="2"/>
    </row>
    <row r="77" spans="1:33" s="24" customFormat="1" x14ac:dyDescent="0.25">
      <c r="A77" s="4"/>
      <c r="B77" s="4">
        <v>45000</v>
      </c>
      <c r="C77" s="6" t="s">
        <v>1695</v>
      </c>
      <c r="D77" s="224" t="s">
        <v>3457</v>
      </c>
      <c r="E77" s="1" t="s">
        <v>1765</v>
      </c>
      <c r="F77" s="233" t="s">
        <v>229</v>
      </c>
      <c r="G77" s="1" t="s">
        <v>229</v>
      </c>
      <c r="H77" s="8">
        <v>1</v>
      </c>
      <c r="I77" s="8">
        <v>1</v>
      </c>
      <c r="J77" s="115">
        <f>Table224[[#This Row],[Qty]]-Table224[[#This Row],[Issue Qty]]</f>
        <v>0</v>
      </c>
      <c r="K77" s="195"/>
      <c r="L77" s="195" t="s">
        <v>3480</v>
      </c>
      <c r="M77" s="5">
        <v>1863.56</v>
      </c>
      <c r="N77" s="5">
        <f t="shared" si="3"/>
        <v>1863.56</v>
      </c>
      <c r="O77" s="11">
        <v>0</v>
      </c>
      <c r="P77" s="9">
        <f t="shared" si="4"/>
        <v>0</v>
      </c>
      <c r="Q77" s="5"/>
      <c r="R77" s="5"/>
      <c r="S77" s="5">
        <f t="shared" si="5"/>
        <v>1863.56</v>
      </c>
      <c r="T77" s="1" t="s">
        <v>20</v>
      </c>
      <c r="U77" s="1" t="s">
        <v>1763</v>
      </c>
      <c r="V77" s="1"/>
      <c r="W77" s="1"/>
      <c r="X77" s="1"/>
      <c r="Y77" s="1"/>
      <c r="Z77" s="8" t="s">
        <v>72</v>
      </c>
      <c r="AA77" s="8" t="s">
        <v>94</v>
      </c>
      <c r="AB77" s="8"/>
      <c r="AC77" s="22"/>
      <c r="AD77" s="1" t="s">
        <v>3789</v>
      </c>
      <c r="AE77" s="29"/>
      <c r="AF77" s="1">
        <v>393</v>
      </c>
      <c r="AG77" s="2"/>
    </row>
    <row r="78" spans="1:33" s="24" customFormat="1" x14ac:dyDescent="0.25">
      <c r="A78" s="4"/>
      <c r="B78" s="4">
        <v>45010</v>
      </c>
      <c r="C78" s="6" t="s">
        <v>1695</v>
      </c>
      <c r="D78" s="224" t="s">
        <v>3457</v>
      </c>
      <c r="E78" s="26" t="s">
        <v>1766</v>
      </c>
      <c r="F78" s="233" t="s">
        <v>230</v>
      </c>
      <c r="G78" s="1" t="s">
        <v>230</v>
      </c>
      <c r="H78" s="8">
        <v>2</v>
      </c>
      <c r="I78" s="8"/>
      <c r="J78" s="115">
        <f>Table224[[#This Row],[Qty]]-Table224[[#This Row],[Issue Qty]]</f>
        <v>2</v>
      </c>
      <c r="K78" s="195"/>
      <c r="L78" s="195" t="s">
        <v>3480</v>
      </c>
      <c r="M78" s="5">
        <v>15715</v>
      </c>
      <c r="N78" s="5">
        <f t="shared" si="3"/>
        <v>31430</v>
      </c>
      <c r="O78" s="11">
        <v>0</v>
      </c>
      <c r="P78" s="9">
        <f t="shared" si="4"/>
        <v>0</v>
      </c>
      <c r="Q78" s="5"/>
      <c r="R78" s="5"/>
      <c r="S78" s="5">
        <f t="shared" si="5"/>
        <v>31430</v>
      </c>
      <c r="T78" s="1" t="s">
        <v>231</v>
      </c>
      <c r="U78" s="1" t="s">
        <v>1709</v>
      </c>
      <c r="V78" s="1"/>
      <c r="W78" s="1"/>
      <c r="X78" s="1"/>
      <c r="Y78" s="1"/>
      <c r="Z78" s="8" t="s">
        <v>98</v>
      </c>
      <c r="AA78" s="8" t="s">
        <v>99</v>
      </c>
      <c r="AB78" s="8"/>
      <c r="AC78" s="22"/>
      <c r="AD78" s="1"/>
      <c r="AE78" s="23"/>
      <c r="AF78" s="1">
        <v>402</v>
      </c>
      <c r="AG78" s="2"/>
    </row>
    <row r="79" spans="1:33" s="24" customFormat="1" x14ac:dyDescent="0.25">
      <c r="A79" s="4"/>
      <c r="B79" s="4">
        <v>45016</v>
      </c>
      <c r="C79" s="1" t="s">
        <v>1991</v>
      </c>
      <c r="D79" s="224" t="s">
        <v>3555</v>
      </c>
      <c r="E79" s="26" t="s">
        <v>1767</v>
      </c>
      <c r="F79" s="233" t="s">
        <v>232</v>
      </c>
      <c r="G79" s="1" t="s">
        <v>233</v>
      </c>
      <c r="H79" s="8">
        <v>1</v>
      </c>
      <c r="I79" s="8">
        <v>1</v>
      </c>
      <c r="J79" s="115">
        <f>Table224[[#This Row],[Qty]]-Table224[[#This Row],[Issue Qty]]</f>
        <v>0</v>
      </c>
      <c r="K79" s="195"/>
      <c r="L79" s="195" t="s">
        <v>3480</v>
      </c>
      <c r="M79" s="5">
        <v>508.47</v>
      </c>
      <c r="N79" s="5">
        <f t="shared" si="3"/>
        <v>508.47</v>
      </c>
      <c r="O79" s="11">
        <v>0</v>
      </c>
      <c r="P79" s="9">
        <f t="shared" si="4"/>
        <v>0</v>
      </c>
      <c r="Q79" s="5"/>
      <c r="R79" s="5"/>
      <c r="S79" s="5">
        <f t="shared" si="5"/>
        <v>508.47</v>
      </c>
      <c r="T79" s="1" t="s">
        <v>20</v>
      </c>
      <c r="U79" s="1" t="s">
        <v>1742</v>
      </c>
      <c r="V79" s="1"/>
      <c r="W79" s="1"/>
      <c r="X79" s="1"/>
      <c r="Y79" s="1"/>
      <c r="Z79" s="8" t="s">
        <v>72</v>
      </c>
      <c r="AA79" s="8" t="s">
        <v>94</v>
      </c>
      <c r="AB79" s="8">
        <v>1</v>
      </c>
      <c r="AC79" s="22" t="s">
        <v>2946</v>
      </c>
      <c r="AD79" s="1"/>
      <c r="AE79" s="23"/>
      <c r="AF79" s="1">
        <v>411</v>
      </c>
      <c r="AG79" s="2"/>
    </row>
    <row r="80" spans="1:33" s="24" customFormat="1" ht="30" x14ac:dyDescent="0.25">
      <c r="A80" s="4"/>
      <c r="B80" s="4">
        <v>45016</v>
      </c>
      <c r="C80" s="1" t="s">
        <v>1991</v>
      </c>
      <c r="D80" s="224" t="s">
        <v>3490</v>
      </c>
      <c r="E80" s="6" t="s">
        <v>1768</v>
      </c>
      <c r="F80" s="234" t="s">
        <v>234</v>
      </c>
      <c r="G80" s="1" t="s">
        <v>235</v>
      </c>
      <c r="H80" s="8">
        <v>2</v>
      </c>
      <c r="I80" s="8"/>
      <c r="J80" s="115">
        <f>Table224[[#This Row],[Qty]]-Table224[[#This Row],[Issue Qty]]</f>
        <v>2</v>
      </c>
      <c r="K80" s="195"/>
      <c r="L80" s="195" t="s">
        <v>3480</v>
      </c>
      <c r="M80" s="5">
        <v>1364.405</v>
      </c>
      <c r="N80" s="5">
        <f t="shared" si="3"/>
        <v>2728.81</v>
      </c>
      <c r="O80" s="11">
        <v>0</v>
      </c>
      <c r="P80" s="9">
        <f t="shared" si="4"/>
        <v>0</v>
      </c>
      <c r="Q80" s="5"/>
      <c r="R80" s="5"/>
      <c r="S80" s="5">
        <f t="shared" si="5"/>
        <v>2728.81</v>
      </c>
      <c r="T80" s="1" t="s">
        <v>231</v>
      </c>
      <c r="U80" s="1" t="s">
        <v>1709</v>
      </c>
      <c r="V80" s="1"/>
      <c r="W80" s="1"/>
      <c r="X80" s="1"/>
      <c r="Y80" s="1"/>
      <c r="Z80" s="8" t="s">
        <v>52</v>
      </c>
      <c r="AA80" s="8" t="s">
        <v>53</v>
      </c>
      <c r="AB80" s="8"/>
      <c r="AC80" s="22"/>
      <c r="AD80" s="1"/>
      <c r="AE80" s="23" t="s">
        <v>236</v>
      </c>
      <c r="AF80" s="1">
        <v>411</v>
      </c>
      <c r="AG80" s="2"/>
    </row>
    <row r="81" spans="1:33" s="24" customFormat="1" x14ac:dyDescent="0.25">
      <c r="A81" s="4"/>
      <c r="B81" s="4">
        <v>45016</v>
      </c>
      <c r="C81" s="6" t="s">
        <v>1683</v>
      </c>
      <c r="D81" s="224" t="s">
        <v>3429</v>
      </c>
      <c r="E81" s="6" t="s">
        <v>1769</v>
      </c>
      <c r="F81" s="234" t="s">
        <v>237</v>
      </c>
      <c r="G81" s="1" t="s">
        <v>238</v>
      </c>
      <c r="H81" s="8">
        <v>2</v>
      </c>
      <c r="I81" s="8">
        <v>0</v>
      </c>
      <c r="J81" s="115">
        <f>Table224[[#This Row],[Qty]]-Table224[[#This Row],[Issue Qty]]</f>
        <v>2</v>
      </c>
      <c r="K81" s="195"/>
      <c r="L81" s="195" t="s">
        <v>3479</v>
      </c>
      <c r="M81" s="5">
        <v>3033.9</v>
      </c>
      <c r="N81" s="5">
        <f t="shared" si="3"/>
        <v>6067.8</v>
      </c>
      <c r="O81" s="11">
        <v>0</v>
      </c>
      <c r="P81" s="9">
        <f t="shared" si="4"/>
        <v>0</v>
      </c>
      <c r="Q81" s="5"/>
      <c r="R81" s="5"/>
      <c r="S81" s="5">
        <f t="shared" si="5"/>
        <v>6067.8</v>
      </c>
      <c r="T81" s="1" t="s">
        <v>2887</v>
      </c>
      <c r="U81" s="1" t="s">
        <v>1763</v>
      </c>
      <c r="V81" s="1"/>
      <c r="W81" s="1"/>
      <c r="X81" s="1"/>
      <c r="Y81" s="1"/>
      <c r="Z81" s="8" t="s">
        <v>244</v>
      </c>
      <c r="AA81" s="8"/>
      <c r="AB81" s="8"/>
      <c r="AC81" s="22"/>
      <c r="AD81" s="1"/>
      <c r="AE81" s="23" t="s">
        <v>238</v>
      </c>
      <c r="AF81" s="1">
        <v>411</v>
      </c>
      <c r="AG81" s="2"/>
    </row>
    <row r="82" spans="1:33" s="24" customFormat="1" x14ac:dyDescent="0.25">
      <c r="A82" s="4"/>
      <c r="B82" s="4">
        <v>45017</v>
      </c>
      <c r="C82" s="114" t="s">
        <v>54</v>
      </c>
      <c r="D82" s="224" t="s">
        <v>3430</v>
      </c>
      <c r="E82" s="26" t="s">
        <v>1770</v>
      </c>
      <c r="F82" s="233" t="s">
        <v>239</v>
      </c>
      <c r="G82" s="30" t="s">
        <v>240</v>
      </c>
      <c r="H82" s="8">
        <v>2</v>
      </c>
      <c r="I82" s="8">
        <v>0</v>
      </c>
      <c r="J82" s="115">
        <f>Table224[[#This Row],[Qty]]-Table224[[#This Row],[Issue Qty]]</f>
        <v>2</v>
      </c>
      <c r="K82" s="195"/>
      <c r="L82" s="195" t="s">
        <v>3479</v>
      </c>
      <c r="M82" s="5">
        <v>22900</v>
      </c>
      <c r="N82" s="5">
        <f t="shared" si="3"/>
        <v>45800</v>
      </c>
      <c r="O82" s="11">
        <v>0</v>
      </c>
      <c r="P82" s="9">
        <f t="shared" si="4"/>
        <v>0</v>
      </c>
      <c r="Q82" s="5"/>
      <c r="R82" s="5"/>
      <c r="S82" s="5">
        <f t="shared" si="5"/>
        <v>45800</v>
      </c>
      <c r="T82" s="1" t="s">
        <v>20</v>
      </c>
      <c r="U82" s="1" t="s">
        <v>37</v>
      </c>
      <c r="V82" s="1"/>
      <c r="W82" s="1"/>
      <c r="X82" s="1"/>
      <c r="Y82" s="1"/>
      <c r="Z82" s="21" t="s">
        <v>126</v>
      </c>
      <c r="AA82" s="8"/>
      <c r="AB82" s="8">
        <v>2</v>
      </c>
      <c r="AC82" s="22" t="s">
        <v>3373</v>
      </c>
      <c r="AD82" s="1"/>
      <c r="AE82" s="23"/>
      <c r="AF82" s="1"/>
      <c r="AG82" s="2"/>
    </row>
    <row r="83" spans="1:33" s="206" customFormat="1" x14ac:dyDescent="0.25">
      <c r="A83" s="4"/>
      <c r="B83" s="4">
        <v>45078</v>
      </c>
      <c r="C83" s="1" t="s">
        <v>1991</v>
      </c>
      <c r="D83" s="224" t="s">
        <v>3464</v>
      </c>
      <c r="E83" s="26" t="s">
        <v>1771</v>
      </c>
      <c r="F83" s="102" t="s">
        <v>241</v>
      </c>
      <c r="G83" s="1" t="s">
        <v>242</v>
      </c>
      <c r="H83" s="8">
        <v>1</v>
      </c>
      <c r="I83" s="8"/>
      <c r="J83" s="115">
        <f>Table224[[#This Row],[Qty]]-Table224[[#This Row],[Issue Qty]]</f>
        <v>1</v>
      </c>
      <c r="K83" s="195"/>
      <c r="L83" s="195" t="s">
        <v>3480</v>
      </c>
      <c r="M83" s="5">
        <v>7970.48</v>
      </c>
      <c r="N83" s="5">
        <f t="shared" si="3"/>
        <v>7970.48</v>
      </c>
      <c r="O83" s="11">
        <v>0.05</v>
      </c>
      <c r="P83" s="9">
        <f t="shared" si="4"/>
        <v>398.524</v>
      </c>
      <c r="Q83" s="5"/>
      <c r="R83" s="5"/>
      <c r="S83" s="5">
        <f t="shared" si="5"/>
        <v>8369.003999999999</v>
      </c>
      <c r="T83" s="1" t="s">
        <v>231</v>
      </c>
      <c r="U83" s="1" t="s">
        <v>1709</v>
      </c>
      <c r="V83" s="1" t="s">
        <v>243</v>
      </c>
      <c r="W83" s="1" t="s">
        <v>1772</v>
      </c>
      <c r="X83" s="1"/>
      <c r="Y83" s="1"/>
      <c r="Z83" s="8" t="s">
        <v>3441</v>
      </c>
      <c r="AA83" s="8"/>
      <c r="AB83" s="8"/>
      <c r="AC83" s="12" t="s">
        <v>208</v>
      </c>
      <c r="AD83" s="1"/>
      <c r="AE83" s="23"/>
      <c r="AF83" s="1"/>
      <c r="AG83" s="26"/>
    </row>
    <row r="84" spans="1:33" s="24" customFormat="1" ht="30" x14ac:dyDescent="0.25">
      <c r="A84" s="4"/>
      <c r="B84" s="4">
        <v>45085</v>
      </c>
      <c r="C84" s="6" t="s">
        <v>54</v>
      </c>
      <c r="D84" s="224" t="s">
        <v>3500</v>
      </c>
      <c r="E84" s="6" t="s">
        <v>37</v>
      </c>
      <c r="F84" s="102" t="s">
        <v>245</v>
      </c>
      <c r="G84" s="1" t="s">
        <v>245</v>
      </c>
      <c r="H84" s="8">
        <v>2</v>
      </c>
      <c r="I84" s="8">
        <v>1</v>
      </c>
      <c r="J84" s="115">
        <f>Table224[[#This Row],[Qty]]-Table224[[#This Row],[Issue Qty]]</f>
        <v>1</v>
      </c>
      <c r="K84" s="195"/>
      <c r="L84" s="195" t="s">
        <v>3480</v>
      </c>
      <c r="M84" s="5">
        <f>2614766.34/2</f>
        <v>1307383.17</v>
      </c>
      <c r="N84" s="5">
        <f t="shared" si="3"/>
        <v>2614766.34</v>
      </c>
      <c r="O84" s="11"/>
      <c r="P84" s="9">
        <f t="shared" si="4"/>
        <v>0</v>
      </c>
      <c r="Q84" s="5"/>
      <c r="R84" s="5"/>
      <c r="S84" s="5">
        <f t="shared" si="5"/>
        <v>2614766.34</v>
      </c>
      <c r="T84" s="1" t="s">
        <v>245</v>
      </c>
      <c r="U84" s="1" t="s">
        <v>245</v>
      </c>
      <c r="V84" s="1" t="s">
        <v>246</v>
      </c>
      <c r="W84" s="1"/>
      <c r="X84" s="1"/>
      <c r="Y84" s="26"/>
      <c r="Z84" s="204" t="s">
        <v>3349</v>
      </c>
      <c r="AA84" s="204"/>
      <c r="AB84" s="21">
        <v>1</v>
      </c>
      <c r="AC84" s="12" t="s">
        <v>247</v>
      </c>
      <c r="AD84" s="26"/>
      <c r="AE84" s="23"/>
      <c r="AF84" s="26"/>
      <c r="AG84" s="2"/>
    </row>
    <row r="85" spans="1:33" s="24" customFormat="1" ht="30" x14ac:dyDescent="0.25">
      <c r="A85" s="4"/>
      <c r="B85" s="4">
        <v>45111</v>
      </c>
      <c r="C85" s="6" t="s">
        <v>54</v>
      </c>
      <c r="D85" s="224" t="s">
        <v>3500</v>
      </c>
      <c r="E85" s="6" t="s">
        <v>1776</v>
      </c>
      <c r="F85" s="234" t="s">
        <v>257</v>
      </c>
      <c r="G85" s="30" t="s">
        <v>249</v>
      </c>
      <c r="H85" s="8">
        <v>1</v>
      </c>
      <c r="I85" s="8"/>
      <c r="J85" s="115">
        <f>Table224[[#This Row],[Qty]]-Table224[[#This Row],[Issue Qty]]</f>
        <v>1</v>
      </c>
      <c r="K85" s="195"/>
      <c r="L85" s="195" t="s">
        <v>3480</v>
      </c>
      <c r="M85" s="5">
        <f>15608/4</f>
        <v>3902</v>
      </c>
      <c r="N85" s="5">
        <f t="shared" si="3"/>
        <v>3902</v>
      </c>
      <c r="O85" s="11">
        <v>0</v>
      </c>
      <c r="P85" s="9">
        <f t="shared" si="4"/>
        <v>0</v>
      </c>
      <c r="Q85" s="5"/>
      <c r="R85" s="5"/>
      <c r="S85" s="5">
        <f t="shared" si="5"/>
        <v>3902</v>
      </c>
      <c r="T85" s="1" t="s">
        <v>250</v>
      </c>
      <c r="U85" s="1"/>
      <c r="V85" s="1" t="s">
        <v>251</v>
      </c>
      <c r="W85" s="1"/>
      <c r="X85" s="1"/>
      <c r="Y85" s="1"/>
      <c r="Z85" s="8" t="s">
        <v>252</v>
      </c>
      <c r="AA85" s="8"/>
      <c r="AB85" s="8"/>
      <c r="AC85" s="22"/>
      <c r="AD85" s="1" t="s">
        <v>253</v>
      </c>
      <c r="AE85" s="23" t="s">
        <v>254</v>
      </c>
      <c r="AF85" s="1"/>
      <c r="AG85" s="2"/>
    </row>
    <row r="86" spans="1:33" s="24" customFormat="1" ht="30" x14ac:dyDescent="0.25">
      <c r="A86" s="4"/>
      <c r="B86" s="4">
        <v>45111</v>
      </c>
      <c r="C86" s="6" t="s">
        <v>54</v>
      </c>
      <c r="D86" s="224" t="s">
        <v>3500</v>
      </c>
      <c r="E86" s="6" t="s">
        <v>1774</v>
      </c>
      <c r="F86" s="234" t="s">
        <v>255</v>
      </c>
      <c r="G86" s="30" t="s">
        <v>249</v>
      </c>
      <c r="H86" s="8">
        <v>1</v>
      </c>
      <c r="I86" s="8"/>
      <c r="J86" s="115">
        <f>Table224[[#This Row],[Qty]]-Table224[[#This Row],[Issue Qty]]</f>
        <v>1</v>
      </c>
      <c r="K86" s="195"/>
      <c r="L86" s="195" t="s">
        <v>3480</v>
      </c>
      <c r="M86" s="5">
        <f>15608/4</f>
        <v>3902</v>
      </c>
      <c r="N86" s="5">
        <f t="shared" si="3"/>
        <v>3902</v>
      </c>
      <c r="O86" s="11">
        <v>0</v>
      </c>
      <c r="P86" s="9">
        <f t="shared" si="4"/>
        <v>0</v>
      </c>
      <c r="Q86" s="5"/>
      <c r="R86" s="5"/>
      <c r="S86" s="5">
        <f t="shared" si="5"/>
        <v>3902</v>
      </c>
      <c r="T86" s="1" t="s">
        <v>250</v>
      </c>
      <c r="U86" s="1"/>
      <c r="V86" s="1" t="s">
        <v>251</v>
      </c>
      <c r="W86" s="1"/>
      <c r="X86" s="1"/>
      <c r="Y86" s="1"/>
      <c r="Z86" s="8" t="s">
        <v>252</v>
      </c>
      <c r="AA86" s="8"/>
      <c r="AB86" s="8"/>
      <c r="AC86" s="22"/>
      <c r="AD86" s="1" t="s">
        <v>253</v>
      </c>
      <c r="AE86" s="23" t="s">
        <v>254</v>
      </c>
      <c r="AF86" s="1"/>
      <c r="AG86" s="2"/>
    </row>
    <row r="87" spans="1:33" s="24" customFormat="1" ht="30" x14ac:dyDescent="0.25">
      <c r="A87" s="4"/>
      <c r="B87" s="4">
        <v>45111</v>
      </c>
      <c r="C87" s="6" t="s">
        <v>54</v>
      </c>
      <c r="D87" s="224" t="s">
        <v>3500</v>
      </c>
      <c r="E87" s="6" t="s">
        <v>1773</v>
      </c>
      <c r="F87" s="234" t="s">
        <v>248</v>
      </c>
      <c r="G87" s="30" t="s">
        <v>249</v>
      </c>
      <c r="H87" s="8">
        <v>1</v>
      </c>
      <c r="I87" s="8"/>
      <c r="J87" s="115">
        <f>Table224[[#This Row],[Qty]]-Table224[[#This Row],[Issue Qty]]</f>
        <v>1</v>
      </c>
      <c r="K87" s="195"/>
      <c r="L87" s="195" t="s">
        <v>3480</v>
      </c>
      <c r="M87" s="5">
        <f>15608/4</f>
        <v>3902</v>
      </c>
      <c r="N87" s="5">
        <f t="shared" si="3"/>
        <v>3902</v>
      </c>
      <c r="O87" s="11">
        <v>0</v>
      </c>
      <c r="P87" s="9">
        <f t="shared" si="4"/>
        <v>0</v>
      </c>
      <c r="Q87" s="5"/>
      <c r="R87" s="5"/>
      <c r="S87" s="5">
        <f t="shared" si="5"/>
        <v>3902</v>
      </c>
      <c r="T87" s="1" t="s">
        <v>250</v>
      </c>
      <c r="U87" s="1"/>
      <c r="V87" s="1" t="s">
        <v>251</v>
      </c>
      <c r="W87" s="1"/>
      <c r="X87" s="1"/>
      <c r="Y87" s="1"/>
      <c r="Z87" s="8" t="s">
        <v>252</v>
      </c>
      <c r="AA87" s="8"/>
      <c r="AB87" s="8"/>
      <c r="AC87" s="22"/>
      <c r="AD87" s="1" t="s">
        <v>253</v>
      </c>
      <c r="AE87" s="23" t="s">
        <v>254</v>
      </c>
      <c r="AF87" s="1"/>
      <c r="AG87" s="2"/>
    </row>
    <row r="88" spans="1:33" s="24" customFormat="1" ht="30" x14ac:dyDescent="0.25">
      <c r="A88" s="4"/>
      <c r="B88" s="4">
        <v>45111</v>
      </c>
      <c r="C88" s="6" t="s">
        <v>54</v>
      </c>
      <c r="D88" s="224" t="s">
        <v>3500</v>
      </c>
      <c r="E88" s="6" t="s">
        <v>1775</v>
      </c>
      <c r="F88" s="234" t="s">
        <v>256</v>
      </c>
      <c r="G88" s="30" t="s">
        <v>249</v>
      </c>
      <c r="H88" s="8">
        <v>1</v>
      </c>
      <c r="I88" s="8"/>
      <c r="J88" s="115">
        <f>Table224[[#This Row],[Qty]]-Table224[[#This Row],[Issue Qty]]</f>
        <v>1</v>
      </c>
      <c r="K88" s="195"/>
      <c r="L88" s="195" t="s">
        <v>3480</v>
      </c>
      <c r="M88" s="5">
        <f>15608/4</f>
        <v>3902</v>
      </c>
      <c r="N88" s="5">
        <f t="shared" si="3"/>
        <v>3902</v>
      </c>
      <c r="O88" s="11">
        <v>0</v>
      </c>
      <c r="P88" s="9">
        <f t="shared" si="4"/>
        <v>0</v>
      </c>
      <c r="Q88" s="5"/>
      <c r="R88" s="5"/>
      <c r="S88" s="5">
        <f t="shared" si="5"/>
        <v>3902</v>
      </c>
      <c r="T88" s="1" t="s">
        <v>250</v>
      </c>
      <c r="U88" s="1"/>
      <c r="V88" s="1" t="s">
        <v>251</v>
      </c>
      <c r="W88" s="1"/>
      <c r="X88" s="1"/>
      <c r="Y88" s="1"/>
      <c r="Z88" s="8" t="s">
        <v>252</v>
      </c>
      <c r="AA88" s="8"/>
      <c r="AB88" s="8"/>
      <c r="AC88" s="22"/>
      <c r="AD88" s="1" t="s">
        <v>253</v>
      </c>
      <c r="AE88" s="23" t="s">
        <v>254</v>
      </c>
      <c r="AF88" s="1"/>
      <c r="AG88" s="2"/>
    </row>
    <row r="89" spans="1:33" s="24" customFormat="1" x14ac:dyDescent="0.25">
      <c r="A89" s="32"/>
      <c r="B89" s="32">
        <v>45122</v>
      </c>
      <c r="C89" s="1" t="s">
        <v>1991</v>
      </c>
      <c r="D89" s="329" t="s">
        <v>3555</v>
      </c>
      <c r="E89" s="338" t="s">
        <v>1767</v>
      </c>
      <c r="F89" s="257" t="s">
        <v>232</v>
      </c>
      <c r="G89" s="34" t="s">
        <v>270</v>
      </c>
      <c r="H89" s="8">
        <v>1</v>
      </c>
      <c r="I89" s="204">
        <v>1</v>
      </c>
      <c r="J89" s="205">
        <f>Table224[[#This Row],[Qty]]-Table224[[#This Row],[Issue Qty]]</f>
        <v>0</v>
      </c>
      <c r="K89" s="337">
        <v>1</v>
      </c>
      <c r="L89" s="227" t="s">
        <v>3480</v>
      </c>
      <c r="M89" s="210">
        <v>501.7</v>
      </c>
      <c r="N89" s="210">
        <f t="shared" si="3"/>
        <v>501.7</v>
      </c>
      <c r="O89" s="339"/>
      <c r="P89" s="340">
        <f t="shared" si="4"/>
        <v>0</v>
      </c>
      <c r="Q89" s="210"/>
      <c r="R89" s="210"/>
      <c r="S89" s="210">
        <f t="shared" si="5"/>
        <v>501.7</v>
      </c>
      <c r="T89" s="341" t="s">
        <v>260</v>
      </c>
      <c r="U89" s="26" t="s">
        <v>1690</v>
      </c>
      <c r="V89" s="26" t="s">
        <v>243</v>
      </c>
      <c r="W89" s="26" t="s">
        <v>1778</v>
      </c>
      <c r="X89" s="26"/>
      <c r="Y89" s="39"/>
      <c r="Z89" s="35" t="s">
        <v>72</v>
      </c>
      <c r="AA89" s="35"/>
      <c r="AB89" s="35">
        <v>1</v>
      </c>
      <c r="AC89" s="42" t="s">
        <v>271</v>
      </c>
      <c r="AD89" s="39"/>
      <c r="AE89" s="43"/>
      <c r="AF89" s="39"/>
      <c r="AG89" s="39"/>
    </row>
    <row r="90" spans="1:33" s="24" customFormat="1" x14ac:dyDescent="0.25">
      <c r="A90" s="4"/>
      <c r="B90" s="4">
        <v>45122</v>
      </c>
      <c r="C90" s="6" t="s">
        <v>1683</v>
      </c>
      <c r="D90" s="224" t="s">
        <v>3439</v>
      </c>
      <c r="E90" s="6" t="s">
        <v>1780</v>
      </c>
      <c r="F90" s="234" t="s">
        <v>266</v>
      </c>
      <c r="G90" s="30" t="s">
        <v>267</v>
      </c>
      <c r="H90" s="8">
        <v>1</v>
      </c>
      <c r="I90" s="8"/>
      <c r="J90" s="115">
        <f>Table224[[#This Row],[Qty]]-Table224[[#This Row],[Issue Qty]]</f>
        <v>1</v>
      </c>
      <c r="K90" s="195"/>
      <c r="L90" s="195" t="s">
        <v>3480</v>
      </c>
      <c r="M90" s="5">
        <v>6101.69</v>
      </c>
      <c r="N90" s="5">
        <f t="shared" si="3"/>
        <v>6101.69</v>
      </c>
      <c r="O90" s="11"/>
      <c r="P90" s="9">
        <f t="shared" si="4"/>
        <v>0</v>
      </c>
      <c r="Q90" s="5"/>
      <c r="R90" s="5"/>
      <c r="S90" s="5">
        <f t="shared" si="5"/>
        <v>6101.69</v>
      </c>
      <c r="T90" s="30" t="s">
        <v>260</v>
      </c>
      <c r="U90" s="1" t="s">
        <v>1690</v>
      </c>
      <c r="V90" s="1" t="s">
        <v>243</v>
      </c>
      <c r="W90" s="1" t="s">
        <v>1778</v>
      </c>
      <c r="X90" s="1"/>
      <c r="Y90" s="26"/>
      <c r="Z90" s="8" t="s">
        <v>72</v>
      </c>
      <c r="AA90" s="204"/>
      <c r="AB90" s="21">
        <v>1</v>
      </c>
      <c r="AC90" s="12" t="s">
        <v>269</v>
      </c>
      <c r="AD90" s="26"/>
      <c r="AE90" s="31"/>
      <c r="AF90" s="26"/>
      <c r="AG90" s="2"/>
    </row>
    <row r="91" spans="1:33" s="24" customFormat="1" x14ac:dyDescent="0.25">
      <c r="A91" s="4"/>
      <c r="B91" s="4">
        <v>45122</v>
      </c>
      <c r="C91" s="6" t="s">
        <v>1683</v>
      </c>
      <c r="D91" s="224" t="s">
        <v>3439</v>
      </c>
      <c r="E91" s="6" t="s">
        <v>1779</v>
      </c>
      <c r="F91" s="257" t="s">
        <v>264</v>
      </c>
      <c r="G91" s="30" t="s">
        <v>265</v>
      </c>
      <c r="H91" s="8">
        <v>1</v>
      </c>
      <c r="I91" s="8"/>
      <c r="J91" s="115">
        <f>Table224[[#This Row],[Qty]]-Table224[[#This Row],[Issue Qty]]</f>
        <v>1</v>
      </c>
      <c r="K91" s="332">
        <v>1</v>
      </c>
      <c r="L91" s="195" t="s">
        <v>3480</v>
      </c>
      <c r="M91" s="5">
        <v>84.75</v>
      </c>
      <c r="N91" s="5">
        <f t="shared" si="3"/>
        <v>84.75</v>
      </c>
      <c r="O91" s="82">
        <v>0.18</v>
      </c>
      <c r="P91" s="9">
        <f t="shared" si="4"/>
        <v>15.254999999999999</v>
      </c>
      <c r="Q91" s="5"/>
      <c r="R91" s="5"/>
      <c r="S91" s="5">
        <f t="shared" si="5"/>
        <v>100.005</v>
      </c>
      <c r="T91" s="30" t="s">
        <v>260</v>
      </c>
      <c r="U91" s="1" t="s">
        <v>1690</v>
      </c>
      <c r="V91" s="1" t="s">
        <v>243</v>
      </c>
      <c r="W91" s="1" t="s">
        <v>1778</v>
      </c>
      <c r="X91" s="1"/>
      <c r="Y91" s="1"/>
      <c r="Z91" s="8" t="s">
        <v>72</v>
      </c>
      <c r="AA91" s="8" t="s">
        <v>117</v>
      </c>
      <c r="AB91" s="8"/>
      <c r="AC91" s="22"/>
      <c r="AD91" s="1" t="s">
        <v>3795</v>
      </c>
      <c r="AE91" s="23"/>
      <c r="AF91" s="1"/>
      <c r="AG91" s="2"/>
    </row>
    <row r="92" spans="1:33" s="44" customFormat="1" x14ac:dyDescent="0.25">
      <c r="A92" s="4"/>
      <c r="B92" s="4">
        <v>45122</v>
      </c>
      <c r="C92" s="1" t="s">
        <v>1991</v>
      </c>
      <c r="D92" s="186" t="s">
        <v>3492</v>
      </c>
      <c r="E92" s="6" t="s">
        <v>1777</v>
      </c>
      <c r="F92" s="234" t="s">
        <v>258</v>
      </c>
      <c r="G92" s="30" t="s">
        <v>259</v>
      </c>
      <c r="H92" s="8">
        <v>1</v>
      </c>
      <c r="I92" s="8"/>
      <c r="J92" s="115">
        <f>Table224[[#This Row],[Qty]]-Table224[[#This Row],[Issue Qty]]</f>
        <v>1</v>
      </c>
      <c r="K92" s="195"/>
      <c r="L92" s="195" t="s">
        <v>3480</v>
      </c>
      <c r="M92" s="5">
        <v>952.38</v>
      </c>
      <c r="N92" s="5">
        <f t="shared" si="3"/>
        <v>952.38</v>
      </c>
      <c r="O92" s="11">
        <v>0.05</v>
      </c>
      <c r="P92" s="9">
        <f t="shared" si="4"/>
        <v>47.619</v>
      </c>
      <c r="Q92" s="5"/>
      <c r="R92" s="5"/>
      <c r="S92" s="5">
        <f t="shared" si="5"/>
        <v>999.99900000000002</v>
      </c>
      <c r="T92" s="30" t="s">
        <v>260</v>
      </c>
      <c r="U92" s="1" t="s">
        <v>1690</v>
      </c>
      <c r="V92" s="1" t="s">
        <v>243</v>
      </c>
      <c r="W92" s="1" t="s">
        <v>1778</v>
      </c>
      <c r="X92" s="1"/>
      <c r="Y92" s="1"/>
      <c r="Z92" s="8" t="s">
        <v>72</v>
      </c>
      <c r="AA92" s="8" t="s">
        <v>262</v>
      </c>
      <c r="AB92" s="8"/>
      <c r="AC92" s="22"/>
      <c r="AD92" s="1"/>
      <c r="AE92" s="23" t="s">
        <v>263</v>
      </c>
      <c r="AF92" s="1"/>
      <c r="AG92" s="2"/>
    </row>
    <row r="93" spans="1:33" s="24" customFormat="1" x14ac:dyDescent="0.25">
      <c r="A93" s="4"/>
      <c r="B93" s="4">
        <v>45134</v>
      </c>
      <c r="C93" s="1" t="s">
        <v>1991</v>
      </c>
      <c r="D93" s="224" t="s">
        <v>3464</v>
      </c>
      <c r="E93" s="6" t="s">
        <v>1771</v>
      </c>
      <c r="F93" s="234" t="s">
        <v>241</v>
      </c>
      <c r="G93" s="30" t="s">
        <v>272</v>
      </c>
      <c r="H93" s="8">
        <v>1</v>
      </c>
      <c r="I93" s="8"/>
      <c r="J93" s="115">
        <f>Table224[[#This Row],[Qty]]-Table224[[#This Row],[Issue Qty]]</f>
        <v>1</v>
      </c>
      <c r="K93" s="195"/>
      <c r="L93" s="195" t="s">
        <v>3480</v>
      </c>
      <c r="M93" s="5">
        <v>13333</v>
      </c>
      <c r="N93" s="5">
        <f t="shared" si="3"/>
        <v>13333</v>
      </c>
      <c r="O93" s="11"/>
      <c r="P93" s="9">
        <f t="shared" si="4"/>
        <v>0</v>
      </c>
      <c r="Q93" s="5"/>
      <c r="R93" s="5"/>
      <c r="S93" s="5">
        <f t="shared" si="5"/>
        <v>13333</v>
      </c>
      <c r="T93" s="1" t="s">
        <v>231</v>
      </c>
      <c r="U93" s="1" t="s">
        <v>1709</v>
      </c>
      <c r="V93" s="1" t="s">
        <v>243</v>
      </c>
      <c r="W93" s="1" t="s">
        <v>1781</v>
      </c>
      <c r="X93" s="1"/>
      <c r="Y93" s="2"/>
      <c r="Z93" s="21" t="s">
        <v>244</v>
      </c>
      <c r="AA93" s="21"/>
      <c r="AB93" s="21"/>
      <c r="AC93" s="12"/>
      <c r="AD93" s="2"/>
      <c r="AE93" s="23" t="s">
        <v>273</v>
      </c>
      <c r="AF93" s="2"/>
      <c r="AG93" s="2"/>
    </row>
    <row r="94" spans="1:33" s="24" customFormat="1" ht="30" x14ac:dyDescent="0.25">
      <c r="A94" s="4"/>
      <c r="B94" s="4">
        <v>45145</v>
      </c>
      <c r="C94" s="6" t="s">
        <v>1688</v>
      </c>
      <c r="D94" s="224" t="s">
        <v>3451</v>
      </c>
      <c r="E94" s="6" t="s">
        <v>1782</v>
      </c>
      <c r="F94" s="234" t="s">
        <v>274</v>
      </c>
      <c r="G94" s="30" t="s">
        <v>275</v>
      </c>
      <c r="H94" s="8">
        <v>1</v>
      </c>
      <c r="I94" s="8"/>
      <c r="J94" s="115">
        <f>Table224[[#This Row],[Qty]]-Table224[[#This Row],[Issue Qty]]</f>
        <v>1</v>
      </c>
      <c r="K94" s="195"/>
      <c r="L94" s="195" t="s">
        <v>3480</v>
      </c>
      <c r="M94" s="5">
        <v>4480.95</v>
      </c>
      <c r="N94" s="5">
        <f t="shared" si="3"/>
        <v>4480.95</v>
      </c>
      <c r="O94" s="11">
        <v>0.05</v>
      </c>
      <c r="P94" s="9">
        <f t="shared" si="4"/>
        <v>224.04750000000001</v>
      </c>
      <c r="Q94" s="5"/>
      <c r="R94" s="5"/>
      <c r="S94" s="5">
        <f t="shared" si="5"/>
        <v>4704.9974999999995</v>
      </c>
      <c r="T94" s="1" t="s">
        <v>260</v>
      </c>
      <c r="U94" s="1" t="s">
        <v>260</v>
      </c>
      <c r="V94" s="1" t="s">
        <v>243</v>
      </c>
      <c r="W94" s="1" t="s">
        <v>1783</v>
      </c>
      <c r="X94" s="1"/>
      <c r="Y94" s="2"/>
      <c r="Z94" s="21" t="s">
        <v>339</v>
      </c>
      <c r="AA94" s="21"/>
      <c r="AB94" s="21">
        <v>1</v>
      </c>
      <c r="AC94" s="12" t="s">
        <v>3426</v>
      </c>
      <c r="AD94" s="2"/>
      <c r="AE94" s="23" t="s">
        <v>276</v>
      </c>
      <c r="AF94" s="2"/>
      <c r="AG94" s="2"/>
    </row>
    <row r="95" spans="1:33" s="24" customFormat="1" x14ac:dyDescent="0.25">
      <c r="A95" s="4"/>
      <c r="B95" s="4">
        <v>45149</v>
      </c>
      <c r="C95" s="1" t="s">
        <v>1991</v>
      </c>
      <c r="D95" s="224" t="s">
        <v>3453</v>
      </c>
      <c r="E95" s="6" t="s">
        <v>1784</v>
      </c>
      <c r="F95" s="234" t="s">
        <v>277</v>
      </c>
      <c r="G95" s="1" t="s">
        <v>278</v>
      </c>
      <c r="H95" s="8">
        <v>1</v>
      </c>
      <c r="I95" s="8">
        <v>1</v>
      </c>
      <c r="J95" s="115">
        <f>Table224[[#This Row],[Qty]]-Table224[[#This Row],[Issue Qty]]</f>
        <v>0</v>
      </c>
      <c r="K95" s="195"/>
      <c r="L95" s="195" t="s">
        <v>3480</v>
      </c>
      <c r="M95" s="5">
        <v>6693.22</v>
      </c>
      <c r="N95" s="5">
        <f t="shared" si="3"/>
        <v>6693.22</v>
      </c>
      <c r="O95" s="11"/>
      <c r="P95" s="9">
        <f t="shared" si="4"/>
        <v>0</v>
      </c>
      <c r="Q95" s="5">
        <v>0</v>
      </c>
      <c r="R95" s="5"/>
      <c r="S95" s="5">
        <f t="shared" si="5"/>
        <v>6693.22</v>
      </c>
      <c r="T95" s="1" t="s">
        <v>231</v>
      </c>
      <c r="U95" s="1" t="s">
        <v>1709</v>
      </c>
      <c r="V95" s="1" t="s">
        <v>279</v>
      </c>
      <c r="W95" s="1" t="s">
        <v>1785</v>
      </c>
      <c r="X95" s="6" t="s">
        <v>1786</v>
      </c>
      <c r="Y95" s="2"/>
      <c r="Z95" s="21" t="s">
        <v>3739</v>
      </c>
      <c r="AA95" s="21"/>
      <c r="AB95" s="21"/>
      <c r="AC95" s="12"/>
      <c r="AD95" s="2"/>
      <c r="AE95" s="23" t="s">
        <v>273</v>
      </c>
      <c r="AF95" s="2"/>
      <c r="AG95" s="2"/>
    </row>
    <row r="96" spans="1:33" s="24" customFormat="1" ht="30" x14ac:dyDescent="0.25">
      <c r="A96" s="4"/>
      <c r="B96" s="4">
        <v>45149</v>
      </c>
      <c r="C96" s="6" t="s">
        <v>54</v>
      </c>
      <c r="D96" s="224" t="s">
        <v>3500</v>
      </c>
      <c r="E96" s="6" t="s">
        <v>1787</v>
      </c>
      <c r="F96" s="234" t="s">
        <v>280</v>
      </c>
      <c r="G96" s="1" t="s">
        <v>280</v>
      </c>
      <c r="H96" s="8">
        <v>1</v>
      </c>
      <c r="I96" s="8">
        <v>0</v>
      </c>
      <c r="J96" s="115">
        <f>Table224[[#This Row],[Qty]]-Table224[[#This Row],[Issue Qty]]</f>
        <v>1</v>
      </c>
      <c r="K96" s="195"/>
      <c r="L96" s="195" t="s">
        <v>3480</v>
      </c>
      <c r="M96" s="5">
        <v>3499</v>
      </c>
      <c r="N96" s="5">
        <f t="shared" si="3"/>
        <v>3499</v>
      </c>
      <c r="O96" s="11"/>
      <c r="P96" s="9">
        <f t="shared" si="4"/>
        <v>0</v>
      </c>
      <c r="Q96" s="5">
        <v>108</v>
      </c>
      <c r="R96" s="45"/>
      <c r="S96" s="5">
        <f t="shared" si="5"/>
        <v>3607</v>
      </c>
      <c r="T96" s="1" t="s">
        <v>231</v>
      </c>
      <c r="U96" s="1" t="s">
        <v>1709</v>
      </c>
      <c r="V96" s="1" t="s">
        <v>281</v>
      </c>
      <c r="W96" s="1">
        <v>6440</v>
      </c>
      <c r="X96" s="6"/>
      <c r="Y96" s="26"/>
      <c r="Z96" s="21" t="s">
        <v>3441</v>
      </c>
      <c r="AA96" s="204"/>
      <c r="AB96" s="21">
        <v>1</v>
      </c>
      <c r="AC96" s="12" t="s">
        <v>208</v>
      </c>
      <c r="AD96" s="26"/>
      <c r="AE96" s="23" t="s">
        <v>273</v>
      </c>
      <c r="AF96" s="26"/>
      <c r="AG96" s="2"/>
    </row>
    <row r="97" spans="1:33" s="24" customFormat="1" x14ac:dyDescent="0.25">
      <c r="A97" s="4"/>
      <c r="B97" s="4">
        <v>45163</v>
      </c>
      <c r="C97" s="1" t="s">
        <v>1991</v>
      </c>
      <c r="D97" s="224" t="s">
        <v>3490</v>
      </c>
      <c r="E97" s="26" t="s">
        <v>1788</v>
      </c>
      <c r="F97" s="168" t="s">
        <v>282</v>
      </c>
      <c r="G97" s="1" t="s">
        <v>283</v>
      </c>
      <c r="H97" s="8">
        <v>1</v>
      </c>
      <c r="I97" s="8"/>
      <c r="J97" s="115">
        <f>Table224[[#This Row],[Qty]]-Table224[[#This Row],[Issue Qty]]</f>
        <v>1</v>
      </c>
      <c r="K97" s="195"/>
      <c r="L97" s="195" t="s">
        <v>3480</v>
      </c>
      <c r="M97" s="5">
        <v>1638.14</v>
      </c>
      <c r="N97" s="5">
        <f t="shared" si="3"/>
        <v>1638.14</v>
      </c>
      <c r="O97" s="11">
        <v>0.18</v>
      </c>
      <c r="P97" s="9">
        <f t="shared" si="4"/>
        <v>294.86520000000002</v>
      </c>
      <c r="Q97" s="5">
        <v>0</v>
      </c>
      <c r="R97" s="5"/>
      <c r="S97" s="5">
        <f t="shared" si="5"/>
        <v>1933.0052000000001</v>
      </c>
      <c r="T97" s="1" t="s">
        <v>20</v>
      </c>
      <c r="U97" s="1" t="s">
        <v>1709</v>
      </c>
      <c r="V97" s="1" t="s">
        <v>243</v>
      </c>
      <c r="W97" s="1" t="s">
        <v>1789</v>
      </c>
      <c r="X97" s="1"/>
      <c r="Y97" s="1"/>
      <c r="Z97" s="8" t="s">
        <v>52</v>
      </c>
      <c r="AA97" s="8" t="s">
        <v>53</v>
      </c>
      <c r="AB97" s="8"/>
      <c r="AC97" s="22"/>
      <c r="AD97" s="1" t="s">
        <v>3549</v>
      </c>
      <c r="AE97" s="23"/>
      <c r="AF97" s="6"/>
      <c r="AG97" s="2"/>
    </row>
    <row r="98" spans="1:33" s="24" customFormat="1" x14ac:dyDescent="0.25">
      <c r="A98" s="4"/>
      <c r="B98" s="4">
        <v>45163</v>
      </c>
      <c r="C98" s="1" t="s">
        <v>1991</v>
      </c>
      <c r="D98" s="224" t="s">
        <v>3443</v>
      </c>
      <c r="E98" s="6" t="s">
        <v>1790</v>
      </c>
      <c r="F98" s="234" t="s">
        <v>284</v>
      </c>
      <c r="G98" s="1" t="s">
        <v>272</v>
      </c>
      <c r="H98" s="8">
        <v>1</v>
      </c>
      <c r="I98" s="8"/>
      <c r="J98" s="115">
        <f>Table224[[#This Row],[Qty]]-Table224[[#This Row],[Issue Qty]]</f>
        <v>1</v>
      </c>
      <c r="K98" s="195"/>
      <c r="L98" s="195" t="s">
        <v>3480</v>
      </c>
      <c r="M98" s="5">
        <v>14665</v>
      </c>
      <c r="N98" s="5">
        <f t="shared" si="3"/>
        <v>14665</v>
      </c>
      <c r="O98" s="11">
        <v>0.05</v>
      </c>
      <c r="P98" s="9">
        <f t="shared" si="4"/>
        <v>733.25</v>
      </c>
      <c r="Q98" s="5">
        <v>0</v>
      </c>
      <c r="R98" s="5"/>
      <c r="S98" s="5">
        <f t="shared" si="5"/>
        <v>15398.25</v>
      </c>
      <c r="T98" s="1" t="s">
        <v>20</v>
      </c>
      <c r="U98" s="1" t="s">
        <v>1709</v>
      </c>
      <c r="V98" s="1" t="s">
        <v>243</v>
      </c>
      <c r="W98" s="1" t="s">
        <v>1789</v>
      </c>
      <c r="X98" s="1"/>
      <c r="Y98" s="1"/>
      <c r="Z98" s="8" t="s">
        <v>25</v>
      </c>
      <c r="AA98" s="8"/>
      <c r="AB98" s="8"/>
      <c r="AC98" s="22"/>
      <c r="AD98" s="1"/>
      <c r="AE98" s="23"/>
      <c r="AF98" s="6"/>
      <c r="AG98" s="2"/>
    </row>
    <row r="99" spans="1:33" s="24" customFormat="1" x14ac:dyDescent="0.25">
      <c r="A99" s="4"/>
      <c r="B99" s="4">
        <v>45171</v>
      </c>
      <c r="C99" s="1" t="s">
        <v>1991</v>
      </c>
      <c r="D99" s="224" t="s">
        <v>286</v>
      </c>
      <c r="E99" s="26" t="s">
        <v>1791</v>
      </c>
      <c r="F99" s="233" t="s">
        <v>285</v>
      </c>
      <c r="G99" s="1" t="s">
        <v>286</v>
      </c>
      <c r="H99" s="8">
        <v>1</v>
      </c>
      <c r="I99" s="8"/>
      <c r="J99" s="115">
        <f>Table224[[#This Row],[Qty]]-Table224[[#This Row],[Issue Qty]]</f>
        <v>1</v>
      </c>
      <c r="K99" s="195"/>
      <c r="L99" s="195" t="s">
        <v>3480</v>
      </c>
      <c r="M99" s="5">
        <v>27235.22</v>
      </c>
      <c r="N99" s="5">
        <f t="shared" si="3"/>
        <v>27235.22</v>
      </c>
      <c r="O99" s="11">
        <v>0</v>
      </c>
      <c r="P99" s="9">
        <f t="shared" si="4"/>
        <v>0</v>
      </c>
      <c r="Q99" s="5">
        <v>8301.6</v>
      </c>
      <c r="R99" s="5"/>
      <c r="S99" s="5">
        <f t="shared" si="5"/>
        <v>35536.82</v>
      </c>
      <c r="T99" s="1" t="s">
        <v>20</v>
      </c>
      <c r="U99" s="1" t="s">
        <v>1709</v>
      </c>
      <c r="V99" s="1" t="s">
        <v>287</v>
      </c>
      <c r="W99" s="1">
        <v>1001097633</v>
      </c>
      <c r="X99" s="1"/>
      <c r="Y99" s="1"/>
      <c r="Z99" s="8" t="s">
        <v>25</v>
      </c>
      <c r="AA99" s="8"/>
      <c r="AB99" s="8"/>
      <c r="AC99" s="22"/>
      <c r="AD99" s="1"/>
      <c r="AE99" s="23"/>
      <c r="AF99" s="1"/>
      <c r="AG99" s="2"/>
    </row>
    <row r="100" spans="1:33" s="206" customFormat="1" ht="30" x14ac:dyDescent="0.25">
      <c r="A100" s="4"/>
      <c r="B100" s="4">
        <v>45176</v>
      </c>
      <c r="C100" s="6" t="s">
        <v>1688</v>
      </c>
      <c r="D100" s="224" t="s">
        <v>3451</v>
      </c>
      <c r="E100" s="26" t="s">
        <v>1792</v>
      </c>
      <c r="F100" s="233" t="s">
        <v>288</v>
      </c>
      <c r="G100" s="1" t="s">
        <v>289</v>
      </c>
      <c r="H100" s="8">
        <v>1</v>
      </c>
      <c r="I100" s="8"/>
      <c r="J100" s="115">
        <f>Table224[[#This Row],[Qty]]-Table224[[#This Row],[Issue Qty]]</f>
        <v>1</v>
      </c>
      <c r="K100" s="195"/>
      <c r="L100" s="195" t="s">
        <v>3480</v>
      </c>
      <c r="M100" s="5">
        <v>12500</v>
      </c>
      <c r="N100" s="5">
        <f t="shared" si="3"/>
        <v>12500</v>
      </c>
      <c r="O100" s="11">
        <v>0.18</v>
      </c>
      <c r="P100" s="9">
        <f t="shared" si="4"/>
        <v>2250</v>
      </c>
      <c r="Q100" s="5">
        <v>0</v>
      </c>
      <c r="R100" s="5"/>
      <c r="S100" s="5">
        <f t="shared" si="5"/>
        <v>14750</v>
      </c>
      <c r="T100" s="1" t="s">
        <v>20</v>
      </c>
      <c r="U100" s="1" t="s">
        <v>1709</v>
      </c>
      <c r="V100" s="1" t="s">
        <v>290</v>
      </c>
      <c r="W100" s="1" t="s">
        <v>1793</v>
      </c>
      <c r="X100" s="1"/>
      <c r="Y100" s="1"/>
      <c r="Z100" s="8" t="s">
        <v>29</v>
      </c>
      <c r="AA100" s="8"/>
      <c r="AB100" s="8"/>
      <c r="AC100" s="22"/>
      <c r="AD100" s="1"/>
      <c r="AE100" s="23"/>
      <c r="AF100" s="1"/>
      <c r="AG100" s="26"/>
    </row>
    <row r="101" spans="1:33" s="24" customFormat="1" x14ac:dyDescent="0.25">
      <c r="A101" s="4"/>
      <c r="B101" s="4">
        <v>45180</v>
      </c>
      <c r="C101" s="6" t="s">
        <v>1688</v>
      </c>
      <c r="D101" s="224" t="s">
        <v>3450</v>
      </c>
      <c r="E101" s="26" t="s">
        <v>1794</v>
      </c>
      <c r="F101" s="233" t="s">
        <v>291</v>
      </c>
      <c r="G101" s="1" t="s">
        <v>292</v>
      </c>
      <c r="H101" s="8">
        <v>1</v>
      </c>
      <c r="I101" s="8"/>
      <c r="J101" s="115">
        <f>Table224[[#This Row],[Qty]]-Table224[[#This Row],[Issue Qty]]</f>
        <v>1</v>
      </c>
      <c r="K101" s="195"/>
      <c r="L101" s="195" t="s">
        <v>3480</v>
      </c>
      <c r="M101" s="5">
        <v>3046.67</v>
      </c>
      <c r="N101" s="5">
        <f t="shared" si="3"/>
        <v>3046.67</v>
      </c>
      <c r="O101" s="11">
        <v>0.05</v>
      </c>
      <c r="P101" s="9">
        <f t="shared" si="4"/>
        <v>152.33350000000002</v>
      </c>
      <c r="Q101" s="5"/>
      <c r="R101" s="5"/>
      <c r="S101" s="5">
        <f t="shared" si="5"/>
        <v>3199.0035000000003</v>
      </c>
      <c r="T101" s="1" t="s">
        <v>20</v>
      </c>
      <c r="U101" s="1" t="s">
        <v>1709</v>
      </c>
      <c r="V101" s="1" t="s">
        <v>243</v>
      </c>
      <c r="W101" s="1" t="s">
        <v>1795</v>
      </c>
      <c r="X101" s="1"/>
      <c r="Y101" s="1"/>
      <c r="Z101" s="8" t="s">
        <v>29</v>
      </c>
      <c r="AA101" s="8"/>
      <c r="AB101" s="8"/>
      <c r="AC101" s="22"/>
      <c r="AD101" s="1"/>
      <c r="AE101" s="23"/>
      <c r="AF101" s="1"/>
      <c r="AG101" s="2"/>
    </row>
    <row r="102" spans="1:33" s="258" customFormat="1" ht="30" x14ac:dyDescent="0.25">
      <c r="A102" s="4"/>
      <c r="B102" s="4">
        <v>45190</v>
      </c>
      <c r="C102" s="6" t="s">
        <v>1683</v>
      </c>
      <c r="D102" s="224" t="s">
        <v>3429</v>
      </c>
      <c r="E102" s="6" t="s">
        <v>1797</v>
      </c>
      <c r="F102" s="234" t="s">
        <v>296</v>
      </c>
      <c r="G102" s="1" t="s">
        <v>297</v>
      </c>
      <c r="H102" s="8">
        <v>4</v>
      </c>
      <c r="I102" s="8">
        <v>0</v>
      </c>
      <c r="J102" s="115">
        <f>Table224[[#This Row],[Qty]]-Table224[[#This Row],[Issue Qty]]</f>
        <v>4</v>
      </c>
      <c r="K102" s="195"/>
      <c r="L102" s="195" t="s">
        <v>3480</v>
      </c>
      <c r="M102" s="5">
        <v>1691.57</v>
      </c>
      <c r="N102" s="5">
        <f t="shared" si="3"/>
        <v>6766.28</v>
      </c>
      <c r="O102" s="11"/>
      <c r="P102" s="9">
        <f t="shared" si="4"/>
        <v>0</v>
      </c>
      <c r="Q102" s="5">
        <v>0</v>
      </c>
      <c r="R102" s="5"/>
      <c r="S102" s="5">
        <f t="shared" si="5"/>
        <v>6766.28</v>
      </c>
      <c r="T102" s="1" t="s">
        <v>20</v>
      </c>
      <c r="U102" s="1" t="s">
        <v>1709</v>
      </c>
      <c r="V102" s="1" t="s">
        <v>287</v>
      </c>
      <c r="W102" s="1" t="s">
        <v>1798</v>
      </c>
      <c r="X102" s="1"/>
      <c r="Y102" s="2"/>
      <c r="Z102" s="21" t="s">
        <v>3441</v>
      </c>
      <c r="AA102" s="21"/>
      <c r="AB102" s="21">
        <v>4</v>
      </c>
      <c r="AC102" s="12" t="s">
        <v>208</v>
      </c>
      <c r="AD102" s="2"/>
      <c r="AE102" s="23" t="s">
        <v>273</v>
      </c>
      <c r="AF102" s="2"/>
      <c r="AG102" s="2"/>
    </row>
    <row r="103" spans="1:33" s="258" customFormat="1" ht="30" x14ac:dyDescent="0.25">
      <c r="A103" s="4"/>
      <c r="B103" s="4">
        <v>45197</v>
      </c>
      <c r="C103" s="1" t="s">
        <v>1991</v>
      </c>
      <c r="D103" s="224" t="s">
        <v>3459</v>
      </c>
      <c r="E103" s="26" t="s">
        <v>1718</v>
      </c>
      <c r="F103" s="233" t="s">
        <v>110</v>
      </c>
      <c r="G103" s="1" t="s">
        <v>298</v>
      </c>
      <c r="H103" s="8">
        <v>2</v>
      </c>
      <c r="I103" s="8">
        <v>0</v>
      </c>
      <c r="J103" s="115">
        <f>Table224[[#This Row],[Qty]]-Table224[[#This Row],[Issue Qty]]</f>
        <v>2</v>
      </c>
      <c r="K103" s="195"/>
      <c r="L103" s="195" t="s">
        <v>3480</v>
      </c>
      <c r="M103" s="5">
        <v>1525.425</v>
      </c>
      <c r="N103" s="5">
        <f t="shared" si="3"/>
        <v>3050.85</v>
      </c>
      <c r="O103" s="11">
        <v>0.18</v>
      </c>
      <c r="P103" s="9">
        <f t="shared" si="4"/>
        <v>549.15300000000002</v>
      </c>
      <c r="Q103" s="5">
        <v>0</v>
      </c>
      <c r="R103" s="5"/>
      <c r="S103" s="5">
        <f t="shared" si="5"/>
        <v>3600.0029999999997</v>
      </c>
      <c r="T103" s="1" t="s">
        <v>20</v>
      </c>
      <c r="U103" s="1" t="s">
        <v>1799</v>
      </c>
      <c r="V103" s="1" t="s">
        <v>243</v>
      </c>
      <c r="W103" s="1" t="s">
        <v>1800</v>
      </c>
      <c r="X103" s="1"/>
      <c r="Y103" s="1"/>
      <c r="Z103" s="21" t="s">
        <v>72</v>
      </c>
      <c r="AA103" s="21" t="s">
        <v>94</v>
      </c>
      <c r="AB103" s="8"/>
      <c r="AC103" s="22"/>
      <c r="AD103" s="1"/>
      <c r="AE103" s="23" t="s">
        <v>299</v>
      </c>
      <c r="AF103" s="1"/>
      <c r="AG103" s="2"/>
    </row>
    <row r="104" spans="1:33" s="24" customFormat="1" ht="30" x14ac:dyDescent="0.25">
      <c r="A104" s="4"/>
      <c r="B104" s="4">
        <v>45204</v>
      </c>
      <c r="C104" s="6" t="s">
        <v>1688</v>
      </c>
      <c r="D104" s="224" t="s">
        <v>3451</v>
      </c>
      <c r="E104" s="6" t="s">
        <v>1801</v>
      </c>
      <c r="F104" s="234" t="s">
        <v>300</v>
      </c>
      <c r="G104" s="1" t="s">
        <v>301</v>
      </c>
      <c r="H104" s="8">
        <v>1</v>
      </c>
      <c r="I104" s="8">
        <v>1</v>
      </c>
      <c r="J104" s="115">
        <f>Table224[[#This Row],[Qty]]-Table224[[#This Row],[Issue Qty]]</f>
        <v>0</v>
      </c>
      <c r="K104" s="195"/>
      <c r="L104" s="195" t="s">
        <v>3480</v>
      </c>
      <c r="M104" s="5">
        <v>76190.48</v>
      </c>
      <c r="N104" s="5">
        <f t="shared" si="3"/>
        <v>76190.48</v>
      </c>
      <c r="O104" s="82"/>
      <c r="P104" s="9">
        <f t="shared" si="4"/>
        <v>0</v>
      </c>
      <c r="Q104" s="5">
        <f>480/3</f>
        <v>160</v>
      </c>
      <c r="R104" s="5"/>
      <c r="S104" s="5">
        <f t="shared" si="5"/>
        <v>76350.48</v>
      </c>
      <c r="T104" s="1" t="s">
        <v>20</v>
      </c>
      <c r="U104" s="1" t="s">
        <v>20</v>
      </c>
      <c r="V104" s="1" t="s">
        <v>302</v>
      </c>
      <c r="W104" s="1" t="s">
        <v>1802</v>
      </c>
      <c r="X104" s="1"/>
      <c r="Y104" s="1"/>
      <c r="Z104" s="8" t="s">
        <v>3349</v>
      </c>
      <c r="AA104" s="8"/>
      <c r="AB104" s="8">
        <v>1</v>
      </c>
      <c r="AC104" s="22" t="s">
        <v>226</v>
      </c>
      <c r="AD104" s="1"/>
      <c r="AE104" s="23"/>
      <c r="AF104" s="1"/>
      <c r="AG104" s="2"/>
    </row>
    <row r="105" spans="1:33" s="24" customFormat="1" x14ac:dyDescent="0.25">
      <c r="A105" s="4"/>
      <c r="B105" s="4">
        <v>45210</v>
      </c>
      <c r="C105" s="6" t="s">
        <v>54</v>
      </c>
      <c r="D105" s="224" t="s">
        <v>3430</v>
      </c>
      <c r="E105" s="6" t="s">
        <v>1803</v>
      </c>
      <c r="F105" s="234" t="s">
        <v>303</v>
      </c>
      <c r="G105" s="1" t="s">
        <v>304</v>
      </c>
      <c r="H105" s="8">
        <v>3</v>
      </c>
      <c r="I105" s="8"/>
      <c r="J105" s="115">
        <f>Table224[[#This Row],[Qty]]-Table224[[#This Row],[Issue Qty]]</f>
        <v>3</v>
      </c>
      <c r="K105" s="195"/>
      <c r="L105" s="195" t="s">
        <v>3479</v>
      </c>
      <c r="M105" s="5">
        <v>3095.24</v>
      </c>
      <c r="N105" s="5">
        <f t="shared" si="3"/>
        <v>9285.7199999999993</v>
      </c>
      <c r="O105" s="11">
        <v>0.05</v>
      </c>
      <c r="P105" s="9">
        <f t="shared" si="4"/>
        <v>464.286</v>
      </c>
      <c r="Q105" s="5">
        <v>762.71</v>
      </c>
      <c r="R105" s="5"/>
      <c r="S105" s="5">
        <f t="shared" si="5"/>
        <v>10512.716</v>
      </c>
      <c r="T105" s="1" t="s">
        <v>20</v>
      </c>
      <c r="U105" s="1" t="s">
        <v>20</v>
      </c>
      <c r="V105" s="1" t="s">
        <v>302</v>
      </c>
      <c r="W105" s="1" t="s">
        <v>1804</v>
      </c>
      <c r="X105" s="1"/>
      <c r="Y105" s="1"/>
      <c r="Z105" s="21" t="s">
        <v>156</v>
      </c>
      <c r="AA105" s="21" t="s">
        <v>157</v>
      </c>
      <c r="AB105" s="8"/>
      <c r="AC105" s="22"/>
      <c r="AD105" s="1"/>
      <c r="AE105" s="23"/>
      <c r="AF105" s="1"/>
      <c r="AG105" s="2"/>
    </row>
    <row r="106" spans="1:33" s="24" customFormat="1" x14ac:dyDescent="0.25">
      <c r="A106" s="4"/>
      <c r="B106" s="4">
        <v>45215</v>
      </c>
      <c r="C106" s="6" t="s">
        <v>1695</v>
      </c>
      <c r="D106" s="224" t="s">
        <v>3457</v>
      </c>
      <c r="E106" s="6" t="s">
        <v>1805</v>
      </c>
      <c r="F106" s="234" t="s">
        <v>305</v>
      </c>
      <c r="G106" s="1" t="s">
        <v>306</v>
      </c>
      <c r="H106" s="8">
        <v>1</v>
      </c>
      <c r="I106" s="8"/>
      <c r="J106" s="115">
        <f>Table224[[#This Row],[Qty]]-Table224[[#This Row],[Issue Qty]]</f>
        <v>1</v>
      </c>
      <c r="K106" s="195"/>
      <c r="L106" s="195" t="s">
        <v>3480</v>
      </c>
      <c r="M106" s="5">
        <v>1366799.62</v>
      </c>
      <c r="N106" s="5">
        <f t="shared" si="3"/>
        <v>1366799.62</v>
      </c>
      <c r="O106" s="11">
        <v>0</v>
      </c>
      <c r="P106" s="9">
        <f t="shared" si="4"/>
        <v>0</v>
      </c>
      <c r="Q106" s="5">
        <v>447259.01</v>
      </c>
      <c r="R106" s="5"/>
      <c r="S106" s="5">
        <f t="shared" si="5"/>
        <v>1814058.6300000001</v>
      </c>
      <c r="T106" s="1" t="s">
        <v>20</v>
      </c>
      <c r="U106" s="1" t="s">
        <v>307</v>
      </c>
      <c r="V106" s="1" t="s">
        <v>308</v>
      </c>
      <c r="W106" s="1" t="s">
        <v>1806</v>
      </c>
      <c r="X106" s="1"/>
      <c r="Y106" s="1"/>
      <c r="Z106" s="8" t="s">
        <v>133</v>
      </c>
      <c r="AA106" s="8"/>
      <c r="AB106" s="8">
        <v>1</v>
      </c>
      <c r="AC106" s="22" t="s">
        <v>3515</v>
      </c>
      <c r="AD106" s="1"/>
      <c r="AE106" s="23" t="s">
        <v>309</v>
      </c>
      <c r="AF106" s="1" t="s">
        <v>1635</v>
      </c>
      <c r="AG106" s="2"/>
    </row>
    <row r="107" spans="1:33" s="24" customFormat="1" x14ac:dyDescent="0.25">
      <c r="A107" s="4"/>
      <c r="B107" s="4">
        <v>45219</v>
      </c>
      <c r="C107" s="6" t="s">
        <v>1695</v>
      </c>
      <c r="D107" s="224" t="s">
        <v>311</v>
      </c>
      <c r="E107" s="6" t="s">
        <v>1807</v>
      </c>
      <c r="F107" s="234" t="s">
        <v>310</v>
      </c>
      <c r="G107" s="1" t="s">
        <v>311</v>
      </c>
      <c r="H107" s="8">
        <v>3</v>
      </c>
      <c r="I107" s="8"/>
      <c r="J107" s="115">
        <f>Table224[[#This Row],[Qty]]-Table224[[#This Row],[Issue Qty]]</f>
        <v>3</v>
      </c>
      <c r="K107" s="195"/>
      <c r="L107" s="195" t="s">
        <v>3480</v>
      </c>
      <c r="M107" s="5">
        <v>33655</v>
      </c>
      <c r="N107" s="5">
        <f t="shared" si="3"/>
        <v>100965</v>
      </c>
      <c r="O107" s="11"/>
      <c r="P107" s="9">
        <f t="shared" si="4"/>
        <v>0</v>
      </c>
      <c r="Q107" s="5">
        <v>125</v>
      </c>
      <c r="R107" s="5"/>
      <c r="S107" s="5">
        <f t="shared" si="5"/>
        <v>101090</v>
      </c>
      <c r="T107" s="1" t="s">
        <v>20</v>
      </c>
      <c r="U107" s="1" t="s">
        <v>307</v>
      </c>
      <c r="V107" s="1" t="s">
        <v>312</v>
      </c>
      <c r="W107" s="1" t="s">
        <v>1808</v>
      </c>
      <c r="X107" s="1"/>
      <c r="Y107" s="1"/>
      <c r="Z107" s="8" t="s">
        <v>313</v>
      </c>
      <c r="AA107" s="8"/>
      <c r="AB107" s="8"/>
      <c r="AC107" s="22"/>
      <c r="AD107" s="1"/>
      <c r="AE107" s="23"/>
      <c r="AF107" s="1"/>
      <c r="AG107" s="2"/>
    </row>
    <row r="108" spans="1:33" s="24" customFormat="1" x14ac:dyDescent="0.25">
      <c r="A108" s="4"/>
      <c r="B108" s="4">
        <v>45219</v>
      </c>
      <c r="C108" s="6" t="s">
        <v>1695</v>
      </c>
      <c r="D108" s="224" t="s">
        <v>3453</v>
      </c>
      <c r="E108" s="26" t="s">
        <v>1809</v>
      </c>
      <c r="F108" s="233" t="s">
        <v>314</v>
      </c>
      <c r="G108" s="1" t="s">
        <v>315</v>
      </c>
      <c r="H108" s="8">
        <v>3</v>
      </c>
      <c r="I108" s="8"/>
      <c r="J108" s="115">
        <f>Table224[[#This Row],[Qty]]-Table224[[#This Row],[Issue Qty]]</f>
        <v>3</v>
      </c>
      <c r="K108" s="195"/>
      <c r="L108" s="195" t="s">
        <v>3480</v>
      </c>
      <c r="M108" s="5">
        <v>144000</v>
      </c>
      <c r="N108" s="5">
        <f t="shared" si="3"/>
        <v>432000</v>
      </c>
      <c r="O108" s="11"/>
      <c r="P108" s="9">
        <f t="shared" si="4"/>
        <v>0</v>
      </c>
      <c r="Q108" s="5">
        <v>125</v>
      </c>
      <c r="R108" s="5"/>
      <c r="S108" s="5">
        <f t="shared" si="5"/>
        <v>432125</v>
      </c>
      <c r="T108" s="1" t="s">
        <v>20</v>
      </c>
      <c r="U108" s="1" t="s">
        <v>307</v>
      </c>
      <c r="V108" s="1" t="s">
        <v>312</v>
      </c>
      <c r="W108" s="1" t="s">
        <v>1808</v>
      </c>
      <c r="X108" s="1"/>
      <c r="Y108" s="2"/>
      <c r="Z108" s="8" t="s">
        <v>313</v>
      </c>
      <c r="AA108" s="21"/>
      <c r="AB108" s="21">
        <v>2</v>
      </c>
      <c r="AC108" s="12"/>
      <c r="AD108" s="2"/>
      <c r="AE108" s="23"/>
      <c r="AF108" s="2"/>
      <c r="AG108" s="2"/>
    </row>
    <row r="109" spans="1:33" s="24" customFormat="1" ht="30" x14ac:dyDescent="0.25">
      <c r="A109" s="4"/>
      <c r="B109" s="4">
        <v>45239</v>
      </c>
      <c r="C109" s="6" t="s">
        <v>1695</v>
      </c>
      <c r="D109" s="224" t="s">
        <v>3457</v>
      </c>
      <c r="E109" s="6" t="s">
        <v>1810</v>
      </c>
      <c r="F109" s="234" t="s">
        <v>316</v>
      </c>
      <c r="G109" s="1" t="s">
        <v>316</v>
      </c>
      <c r="H109" s="8">
        <v>1</v>
      </c>
      <c r="I109" s="8"/>
      <c r="J109" s="115">
        <f>Table224[[#This Row],[Qty]]-Table224[[#This Row],[Issue Qty]]</f>
        <v>1</v>
      </c>
      <c r="K109" s="195"/>
      <c r="L109" s="195" t="s">
        <v>3480</v>
      </c>
      <c r="M109" s="5">
        <v>11763.56</v>
      </c>
      <c r="N109" s="5">
        <f t="shared" si="3"/>
        <v>11763.56</v>
      </c>
      <c r="O109" s="11">
        <v>0.18</v>
      </c>
      <c r="P109" s="9">
        <f t="shared" si="4"/>
        <v>2117.4407999999999</v>
      </c>
      <c r="Q109" s="5"/>
      <c r="R109" s="5"/>
      <c r="S109" s="5">
        <f t="shared" si="5"/>
        <v>13881.0008</v>
      </c>
      <c r="T109" s="46"/>
      <c r="U109" s="1"/>
      <c r="V109" s="47" t="s">
        <v>243</v>
      </c>
      <c r="W109" s="46" t="s">
        <v>1811</v>
      </c>
      <c r="X109" s="1"/>
      <c r="Y109" s="2"/>
      <c r="Z109" s="21" t="s">
        <v>98</v>
      </c>
      <c r="AA109" s="21" t="s">
        <v>99</v>
      </c>
      <c r="AB109" s="21"/>
      <c r="AC109" s="12"/>
      <c r="AD109" s="2" t="s">
        <v>317</v>
      </c>
      <c r="AE109" s="23" t="s">
        <v>318</v>
      </c>
      <c r="AF109" s="2"/>
      <c r="AG109" s="2"/>
    </row>
    <row r="110" spans="1:33" s="24" customFormat="1" x14ac:dyDescent="0.25">
      <c r="A110" s="4"/>
      <c r="B110" s="4">
        <v>45245</v>
      </c>
      <c r="C110" s="1" t="s">
        <v>1991</v>
      </c>
      <c r="D110" s="224" t="s">
        <v>3529</v>
      </c>
      <c r="E110" s="26" t="s">
        <v>1812</v>
      </c>
      <c r="F110" s="233" t="s">
        <v>319</v>
      </c>
      <c r="G110" s="1" t="s">
        <v>320</v>
      </c>
      <c r="H110" s="8">
        <v>1</v>
      </c>
      <c r="I110" s="8"/>
      <c r="J110" s="115">
        <f>Table224[[#This Row],[Qty]]-Table224[[#This Row],[Issue Qty]]</f>
        <v>1</v>
      </c>
      <c r="K110" s="195"/>
      <c r="L110" s="195" t="s">
        <v>3480</v>
      </c>
      <c r="M110" s="5">
        <v>3041.53</v>
      </c>
      <c r="N110" s="5">
        <f t="shared" si="3"/>
        <v>3041.53</v>
      </c>
      <c r="O110" s="11">
        <v>0.18</v>
      </c>
      <c r="P110" s="9">
        <f t="shared" si="4"/>
        <v>547.47540000000004</v>
      </c>
      <c r="Q110" s="5">
        <v>110</v>
      </c>
      <c r="R110" s="5"/>
      <c r="S110" s="5">
        <f t="shared" si="5"/>
        <v>3699.0054</v>
      </c>
      <c r="T110" s="1" t="s">
        <v>20</v>
      </c>
      <c r="U110" s="1" t="s">
        <v>260</v>
      </c>
      <c r="V110" s="1" t="s">
        <v>243</v>
      </c>
      <c r="W110" s="1" t="s">
        <v>1813</v>
      </c>
      <c r="X110" s="1"/>
      <c r="Y110" s="1"/>
      <c r="Z110" s="8" t="s">
        <v>72</v>
      </c>
      <c r="AA110" s="8"/>
      <c r="AB110" s="8"/>
      <c r="AC110" s="22"/>
      <c r="AD110" s="1"/>
      <c r="AE110" s="23"/>
      <c r="AF110" s="1"/>
      <c r="AG110" s="2"/>
    </row>
    <row r="111" spans="1:33" s="24" customFormat="1" x14ac:dyDescent="0.25">
      <c r="A111" s="4"/>
      <c r="B111" s="4">
        <v>45245</v>
      </c>
      <c r="C111" s="1" t="s">
        <v>1991</v>
      </c>
      <c r="D111" s="224" t="s">
        <v>3530</v>
      </c>
      <c r="E111" s="26" t="s">
        <v>1814</v>
      </c>
      <c r="F111" s="233" t="s">
        <v>321</v>
      </c>
      <c r="G111" s="1" t="s">
        <v>322</v>
      </c>
      <c r="H111" s="8">
        <v>2</v>
      </c>
      <c r="I111" s="8"/>
      <c r="J111" s="115">
        <f>Table224[[#This Row],[Qty]]-Table224[[#This Row],[Issue Qty]]</f>
        <v>2</v>
      </c>
      <c r="K111" s="195"/>
      <c r="L111" s="195" t="s">
        <v>3480</v>
      </c>
      <c r="M111" s="5">
        <v>1196.08</v>
      </c>
      <c r="N111" s="5">
        <f t="shared" si="3"/>
        <v>2392.16</v>
      </c>
      <c r="O111" s="11">
        <v>0.18</v>
      </c>
      <c r="P111" s="9">
        <f t="shared" si="4"/>
        <v>430.58879999999994</v>
      </c>
      <c r="Q111" s="5">
        <v>0</v>
      </c>
      <c r="R111" s="5"/>
      <c r="S111" s="5">
        <f t="shared" si="5"/>
        <v>2822.7487999999998</v>
      </c>
      <c r="T111" s="1" t="s">
        <v>20</v>
      </c>
      <c r="U111" s="1" t="s">
        <v>307</v>
      </c>
      <c r="V111" s="1" t="s">
        <v>323</v>
      </c>
      <c r="W111" s="1">
        <v>9814</v>
      </c>
      <c r="X111" s="1"/>
      <c r="Y111" s="1"/>
      <c r="Z111" s="8" t="s">
        <v>72</v>
      </c>
      <c r="AA111" s="8" t="s">
        <v>162</v>
      </c>
      <c r="AB111" s="8"/>
      <c r="AC111" s="22"/>
      <c r="AD111" s="1"/>
      <c r="AE111" s="23"/>
      <c r="AF111" s="1"/>
      <c r="AG111" s="2"/>
    </row>
    <row r="112" spans="1:33" s="24" customFormat="1" x14ac:dyDescent="0.25">
      <c r="A112" s="4"/>
      <c r="B112" s="4">
        <v>45250</v>
      </c>
      <c r="C112" s="1" t="s">
        <v>1991</v>
      </c>
      <c r="D112" s="224" t="s">
        <v>3455</v>
      </c>
      <c r="E112" s="26" t="s">
        <v>1815</v>
      </c>
      <c r="F112" s="233" t="s">
        <v>324</v>
      </c>
      <c r="G112" s="1" t="s">
        <v>325</v>
      </c>
      <c r="H112" s="8">
        <v>1</v>
      </c>
      <c r="I112" s="8"/>
      <c r="J112" s="115">
        <f>Table224[[#This Row],[Qty]]-Table224[[#This Row],[Issue Qty]]</f>
        <v>1</v>
      </c>
      <c r="K112" s="195"/>
      <c r="L112" s="195" t="s">
        <v>3480</v>
      </c>
      <c r="M112" s="5">
        <v>2500</v>
      </c>
      <c r="N112" s="5">
        <f t="shared" si="3"/>
        <v>2500</v>
      </c>
      <c r="O112" s="11">
        <v>0.18</v>
      </c>
      <c r="P112" s="9">
        <f t="shared" si="4"/>
        <v>450</v>
      </c>
      <c r="Q112" s="5">
        <v>150</v>
      </c>
      <c r="R112" s="5"/>
      <c r="S112" s="5">
        <f t="shared" si="5"/>
        <v>3100</v>
      </c>
      <c r="T112" s="1" t="s">
        <v>20</v>
      </c>
      <c r="U112" s="1" t="s">
        <v>307</v>
      </c>
      <c r="V112" s="1" t="s">
        <v>326</v>
      </c>
      <c r="W112" s="1" t="s">
        <v>1816</v>
      </c>
      <c r="X112" s="1"/>
      <c r="Y112" s="1"/>
      <c r="Z112" s="8" t="s">
        <v>327</v>
      </c>
      <c r="AA112" s="8"/>
      <c r="AB112" s="8"/>
      <c r="AC112" s="22"/>
      <c r="AD112" s="1"/>
      <c r="AE112" s="23"/>
      <c r="AF112" s="1"/>
      <c r="AG112" s="2"/>
    </row>
    <row r="113" spans="1:33" s="24" customFormat="1" ht="30" x14ac:dyDescent="0.25">
      <c r="A113" s="4"/>
      <c r="B113" s="4">
        <v>45252</v>
      </c>
      <c r="C113" s="1" t="s">
        <v>1991</v>
      </c>
      <c r="D113" s="224" t="s">
        <v>3498</v>
      </c>
      <c r="E113" s="26" t="s">
        <v>1817</v>
      </c>
      <c r="F113" s="233" t="s">
        <v>329</v>
      </c>
      <c r="G113" s="1" t="s">
        <v>330</v>
      </c>
      <c r="H113" s="8">
        <v>2</v>
      </c>
      <c r="I113" s="8"/>
      <c r="J113" s="115">
        <f>Table224[[#This Row],[Qty]]-Table224[[#This Row],[Issue Qty]]</f>
        <v>2</v>
      </c>
      <c r="K113" s="195"/>
      <c r="L113" s="195" t="s">
        <v>3480</v>
      </c>
      <c r="M113" s="5">
        <v>273.73</v>
      </c>
      <c r="N113" s="5">
        <f t="shared" si="3"/>
        <v>547.46</v>
      </c>
      <c r="O113" s="11">
        <v>0.18</v>
      </c>
      <c r="P113" s="9">
        <f t="shared" si="4"/>
        <v>98.5428</v>
      </c>
      <c r="Q113" s="5">
        <v>0</v>
      </c>
      <c r="R113" s="5"/>
      <c r="S113" s="5">
        <f t="shared" si="5"/>
        <v>646.00279999999998</v>
      </c>
      <c r="T113" s="1" t="s">
        <v>20</v>
      </c>
      <c r="U113" s="1" t="s">
        <v>331</v>
      </c>
      <c r="V113" s="1" t="s">
        <v>243</v>
      </c>
      <c r="W113" s="1" t="s">
        <v>1818</v>
      </c>
      <c r="X113" s="1"/>
      <c r="Y113" s="1"/>
      <c r="Z113" s="8" t="s">
        <v>72</v>
      </c>
      <c r="AA113" s="8" t="s">
        <v>332</v>
      </c>
      <c r="AB113" s="8"/>
      <c r="AC113" s="22"/>
      <c r="AD113" s="1"/>
      <c r="AE113" s="23"/>
      <c r="AF113" s="1"/>
      <c r="AG113" s="2"/>
    </row>
    <row r="114" spans="1:33" s="24" customFormat="1" ht="30" x14ac:dyDescent="0.25">
      <c r="A114" s="4"/>
      <c r="B114" s="4">
        <v>45252</v>
      </c>
      <c r="C114" s="1" t="s">
        <v>1991</v>
      </c>
      <c r="D114" s="224" t="s">
        <v>3498</v>
      </c>
      <c r="E114" s="26" t="s">
        <v>1819</v>
      </c>
      <c r="F114" s="168" t="s">
        <v>333</v>
      </c>
      <c r="G114" s="1" t="s">
        <v>334</v>
      </c>
      <c r="H114" s="8">
        <v>2</v>
      </c>
      <c r="I114" s="8"/>
      <c r="J114" s="115">
        <f>Table224[[#This Row],[Qty]]-Table224[[#This Row],[Issue Qty]]</f>
        <v>2</v>
      </c>
      <c r="K114" s="195"/>
      <c r="L114" s="195" t="s">
        <v>3480</v>
      </c>
      <c r="M114" s="5">
        <v>117.795</v>
      </c>
      <c r="N114" s="5">
        <f t="shared" si="3"/>
        <v>235.59</v>
      </c>
      <c r="O114" s="11">
        <v>0.18</v>
      </c>
      <c r="P114" s="9">
        <f t="shared" si="4"/>
        <v>42.406199999999998</v>
      </c>
      <c r="Q114" s="5">
        <v>0</v>
      </c>
      <c r="R114" s="5"/>
      <c r="S114" s="5">
        <f t="shared" si="5"/>
        <v>277.99619999999999</v>
      </c>
      <c r="T114" s="1" t="s">
        <v>20</v>
      </c>
      <c r="U114" s="1" t="s">
        <v>331</v>
      </c>
      <c r="V114" s="1" t="s">
        <v>243</v>
      </c>
      <c r="W114" s="1" t="s">
        <v>1818</v>
      </c>
      <c r="X114" s="1"/>
      <c r="Y114" s="1"/>
      <c r="Z114" s="8" t="s">
        <v>72</v>
      </c>
      <c r="AA114" s="8" t="s">
        <v>332</v>
      </c>
      <c r="AB114" s="8"/>
      <c r="AC114" s="22" t="s">
        <v>3552</v>
      </c>
      <c r="AD114" s="1"/>
      <c r="AE114" s="23"/>
      <c r="AF114" s="1"/>
      <c r="AG114" s="2"/>
    </row>
    <row r="115" spans="1:33" s="24" customFormat="1" x14ac:dyDescent="0.25">
      <c r="A115" s="4"/>
      <c r="B115" s="4">
        <v>45267</v>
      </c>
      <c r="C115" s="1" t="s">
        <v>1991</v>
      </c>
      <c r="D115" s="224" t="s">
        <v>3490</v>
      </c>
      <c r="E115" s="6" t="s">
        <v>1820</v>
      </c>
      <c r="F115" s="234" t="s">
        <v>336</v>
      </c>
      <c r="G115" s="1" t="s">
        <v>336</v>
      </c>
      <c r="H115" s="8">
        <v>1</v>
      </c>
      <c r="I115" s="8"/>
      <c r="J115" s="115">
        <f>Table224[[#This Row],[Qty]]-Table224[[#This Row],[Issue Qty]]</f>
        <v>1</v>
      </c>
      <c r="K115" s="195"/>
      <c r="L115" s="195" t="s">
        <v>3480</v>
      </c>
      <c r="M115" s="5">
        <v>2889.84</v>
      </c>
      <c r="N115" s="5">
        <f t="shared" si="3"/>
        <v>2889.84</v>
      </c>
      <c r="O115" s="11">
        <v>0</v>
      </c>
      <c r="P115" s="9">
        <f t="shared" si="4"/>
        <v>0</v>
      </c>
      <c r="Q115" s="5">
        <v>0</v>
      </c>
      <c r="R115" s="5"/>
      <c r="S115" s="5">
        <f t="shared" si="5"/>
        <v>2889.84</v>
      </c>
      <c r="T115" s="1" t="s">
        <v>2887</v>
      </c>
      <c r="U115" s="1" t="s">
        <v>1742</v>
      </c>
      <c r="V115" s="1"/>
      <c r="W115" s="1"/>
      <c r="X115" s="1"/>
      <c r="Y115" s="1"/>
      <c r="Z115" s="8" t="s">
        <v>52</v>
      </c>
      <c r="AA115" s="8" t="s">
        <v>53</v>
      </c>
      <c r="AB115" s="8"/>
      <c r="AC115" s="22"/>
      <c r="AD115" s="1"/>
      <c r="AE115" s="23"/>
      <c r="AF115" s="1"/>
      <c r="AG115" s="2"/>
    </row>
    <row r="116" spans="1:33" s="24" customFormat="1" x14ac:dyDescent="0.25">
      <c r="A116" s="4"/>
      <c r="B116" s="4">
        <v>45267</v>
      </c>
      <c r="C116" s="1" t="s">
        <v>1991</v>
      </c>
      <c r="D116" s="224" t="s">
        <v>3463</v>
      </c>
      <c r="E116" s="6" t="s">
        <v>1751</v>
      </c>
      <c r="F116" s="234" t="s">
        <v>192</v>
      </c>
      <c r="G116" s="1" t="s">
        <v>194</v>
      </c>
      <c r="H116" s="8">
        <v>1</v>
      </c>
      <c r="I116" s="8"/>
      <c r="J116" s="115">
        <f>Table224[[#This Row],[Qty]]-Table224[[#This Row],[Issue Qty]]</f>
        <v>1</v>
      </c>
      <c r="K116" s="195"/>
      <c r="L116" s="195" t="s">
        <v>3480</v>
      </c>
      <c r="M116" s="5">
        <v>27287.29</v>
      </c>
      <c r="N116" s="5">
        <f t="shared" si="3"/>
        <v>27287.29</v>
      </c>
      <c r="O116" s="11">
        <v>0</v>
      </c>
      <c r="P116" s="9">
        <f t="shared" si="4"/>
        <v>0</v>
      </c>
      <c r="Q116" s="5">
        <v>0</v>
      </c>
      <c r="R116" s="5"/>
      <c r="S116" s="5">
        <f t="shared" si="5"/>
        <v>27287.29</v>
      </c>
      <c r="T116" s="1" t="s">
        <v>2887</v>
      </c>
      <c r="U116" s="1" t="s">
        <v>1742</v>
      </c>
      <c r="V116" s="1"/>
      <c r="W116" s="1"/>
      <c r="X116" s="1"/>
      <c r="Y116" s="1"/>
      <c r="Z116" s="8" t="s">
        <v>89</v>
      </c>
      <c r="AA116" s="8" t="s">
        <v>90</v>
      </c>
      <c r="AB116" s="8"/>
      <c r="AC116" s="22"/>
      <c r="AD116" s="1"/>
      <c r="AE116" s="23" t="s">
        <v>194</v>
      </c>
      <c r="AF116" s="1"/>
      <c r="AG116" s="2"/>
    </row>
    <row r="117" spans="1:33" s="24" customFormat="1" x14ac:dyDescent="0.25">
      <c r="A117" s="4"/>
      <c r="B117" s="4">
        <v>45281</v>
      </c>
      <c r="C117" s="1" t="s">
        <v>1991</v>
      </c>
      <c r="D117" s="224" t="s">
        <v>3493</v>
      </c>
      <c r="E117" s="26" t="s">
        <v>1824</v>
      </c>
      <c r="F117" s="231" t="s">
        <v>340</v>
      </c>
      <c r="G117" s="1" t="s">
        <v>340</v>
      </c>
      <c r="H117" s="8">
        <v>4</v>
      </c>
      <c r="I117" s="8"/>
      <c r="J117" s="115">
        <f>Table224[[#This Row],[Qty]]-Table224[[#This Row],[Issue Qty]]</f>
        <v>4</v>
      </c>
      <c r="K117" s="195"/>
      <c r="L117" s="195" t="s">
        <v>3486</v>
      </c>
      <c r="M117" s="5">
        <v>190</v>
      </c>
      <c r="N117" s="5">
        <f t="shared" si="3"/>
        <v>760</v>
      </c>
      <c r="O117" s="11"/>
      <c r="P117" s="9">
        <f t="shared" si="4"/>
        <v>0</v>
      </c>
      <c r="Q117" s="5"/>
      <c r="R117" s="5"/>
      <c r="S117" s="5">
        <f t="shared" si="5"/>
        <v>760</v>
      </c>
      <c r="T117" s="1" t="s">
        <v>20</v>
      </c>
      <c r="U117" s="1" t="s">
        <v>307</v>
      </c>
      <c r="V117" s="1" t="s">
        <v>341</v>
      </c>
      <c r="W117" s="1"/>
      <c r="X117" s="1"/>
      <c r="Y117" s="1"/>
      <c r="Z117" s="8" t="s">
        <v>89</v>
      </c>
      <c r="AA117" s="8" t="s">
        <v>342</v>
      </c>
      <c r="AB117" s="8"/>
      <c r="AC117" s="22"/>
      <c r="AD117" s="1"/>
      <c r="AE117" s="23"/>
      <c r="AF117" s="1"/>
      <c r="AG117" s="2"/>
    </row>
    <row r="118" spans="1:33" s="24" customFormat="1" x14ac:dyDescent="0.25">
      <c r="A118" s="4"/>
      <c r="B118" s="4">
        <v>45281</v>
      </c>
      <c r="C118" s="6" t="s">
        <v>1688</v>
      </c>
      <c r="D118" s="224" t="s">
        <v>3450</v>
      </c>
      <c r="E118" s="26" t="s">
        <v>1821</v>
      </c>
      <c r="F118" s="233" t="s">
        <v>337</v>
      </c>
      <c r="G118" s="1" t="s">
        <v>337</v>
      </c>
      <c r="H118" s="8">
        <v>1</v>
      </c>
      <c r="I118" s="8"/>
      <c r="J118" s="115">
        <f>Table224[[#This Row],[Qty]]-Table224[[#This Row],[Issue Qty]]</f>
        <v>1</v>
      </c>
      <c r="K118" s="195"/>
      <c r="L118" s="195" t="s">
        <v>3480</v>
      </c>
      <c r="M118" s="5">
        <v>31780</v>
      </c>
      <c r="N118" s="5">
        <f t="shared" si="3"/>
        <v>31780</v>
      </c>
      <c r="O118" s="11">
        <v>0.18</v>
      </c>
      <c r="P118" s="9">
        <f t="shared" si="4"/>
        <v>5720.4</v>
      </c>
      <c r="Q118" s="5">
        <v>100</v>
      </c>
      <c r="R118" s="5"/>
      <c r="S118" s="5">
        <f t="shared" si="5"/>
        <v>37600.400000000001</v>
      </c>
      <c r="T118" s="1" t="s">
        <v>20</v>
      </c>
      <c r="U118" s="1" t="s">
        <v>1822</v>
      </c>
      <c r="V118" s="1" t="s">
        <v>338</v>
      </c>
      <c r="W118" s="1" t="s">
        <v>1823</v>
      </c>
      <c r="X118" s="1"/>
      <c r="Y118" s="1"/>
      <c r="Z118" s="8" t="s">
        <v>339</v>
      </c>
      <c r="AA118" s="8"/>
      <c r="AB118" s="8"/>
      <c r="AC118" s="22"/>
      <c r="AD118" s="1"/>
      <c r="AE118" s="23"/>
      <c r="AF118" s="1"/>
      <c r="AG118" s="2"/>
    </row>
    <row r="119" spans="1:33" s="24" customFormat="1" x14ac:dyDescent="0.25">
      <c r="A119" s="4"/>
      <c r="B119" s="4">
        <v>45289</v>
      </c>
      <c r="C119" s="1" t="s">
        <v>1991</v>
      </c>
      <c r="D119" s="224" t="s">
        <v>3493</v>
      </c>
      <c r="E119" s="26" t="s">
        <v>1824</v>
      </c>
      <c r="F119" s="231" t="s">
        <v>340</v>
      </c>
      <c r="G119" s="1" t="s">
        <v>340</v>
      </c>
      <c r="H119" s="8">
        <v>4</v>
      </c>
      <c r="I119" s="8"/>
      <c r="J119" s="115">
        <f>Table224[[#This Row],[Qty]]-Table224[[#This Row],[Issue Qty]]</f>
        <v>4</v>
      </c>
      <c r="K119" s="195"/>
      <c r="L119" s="195" t="s">
        <v>3486</v>
      </c>
      <c r="M119" s="5">
        <v>190</v>
      </c>
      <c r="N119" s="5">
        <f t="shared" si="3"/>
        <v>760</v>
      </c>
      <c r="O119" s="11">
        <v>0.18</v>
      </c>
      <c r="P119" s="9">
        <f t="shared" si="4"/>
        <v>136.79999999999998</v>
      </c>
      <c r="Q119" s="5">
        <v>250</v>
      </c>
      <c r="R119" s="5"/>
      <c r="S119" s="5">
        <f t="shared" si="5"/>
        <v>1146.8</v>
      </c>
      <c r="T119" s="1" t="s">
        <v>20</v>
      </c>
      <c r="U119" s="1" t="s">
        <v>307</v>
      </c>
      <c r="V119" s="1" t="s">
        <v>343</v>
      </c>
      <c r="W119" s="1" t="s">
        <v>1825</v>
      </c>
      <c r="X119" s="1"/>
      <c r="Y119" s="1"/>
      <c r="Z119" s="8" t="s">
        <v>89</v>
      </c>
      <c r="AA119" s="8" t="s">
        <v>342</v>
      </c>
      <c r="AB119" s="8"/>
      <c r="AC119" s="22"/>
      <c r="AD119" s="1"/>
      <c r="AE119" s="23"/>
      <c r="AF119" s="1"/>
      <c r="AG119" s="2"/>
    </row>
    <row r="120" spans="1:33" s="24" customFormat="1" ht="30" x14ac:dyDescent="0.25">
      <c r="A120" s="4"/>
      <c r="B120" s="4">
        <v>45293</v>
      </c>
      <c r="C120" s="6" t="s">
        <v>1683</v>
      </c>
      <c r="D120" s="224" t="s">
        <v>3444</v>
      </c>
      <c r="E120" s="6" t="s">
        <v>1826</v>
      </c>
      <c r="F120" s="234" t="s">
        <v>344</v>
      </c>
      <c r="G120" s="1" t="s">
        <v>345</v>
      </c>
      <c r="H120" s="8">
        <v>2</v>
      </c>
      <c r="I120" s="8">
        <v>0</v>
      </c>
      <c r="J120" s="115">
        <f>Table224[[#This Row],[Qty]]-Table224[[#This Row],[Issue Qty]]</f>
        <v>2</v>
      </c>
      <c r="K120" s="195"/>
      <c r="L120" s="195" t="s">
        <v>3480</v>
      </c>
      <c r="M120" s="5">
        <v>93.22</v>
      </c>
      <c r="N120" s="5">
        <f t="shared" si="3"/>
        <v>186.44</v>
      </c>
      <c r="O120" s="11"/>
      <c r="P120" s="9">
        <f t="shared" si="4"/>
        <v>0</v>
      </c>
      <c r="Q120" s="48"/>
      <c r="R120" s="48"/>
      <c r="S120" s="5">
        <f t="shared" si="5"/>
        <v>186.44</v>
      </c>
      <c r="T120" s="1" t="s">
        <v>346</v>
      </c>
      <c r="U120" s="1" t="s">
        <v>307</v>
      </c>
      <c r="V120" s="1" t="s">
        <v>347</v>
      </c>
      <c r="W120" s="2"/>
      <c r="X120" s="2"/>
      <c r="Y120" s="2"/>
      <c r="Z120" s="21" t="s">
        <v>107</v>
      </c>
      <c r="AA120" s="21" t="s">
        <v>457</v>
      </c>
      <c r="AB120" s="21"/>
      <c r="AC120" s="12"/>
      <c r="AD120" s="2"/>
      <c r="AE120" s="23" t="s">
        <v>349</v>
      </c>
      <c r="AF120" s="2"/>
      <c r="AG120" s="2"/>
    </row>
    <row r="121" spans="1:33" s="24" customFormat="1" x14ac:dyDescent="0.25">
      <c r="A121" s="4"/>
      <c r="B121" s="4">
        <v>45293</v>
      </c>
      <c r="C121" s="6" t="s">
        <v>1695</v>
      </c>
      <c r="D121" s="224" t="s">
        <v>311</v>
      </c>
      <c r="E121" s="26" t="s">
        <v>1807</v>
      </c>
      <c r="F121" s="233" t="s">
        <v>310</v>
      </c>
      <c r="G121" s="1" t="s">
        <v>311</v>
      </c>
      <c r="H121" s="8">
        <v>2</v>
      </c>
      <c r="I121" s="8"/>
      <c r="J121" s="115">
        <f>Table224[[#This Row],[Qty]]-Table224[[#This Row],[Issue Qty]]</f>
        <v>2</v>
      </c>
      <c r="K121" s="195"/>
      <c r="L121" s="195" t="s">
        <v>3480</v>
      </c>
      <c r="M121" s="5">
        <v>34847</v>
      </c>
      <c r="N121" s="5">
        <f t="shared" si="3"/>
        <v>69694</v>
      </c>
      <c r="O121" s="11">
        <v>0.18043045312365499</v>
      </c>
      <c r="P121" s="9">
        <f t="shared" si="4"/>
        <v>12574.920000000011</v>
      </c>
      <c r="Q121" s="5">
        <v>250</v>
      </c>
      <c r="R121" s="5"/>
      <c r="S121" s="5">
        <f t="shared" si="5"/>
        <v>82518.920000000013</v>
      </c>
      <c r="T121" s="1" t="s">
        <v>307</v>
      </c>
      <c r="U121" s="1" t="s">
        <v>307</v>
      </c>
      <c r="V121" s="1" t="s">
        <v>312</v>
      </c>
      <c r="W121" s="1" t="s">
        <v>350</v>
      </c>
      <c r="X121" s="1"/>
      <c r="Y121" s="1"/>
      <c r="Z121" s="8" t="s">
        <v>313</v>
      </c>
      <c r="AA121" s="8"/>
      <c r="AB121" s="8"/>
      <c r="AC121" s="22"/>
      <c r="AD121" s="1"/>
      <c r="AE121" s="23"/>
      <c r="AF121" s="1"/>
      <c r="AG121" s="2"/>
    </row>
    <row r="122" spans="1:33" s="24" customFormat="1" x14ac:dyDescent="0.25">
      <c r="A122" s="4"/>
      <c r="B122" s="4">
        <v>45293</v>
      </c>
      <c r="C122" s="6" t="s">
        <v>1695</v>
      </c>
      <c r="D122" s="224" t="s">
        <v>311</v>
      </c>
      <c r="E122" s="26" t="s">
        <v>1807</v>
      </c>
      <c r="F122" s="233" t="s">
        <v>310</v>
      </c>
      <c r="G122" s="1" t="s">
        <v>311</v>
      </c>
      <c r="H122" s="8">
        <v>1</v>
      </c>
      <c r="I122" s="8"/>
      <c r="J122" s="115">
        <f>Table224[[#This Row],[Qty]]-Table224[[#This Row],[Issue Qty]]</f>
        <v>1</v>
      </c>
      <c r="K122" s="195"/>
      <c r="L122" s="195" t="s">
        <v>3480</v>
      </c>
      <c r="M122" s="5">
        <v>34847</v>
      </c>
      <c r="N122" s="5">
        <f t="shared" si="3"/>
        <v>34847</v>
      </c>
      <c r="O122" s="11"/>
      <c r="P122" s="9">
        <f t="shared" si="4"/>
        <v>0</v>
      </c>
      <c r="Q122" s="5"/>
      <c r="R122" s="5"/>
      <c r="S122" s="5">
        <f t="shared" si="5"/>
        <v>34847</v>
      </c>
      <c r="T122" s="1" t="s">
        <v>307</v>
      </c>
      <c r="U122" s="1" t="s">
        <v>307</v>
      </c>
      <c r="V122" s="1" t="s">
        <v>350</v>
      </c>
      <c r="W122" s="1"/>
      <c r="X122" s="1"/>
      <c r="Y122" s="1"/>
      <c r="Z122" s="8" t="s">
        <v>313</v>
      </c>
      <c r="AA122" s="8"/>
      <c r="AB122" s="8"/>
      <c r="AC122" s="22"/>
      <c r="AD122" s="1"/>
      <c r="AE122" s="23"/>
      <c r="AF122" s="1"/>
      <c r="AG122" s="2"/>
    </row>
    <row r="123" spans="1:33" s="24" customFormat="1" x14ac:dyDescent="0.25">
      <c r="A123" s="4"/>
      <c r="B123" s="4">
        <v>45293</v>
      </c>
      <c r="C123" s="1" t="s">
        <v>1991</v>
      </c>
      <c r="D123" s="224" t="s">
        <v>3551</v>
      </c>
      <c r="E123" s="26" t="s">
        <v>1828</v>
      </c>
      <c r="F123" s="233" t="s">
        <v>354</v>
      </c>
      <c r="G123" s="1" t="s">
        <v>354</v>
      </c>
      <c r="H123" s="8">
        <v>1</v>
      </c>
      <c r="I123" s="8">
        <v>1</v>
      </c>
      <c r="J123" s="115">
        <f>Table224[[#This Row],[Qty]]-Table224[[#This Row],[Issue Qty]]</f>
        <v>0</v>
      </c>
      <c r="K123" s="195"/>
      <c r="L123" s="195" t="s">
        <v>3480</v>
      </c>
      <c r="M123" s="5">
        <v>9522.86</v>
      </c>
      <c r="N123" s="5">
        <f t="shared" si="3"/>
        <v>9522.86</v>
      </c>
      <c r="O123" s="11"/>
      <c r="P123" s="9">
        <f t="shared" si="4"/>
        <v>0</v>
      </c>
      <c r="Q123" s="5"/>
      <c r="R123" s="5"/>
      <c r="S123" s="5">
        <f t="shared" si="5"/>
        <v>9522.86</v>
      </c>
      <c r="T123" s="1" t="s">
        <v>346</v>
      </c>
      <c r="U123" s="1" t="s">
        <v>307</v>
      </c>
      <c r="V123" s="1" t="s">
        <v>347</v>
      </c>
      <c r="W123" s="1"/>
      <c r="X123" s="1"/>
      <c r="Y123" s="1"/>
      <c r="Z123" s="8" t="s">
        <v>3441</v>
      </c>
      <c r="AA123" s="8"/>
      <c r="AB123" s="8">
        <v>1</v>
      </c>
      <c r="AC123" s="22" t="s">
        <v>3840</v>
      </c>
      <c r="AD123" s="1"/>
      <c r="AE123" s="23"/>
      <c r="AF123" s="1"/>
      <c r="AG123" s="2"/>
    </row>
    <row r="124" spans="1:33" s="24" customFormat="1" ht="30" x14ac:dyDescent="0.25">
      <c r="A124" s="4"/>
      <c r="B124" s="4">
        <v>45293</v>
      </c>
      <c r="C124" s="6" t="s">
        <v>1683</v>
      </c>
      <c r="D124" s="224" t="s">
        <v>3439</v>
      </c>
      <c r="E124" s="26" t="s">
        <v>1827</v>
      </c>
      <c r="F124" s="233" t="s">
        <v>351</v>
      </c>
      <c r="G124" s="1" t="s">
        <v>351</v>
      </c>
      <c r="H124" s="8">
        <v>2</v>
      </c>
      <c r="I124" s="8"/>
      <c r="J124" s="115">
        <f>Table224[[#This Row],[Qty]]-Table224[[#This Row],[Issue Qty]]</f>
        <v>2</v>
      </c>
      <c r="K124" s="195"/>
      <c r="L124" s="195" t="s">
        <v>3480</v>
      </c>
      <c r="M124" s="5">
        <v>2010.17</v>
      </c>
      <c r="N124" s="5">
        <f t="shared" si="3"/>
        <v>4020.34</v>
      </c>
      <c r="O124" s="11"/>
      <c r="P124" s="9">
        <f t="shared" si="4"/>
        <v>0</v>
      </c>
      <c r="Q124" s="5"/>
      <c r="R124" s="5"/>
      <c r="S124" s="5">
        <f t="shared" si="5"/>
        <v>4020.34</v>
      </c>
      <c r="T124" s="1" t="s">
        <v>346</v>
      </c>
      <c r="U124" s="1" t="s">
        <v>307</v>
      </c>
      <c r="V124" s="1" t="s">
        <v>347</v>
      </c>
      <c r="W124" s="1"/>
      <c r="X124" s="1"/>
      <c r="Y124" s="1"/>
      <c r="Z124" s="8" t="s">
        <v>72</v>
      </c>
      <c r="AA124" s="8" t="s">
        <v>352</v>
      </c>
      <c r="AB124" s="8"/>
      <c r="AC124" s="22"/>
      <c r="AD124" s="1"/>
      <c r="AE124" s="23" t="s">
        <v>353</v>
      </c>
      <c r="AF124" s="1"/>
      <c r="AG124" s="2"/>
    </row>
    <row r="125" spans="1:33" s="24" customFormat="1" x14ac:dyDescent="0.25">
      <c r="A125" s="4"/>
      <c r="B125" s="4">
        <v>45294</v>
      </c>
      <c r="C125" s="6" t="s">
        <v>54</v>
      </c>
      <c r="D125" s="224"/>
      <c r="E125" s="6" t="s">
        <v>37</v>
      </c>
      <c r="F125" s="232" t="s">
        <v>364</v>
      </c>
      <c r="G125" s="1" t="s">
        <v>364</v>
      </c>
      <c r="H125" s="8">
        <v>1</v>
      </c>
      <c r="I125" s="8">
        <v>1</v>
      </c>
      <c r="J125" s="115">
        <f>Table224[[#This Row],[Qty]]-Table224[[#This Row],[Issue Qty]]</f>
        <v>0</v>
      </c>
      <c r="K125" s="195"/>
      <c r="L125" s="195" t="s">
        <v>3480</v>
      </c>
      <c r="M125" s="5">
        <v>7250.88</v>
      </c>
      <c r="N125" s="5">
        <f t="shared" si="3"/>
        <v>7250.88</v>
      </c>
      <c r="O125" s="11"/>
      <c r="P125" s="9">
        <f t="shared" si="4"/>
        <v>0</v>
      </c>
      <c r="Q125" s="48"/>
      <c r="R125" s="48"/>
      <c r="S125" s="5">
        <f t="shared" si="5"/>
        <v>7250.88</v>
      </c>
      <c r="T125" s="1" t="s">
        <v>346</v>
      </c>
      <c r="U125" s="1" t="s">
        <v>307</v>
      </c>
      <c r="V125" s="1" t="s">
        <v>359</v>
      </c>
      <c r="W125" s="2"/>
      <c r="X125" s="2"/>
      <c r="Y125" s="2"/>
      <c r="Z125" s="21"/>
      <c r="AA125" s="21"/>
      <c r="AB125" s="21">
        <v>1</v>
      </c>
      <c r="AC125" s="12" t="s">
        <v>365</v>
      </c>
      <c r="AD125" s="2"/>
      <c r="AE125" s="23"/>
      <c r="AF125" s="2"/>
      <c r="AG125" s="2"/>
    </row>
    <row r="126" spans="1:33" s="24" customFormat="1" x14ac:dyDescent="0.25">
      <c r="A126" s="4"/>
      <c r="B126" s="4">
        <v>45294</v>
      </c>
      <c r="C126" s="6" t="s">
        <v>54</v>
      </c>
      <c r="D126" s="224"/>
      <c r="E126" s="6" t="s">
        <v>37</v>
      </c>
      <c r="F126" s="232" t="s">
        <v>366</v>
      </c>
      <c r="G126" s="1" t="s">
        <v>366</v>
      </c>
      <c r="H126" s="8">
        <v>1</v>
      </c>
      <c r="I126" s="8">
        <v>1</v>
      </c>
      <c r="J126" s="115">
        <f>Table224[[#This Row],[Qty]]-Table224[[#This Row],[Issue Qty]]</f>
        <v>0</v>
      </c>
      <c r="K126" s="195"/>
      <c r="L126" s="195" t="s">
        <v>3480</v>
      </c>
      <c r="M126" s="5">
        <v>6752.51</v>
      </c>
      <c r="N126" s="5">
        <f t="shared" si="3"/>
        <v>6752.51</v>
      </c>
      <c r="O126" s="11"/>
      <c r="P126" s="9">
        <f t="shared" si="4"/>
        <v>0</v>
      </c>
      <c r="Q126" s="48"/>
      <c r="R126" s="48"/>
      <c r="S126" s="5">
        <f t="shared" si="5"/>
        <v>6752.51</v>
      </c>
      <c r="T126" s="1" t="s">
        <v>346</v>
      </c>
      <c r="U126" s="1" t="s">
        <v>307</v>
      </c>
      <c r="V126" s="1" t="s">
        <v>359</v>
      </c>
      <c r="W126" s="2"/>
      <c r="X126" s="2"/>
      <c r="Y126" s="2"/>
      <c r="Z126" s="21"/>
      <c r="AA126" s="21"/>
      <c r="AB126" s="21">
        <v>1</v>
      </c>
      <c r="AC126" s="12" t="s">
        <v>365</v>
      </c>
      <c r="AD126" s="2"/>
      <c r="AE126" s="23"/>
      <c r="AF126" s="2"/>
      <c r="AG126" s="2"/>
    </row>
    <row r="127" spans="1:33" s="24" customFormat="1" x14ac:dyDescent="0.25">
      <c r="A127" s="4"/>
      <c r="B127" s="4">
        <v>45294</v>
      </c>
      <c r="C127" s="6" t="s">
        <v>54</v>
      </c>
      <c r="D127" s="224" t="s">
        <v>3494</v>
      </c>
      <c r="E127" s="26" t="s">
        <v>1829</v>
      </c>
      <c r="F127" s="233" t="s">
        <v>356</v>
      </c>
      <c r="G127" s="1" t="s">
        <v>357</v>
      </c>
      <c r="H127" s="8">
        <v>1</v>
      </c>
      <c r="I127" s="8"/>
      <c r="J127" s="115">
        <f>Table224[[#This Row],[Qty]]-Table224[[#This Row],[Issue Qty]]</f>
        <v>1</v>
      </c>
      <c r="K127" s="195"/>
      <c r="L127" s="195" t="s">
        <v>3480</v>
      </c>
      <c r="M127" s="5">
        <v>216.51</v>
      </c>
      <c r="N127" s="5">
        <f t="shared" si="3"/>
        <v>216.51</v>
      </c>
      <c r="O127" s="11">
        <v>0.18</v>
      </c>
      <c r="P127" s="9">
        <f t="shared" si="4"/>
        <v>38.971799999999995</v>
      </c>
      <c r="Q127" s="5">
        <v>0</v>
      </c>
      <c r="R127" s="5"/>
      <c r="S127" s="5">
        <f t="shared" si="5"/>
        <v>255.48179999999999</v>
      </c>
      <c r="T127" s="1" t="s">
        <v>346</v>
      </c>
      <c r="U127" s="1" t="s">
        <v>307</v>
      </c>
      <c r="V127" s="1" t="s">
        <v>358</v>
      </c>
      <c r="W127" s="1" t="s">
        <v>359</v>
      </c>
      <c r="X127" s="1"/>
      <c r="Y127" s="1"/>
      <c r="Z127" s="8" t="s">
        <v>360</v>
      </c>
      <c r="AA127" s="8" t="s">
        <v>361</v>
      </c>
      <c r="AB127" s="8"/>
      <c r="AC127" s="22"/>
      <c r="AD127" s="1"/>
      <c r="AE127" s="23"/>
      <c r="AF127" s="1"/>
      <c r="AG127" s="2"/>
    </row>
    <row r="128" spans="1:33" s="24" customFormat="1" x14ac:dyDescent="0.25">
      <c r="A128" s="4"/>
      <c r="B128" s="4">
        <v>45294</v>
      </c>
      <c r="C128" s="6" t="s">
        <v>1695</v>
      </c>
      <c r="D128" s="224" t="s">
        <v>3453</v>
      </c>
      <c r="E128" s="6" t="s">
        <v>1809</v>
      </c>
      <c r="F128" s="234" t="s">
        <v>314</v>
      </c>
      <c r="G128" s="1" t="s">
        <v>362</v>
      </c>
      <c r="H128" s="8">
        <v>2</v>
      </c>
      <c r="I128" s="8"/>
      <c r="J128" s="115">
        <f>Table224[[#This Row],[Qty]]-Table224[[#This Row],[Issue Qty]]</f>
        <v>2</v>
      </c>
      <c r="K128" s="195"/>
      <c r="L128" s="195" t="s">
        <v>3480</v>
      </c>
      <c r="M128" s="5">
        <v>135812</v>
      </c>
      <c r="N128" s="5">
        <f t="shared" si="3"/>
        <v>271624</v>
      </c>
      <c r="O128" s="11">
        <v>0.18</v>
      </c>
      <c r="P128" s="9">
        <f t="shared" si="4"/>
        <v>48892.32</v>
      </c>
      <c r="Q128" s="48">
        <v>0</v>
      </c>
      <c r="R128" s="48"/>
      <c r="S128" s="5">
        <f t="shared" si="5"/>
        <v>320516.32</v>
      </c>
      <c r="T128" s="1" t="s">
        <v>307</v>
      </c>
      <c r="U128" s="1" t="s">
        <v>307</v>
      </c>
      <c r="V128" s="1" t="s">
        <v>312</v>
      </c>
      <c r="W128" s="2" t="s">
        <v>363</v>
      </c>
      <c r="X128" s="2"/>
      <c r="Y128" s="2"/>
      <c r="Z128" s="8" t="s">
        <v>313</v>
      </c>
      <c r="AA128" s="21"/>
      <c r="AB128" s="21"/>
      <c r="AC128" s="12"/>
      <c r="AD128" s="2"/>
      <c r="AE128" s="23"/>
      <c r="AF128" s="2"/>
      <c r="AG128" s="2"/>
    </row>
    <row r="129" spans="1:33" s="24" customFormat="1" x14ac:dyDescent="0.25">
      <c r="A129" s="4"/>
      <c r="B129" s="4">
        <v>45294</v>
      </c>
      <c r="C129" s="6" t="s">
        <v>1695</v>
      </c>
      <c r="D129" s="224" t="s">
        <v>3453</v>
      </c>
      <c r="E129" s="26" t="s">
        <v>1809</v>
      </c>
      <c r="F129" s="233" t="s">
        <v>314</v>
      </c>
      <c r="G129" s="1" t="s">
        <v>362</v>
      </c>
      <c r="H129" s="8">
        <v>1</v>
      </c>
      <c r="I129" s="8"/>
      <c r="J129" s="115">
        <f>Table224[[#This Row],[Qty]]-Table224[[#This Row],[Issue Qty]]</f>
        <v>1</v>
      </c>
      <c r="K129" s="195"/>
      <c r="L129" s="195" t="s">
        <v>3480</v>
      </c>
      <c r="M129" s="5">
        <v>135812</v>
      </c>
      <c r="N129" s="5">
        <f t="shared" si="3"/>
        <v>135812</v>
      </c>
      <c r="O129" s="11"/>
      <c r="P129" s="9">
        <f t="shared" si="4"/>
        <v>0</v>
      </c>
      <c r="Q129" s="5"/>
      <c r="R129" s="5"/>
      <c r="S129" s="5">
        <f t="shared" si="5"/>
        <v>135812</v>
      </c>
      <c r="T129" s="1" t="s">
        <v>307</v>
      </c>
      <c r="U129" s="1" t="s">
        <v>307</v>
      </c>
      <c r="V129" s="1" t="s">
        <v>363</v>
      </c>
      <c r="W129" s="1"/>
      <c r="X129" s="1"/>
      <c r="Y129" s="1"/>
      <c r="Z129" s="8" t="s">
        <v>313</v>
      </c>
      <c r="AA129" s="8"/>
      <c r="AB129" s="8"/>
      <c r="AC129" s="22"/>
      <c r="AD129" s="2"/>
      <c r="AE129" s="23"/>
      <c r="AF129" s="1"/>
      <c r="AG129" s="2"/>
    </row>
    <row r="130" spans="1:33" s="24" customFormat="1" x14ac:dyDescent="0.25">
      <c r="A130" s="4"/>
      <c r="B130" s="4">
        <v>45294</v>
      </c>
      <c r="C130" s="6" t="s">
        <v>54</v>
      </c>
      <c r="D130" s="224" t="s">
        <v>3494</v>
      </c>
      <c r="E130" s="6" t="s">
        <v>37</v>
      </c>
      <c r="F130" s="102" t="s">
        <v>367</v>
      </c>
      <c r="G130" s="1" t="s">
        <v>367</v>
      </c>
      <c r="H130" s="8">
        <v>1</v>
      </c>
      <c r="I130" s="8">
        <v>1</v>
      </c>
      <c r="J130" s="115">
        <f>Table224[[#This Row],[Qty]]-Table224[[#This Row],[Issue Qty]]</f>
        <v>0</v>
      </c>
      <c r="K130" s="195"/>
      <c r="L130" s="195" t="s">
        <v>3480</v>
      </c>
      <c r="M130" s="5">
        <v>1638.09</v>
      </c>
      <c r="N130" s="5">
        <f t="shared" si="3"/>
        <v>1638.09</v>
      </c>
      <c r="O130" s="11"/>
      <c r="P130" s="9">
        <f t="shared" si="4"/>
        <v>0</v>
      </c>
      <c r="Q130" s="48"/>
      <c r="R130" s="48"/>
      <c r="S130" s="5">
        <f t="shared" si="5"/>
        <v>1638.09</v>
      </c>
      <c r="T130" s="1" t="s">
        <v>346</v>
      </c>
      <c r="U130" s="1" t="s">
        <v>307</v>
      </c>
      <c r="V130" s="1" t="s">
        <v>359</v>
      </c>
      <c r="W130" s="2"/>
      <c r="X130" s="2"/>
      <c r="Y130" s="2"/>
      <c r="Z130" s="21"/>
      <c r="AA130" s="21"/>
      <c r="AB130" s="21">
        <v>1</v>
      </c>
      <c r="AC130" s="12" t="s">
        <v>365</v>
      </c>
      <c r="AD130" s="2"/>
      <c r="AE130" s="23"/>
      <c r="AF130" s="2"/>
      <c r="AG130" s="2"/>
    </row>
    <row r="131" spans="1:33" s="24" customFormat="1" x14ac:dyDescent="0.25">
      <c r="A131" s="4"/>
      <c r="B131" s="4">
        <v>45295</v>
      </c>
      <c r="C131" s="1" t="s">
        <v>1991</v>
      </c>
      <c r="D131" s="224" t="s">
        <v>3490</v>
      </c>
      <c r="E131" s="6" t="s">
        <v>37</v>
      </c>
      <c r="F131" s="102" t="s">
        <v>368</v>
      </c>
      <c r="G131" s="1" t="s">
        <v>368</v>
      </c>
      <c r="H131" s="8">
        <v>1</v>
      </c>
      <c r="I131" s="8">
        <v>1</v>
      </c>
      <c r="J131" s="115">
        <f>Table224[[#This Row],[Qty]]-Table224[[#This Row],[Issue Qty]]</f>
        <v>0</v>
      </c>
      <c r="K131" s="195"/>
      <c r="L131" s="195" t="s">
        <v>3480</v>
      </c>
      <c r="M131" s="5">
        <v>3229.44</v>
      </c>
      <c r="N131" s="5">
        <f t="shared" ref="N131:N194" si="6">H131*M131</f>
        <v>3229.44</v>
      </c>
      <c r="O131" s="11"/>
      <c r="P131" s="9">
        <f t="shared" ref="P131:P194" si="7">N131*O131</f>
        <v>0</v>
      </c>
      <c r="Q131" s="48"/>
      <c r="R131" s="48"/>
      <c r="S131" s="5">
        <f t="shared" ref="S131:S194" si="8">N131+P131+Q131+R131</f>
        <v>3229.44</v>
      </c>
      <c r="T131" s="1" t="s">
        <v>346</v>
      </c>
      <c r="U131" s="1" t="s">
        <v>307</v>
      </c>
      <c r="V131" s="1">
        <v>9986</v>
      </c>
      <c r="W131" s="2"/>
      <c r="X131" s="2"/>
      <c r="Y131" s="2"/>
      <c r="Z131" s="21" t="s">
        <v>650</v>
      </c>
      <c r="AA131" s="21" t="s">
        <v>3617</v>
      </c>
      <c r="AB131" s="21">
        <v>1</v>
      </c>
      <c r="AC131" s="12" t="s">
        <v>3344</v>
      </c>
      <c r="AD131" s="2"/>
      <c r="AE131" s="23"/>
      <c r="AF131" s="2"/>
      <c r="AG131" s="2"/>
    </row>
    <row r="132" spans="1:33" s="24" customFormat="1" ht="30" x14ac:dyDescent="0.25">
      <c r="A132" s="4"/>
      <c r="B132" s="4">
        <v>45299</v>
      </c>
      <c r="C132" s="6" t="s">
        <v>54</v>
      </c>
      <c r="D132" s="224" t="s">
        <v>3500</v>
      </c>
      <c r="E132" s="6" t="s">
        <v>37</v>
      </c>
      <c r="F132" s="102" t="s">
        <v>369</v>
      </c>
      <c r="G132" s="1" t="s">
        <v>369</v>
      </c>
      <c r="H132" s="8">
        <v>1</v>
      </c>
      <c r="I132" s="8">
        <v>1</v>
      </c>
      <c r="J132" s="115">
        <f>Table224[[#This Row],[Qty]]-Table224[[#This Row],[Issue Qty]]</f>
        <v>0</v>
      </c>
      <c r="K132" s="195"/>
      <c r="L132" s="195" t="s">
        <v>3480</v>
      </c>
      <c r="M132" s="5">
        <v>22000</v>
      </c>
      <c r="N132" s="5">
        <f t="shared" si="6"/>
        <v>22000</v>
      </c>
      <c r="O132" s="11"/>
      <c r="P132" s="9">
        <f t="shared" si="7"/>
        <v>0</v>
      </c>
      <c r="Q132" s="48"/>
      <c r="R132" s="48"/>
      <c r="S132" s="5">
        <f t="shared" si="8"/>
        <v>22000</v>
      </c>
      <c r="T132" s="1" t="s">
        <v>20</v>
      </c>
      <c r="U132" s="1" t="s">
        <v>20</v>
      </c>
      <c r="V132" s="1">
        <v>322</v>
      </c>
      <c r="W132" s="2"/>
      <c r="X132" s="2"/>
      <c r="Y132" s="2"/>
      <c r="Z132" s="21"/>
      <c r="AA132" s="21"/>
      <c r="AB132" s="21"/>
      <c r="AC132" s="12" t="s">
        <v>3653</v>
      </c>
      <c r="AD132" s="2"/>
      <c r="AE132" s="23"/>
      <c r="AF132" s="2"/>
      <c r="AG132" s="2"/>
    </row>
    <row r="133" spans="1:33" s="24" customFormat="1" ht="30" x14ac:dyDescent="0.25">
      <c r="A133" s="4"/>
      <c r="B133" s="4">
        <v>45299</v>
      </c>
      <c r="C133" s="6" t="s">
        <v>54</v>
      </c>
      <c r="D133" s="224" t="s">
        <v>3500</v>
      </c>
      <c r="E133" s="6" t="s">
        <v>37</v>
      </c>
      <c r="F133" s="102" t="s">
        <v>370</v>
      </c>
      <c r="G133" s="1" t="s">
        <v>370</v>
      </c>
      <c r="H133" s="8">
        <v>1</v>
      </c>
      <c r="I133" s="8">
        <v>1</v>
      </c>
      <c r="J133" s="115">
        <f>Table224[[#This Row],[Qty]]-Table224[[#This Row],[Issue Qty]]</f>
        <v>0</v>
      </c>
      <c r="K133" s="195"/>
      <c r="L133" s="195" t="s">
        <v>3480</v>
      </c>
      <c r="M133" s="5">
        <v>19900</v>
      </c>
      <c r="N133" s="5">
        <f t="shared" si="6"/>
        <v>19900</v>
      </c>
      <c r="O133" s="11"/>
      <c r="P133" s="9">
        <f t="shared" si="7"/>
        <v>0</v>
      </c>
      <c r="Q133" s="48"/>
      <c r="R133" s="48"/>
      <c r="S133" s="5">
        <f t="shared" si="8"/>
        <v>19900</v>
      </c>
      <c r="T133" s="1" t="s">
        <v>20</v>
      </c>
      <c r="U133" s="1" t="s">
        <v>20</v>
      </c>
      <c r="V133" s="1">
        <v>322</v>
      </c>
      <c r="W133" s="2"/>
      <c r="X133" s="2"/>
      <c r="Y133" s="2"/>
      <c r="Z133" s="21"/>
      <c r="AA133" s="21"/>
      <c r="AB133" s="21"/>
      <c r="AC133" s="12" t="s">
        <v>3653</v>
      </c>
      <c r="AD133" s="2"/>
      <c r="AE133" s="23"/>
      <c r="AF133" s="2"/>
      <c r="AG133" s="2"/>
    </row>
    <row r="134" spans="1:33" s="24" customFormat="1" x14ac:dyDescent="0.25">
      <c r="A134" s="4"/>
      <c r="B134" s="4">
        <v>45299</v>
      </c>
      <c r="C134" s="6" t="s">
        <v>54</v>
      </c>
      <c r="D134" s="224" t="s">
        <v>3489</v>
      </c>
      <c r="E134" s="6" t="s">
        <v>37</v>
      </c>
      <c r="F134" s="102" t="s">
        <v>371</v>
      </c>
      <c r="G134" s="1" t="s">
        <v>371</v>
      </c>
      <c r="H134" s="8">
        <v>4</v>
      </c>
      <c r="I134" s="8">
        <v>4</v>
      </c>
      <c r="J134" s="115">
        <f>Table224[[#This Row],[Qty]]-Table224[[#This Row],[Issue Qty]]</f>
        <v>0</v>
      </c>
      <c r="K134" s="195"/>
      <c r="L134" s="195" t="s">
        <v>3480</v>
      </c>
      <c r="M134" s="5">
        <v>900</v>
      </c>
      <c r="N134" s="5">
        <f t="shared" si="6"/>
        <v>3600</v>
      </c>
      <c r="O134" s="11"/>
      <c r="P134" s="9">
        <f t="shared" si="7"/>
        <v>0</v>
      </c>
      <c r="Q134" s="48"/>
      <c r="R134" s="48"/>
      <c r="S134" s="5">
        <f t="shared" si="8"/>
        <v>3600</v>
      </c>
      <c r="T134" s="1" t="s">
        <v>20</v>
      </c>
      <c r="U134" s="1" t="s">
        <v>20</v>
      </c>
      <c r="V134" s="1">
        <v>322</v>
      </c>
      <c r="W134" s="2"/>
      <c r="X134" s="2"/>
      <c r="Y134" s="2"/>
      <c r="Z134" s="21"/>
      <c r="AA134" s="21"/>
      <c r="AB134" s="21">
        <v>4</v>
      </c>
      <c r="AC134" s="12" t="s">
        <v>365</v>
      </c>
      <c r="AD134" s="2"/>
      <c r="AE134" s="23"/>
      <c r="AF134" s="2"/>
      <c r="AG134" s="2"/>
    </row>
    <row r="135" spans="1:33" s="24" customFormat="1" x14ac:dyDescent="0.25">
      <c r="A135" s="4"/>
      <c r="B135" s="4">
        <v>45300</v>
      </c>
      <c r="C135" s="6" t="s">
        <v>1730</v>
      </c>
      <c r="D135" s="224" t="s">
        <v>3506</v>
      </c>
      <c r="E135" s="6" t="s">
        <v>1830</v>
      </c>
      <c r="F135" s="234" t="s">
        <v>372</v>
      </c>
      <c r="G135" s="1" t="s">
        <v>373</v>
      </c>
      <c r="H135" s="8">
        <v>1</v>
      </c>
      <c r="I135" s="8"/>
      <c r="J135" s="115">
        <f>Table224[[#This Row],[Qty]]-Table224[[#This Row],[Issue Qty]]</f>
        <v>1</v>
      </c>
      <c r="K135" s="195"/>
      <c r="L135" s="195" t="s">
        <v>3480</v>
      </c>
      <c r="M135" s="5">
        <v>40000</v>
      </c>
      <c r="N135" s="5">
        <f t="shared" si="6"/>
        <v>40000</v>
      </c>
      <c r="O135" s="11">
        <v>0.18</v>
      </c>
      <c r="P135" s="9">
        <f t="shared" si="7"/>
        <v>7200</v>
      </c>
      <c r="Q135" s="5">
        <v>0</v>
      </c>
      <c r="R135" s="5"/>
      <c r="S135" s="5">
        <f t="shared" si="8"/>
        <v>47200</v>
      </c>
      <c r="T135" s="1" t="s">
        <v>307</v>
      </c>
      <c r="U135" s="1" t="s">
        <v>307</v>
      </c>
      <c r="V135" s="1" t="s">
        <v>374</v>
      </c>
      <c r="W135" s="1" t="s">
        <v>375</v>
      </c>
      <c r="X135" s="1"/>
      <c r="Y135" s="1"/>
      <c r="Z135" s="8" t="s">
        <v>3177</v>
      </c>
      <c r="AA135" s="8"/>
      <c r="AB135" s="8"/>
      <c r="AC135" s="22" t="s">
        <v>3816</v>
      </c>
      <c r="AD135" s="1"/>
      <c r="AE135" s="23" t="s">
        <v>376</v>
      </c>
      <c r="AF135" s="1"/>
      <c r="AG135" s="2"/>
    </row>
    <row r="136" spans="1:33" s="24" customFormat="1" x14ac:dyDescent="0.25">
      <c r="A136" s="4"/>
      <c r="B136" s="4">
        <v>45300</v>
      </c>
      <c r="C136" s="6" t="s">
        <v>54</v>
      </c>
      <c r="D136" s="224" t="s">
        <v>3590</v>
      </c>
      <c r="E136" s="6" t="s">
        <v>37</v>
      </c>
      <c r="F136" s="102" t="s">
        <v>377</v>
      </c>
      <c r="G136" s="1" t="s">
        <v>377</v>
      </c>
      <c r="H136" s="8">
        <v>1</v>
      </c>
      <c r="I136" s="8">
        <v>1</v>
      </c>
      <c r="J136" s="115">
        <f>Table224[[#This Row],[Qty]]-Table224[[#This Row],[Issue Qty]]</f>
        <v>0</v>
      </c>
      <c r="K136" s="195"/>
      <c r="L136" s="195" t="s">
        <v>3480</v>
      </c>
      <c r="M136" s="5">
        <v>9000</v>
      </c>
      <c r="N136" s="5">
        <f t="shared" si="6"/>
        <v>9000</v>
      </c>
      <c r="O136" s="11"/>
      <c r="P136" s="9">
        <f t="shared" si="7"/>
        <v>0</v>
      </c>
      <c r="Q136" s="48"/>
      <c r="R136" s="48"/>
      <c r="S136" s="5">
        <f t="shared" si="8"/>
        <v>9000</v>
      </c>
      <c r="T136" s="1" t="s">
        <v>307</v>
      </c>
      <c r="U136" s="1" t="s">
        <v>307</v>
      </c>
      <c r="V136" s="1" t="s">
        <v>375</v>
      </c>
      <c r="W136" s="2"/>
      <c r="X136" s="2"/>
      <c r="Y136" s="2"/>
      <c r="Z136" s="21"/>
      <c r="AA136" s="21"/>
      <c r="AB136" s="21">
        <v>1</v>
      </c>
      <c r="AC136" s="12" t="s">
        <v>378</v>
      </c>
      <c r="AD136" s="2"/>
      <c r="AE136" s="23"/>
      <c r="AF136" s="2"/>
      <c r="AG136" s="2"/>
    </row>
    <row r="137" spans="1:33" s="24" customFormat="1" x14ac:dyDescent="0.25">
      <c r="A137" s="4"/>
      <c r="B137" s="4">
        <v>45303</v>
      </c>
      <c r="C137" s="6" t="s">
        <v>1730</v>
      </c>
      <c r="D137" s="224" t="s">
        <v>3493</v>
      </c>
      <c r="E137" s="6" t="s">
        <v>37</v>
      </c>
      <c r="F137" s="102" t="s">
        <v>383</v>
      </c>
      <c r="G137" s="1" t="s">
        <v>383</v>
      </c>
      <c r="H137" s="8">
        <v>1</v>
      </c>
      <c r="I137" s="8"/>
      <c r="J137" s="115">
        <f>Table224[[#This Row],[Qty]]-Table224[[#This Row],[Issue Qty]]</f>
        <v>1</v>
      </c>
      <c r="K137" s="195"/>
      <c r="L137" s="195" t="s">
        <v>3480</v>
      </c>
      <c r="M137" s="5">
        <v>3219.49</v>
      </c>
      <c r="N137" s="5">
        <f t="shared" si="6"/>
        <v>3219.49</v>
      </c>
      <c r="O137" s="11">
        <v>0.18</v>
      </c>
      <c r="P137" s="9">
        <f t="shared" si="7"/>
        <v>579.50819999999999</v>
      </c>
      <c r="Q137" s="5">
        <v>0</v>
      </c>
      <c r="R137" s="5"/>
      <c r="S137" s="5">
        <f t="shared" si="8"/>
        <v>3798.9982</v>
      </c>
      <c r="T137" s="1" t="s">
        <v>307</v>
      </c>
      <c r="U137" s="1" t="s">
        <v>307</v>
      </c>
      <c r="V137" s="1" t="s">
        <v>384</v>
      </c>
      <c r="W137" s="1" t="s">
        <v>1833</v>
      </c>
      <c r="X137" s="1"/>
      <c r="Y137" s="2"/>
      <c r="Z137" s="21" t="s">
        <v>833</v>
      </c>
      <c r="AA137" s="21"/>
      <c r="AB137" s="21"/>
      <c r="AC137" s="12"/>
      <c r="AD137" s="2"/>
      <c r="AE137" s="23"/>
      <c r="AF137" s="2"/>
      <c r="AG137" s="2"/>
    </row>
    <row r="138" spans="1:33" s="24" customFormat="1" x14ac:dyDescent="0.25">
      <c r="A138" s="4"/>
      <c r="B138" s="4">
        <v>45303</v>
      </c>
      <c r="C138" s="1" t="s">
        <v>1991</v>
      </c>
      <c r="D138" s="224" t="s">
        <v>3492</v>
      </c>
      <c r="E138" s="6" t="s">
        <v>1831</v>
      </c>
      <c r="F138" s="234" t="s">
        <v>379</v>
      </c>
      <c r="G138" s="1" t="s">
        <v>380</v>
      </c>
      <c r="H138" s="8">
        <v>2</v>
      </c>
      <c r="I138" s="8">
        <v>2</v>
      </c>
      <c r="J138" s="115">
        <f>Table224[[#This Row],[Qty]]-Table224[[#This Row],[Issue Qty]]</f>
        <v>0</v>
      </c>
      <c r="K138" s="195"/>
      <c r="L138" s="195" t="s">
        <v>3480</v>
      </c>
      <c r="M138" s="5">
        <v>590.47</v>
      </c>
      <c r="N138" s="5">
        <f t="shared" si="6"/>
        <v>1180.94</v>
      </c>
      <c r="O138" s="11">
        <v>0.05</v>
      </c>
      <c r="P138" s="9">
        <f t="shared" si="7"/>
        <v>59.047000000000004</v>
      </c>
      <c r="Q138" s="5">
        <v>0</v>
      </c>
      <c r="R138" s="5"/>
      <c r="S138" s="5">
        <f t="shared" si="8"/>
        <v>1239.9870000000001</v>
      </c>
      <c r="T138" s="1" t="s">
        <v>307</v>
      </c>
      <c r="U138" s="1" t="s">
        <v>307</v>
      </c>
      <c r="V138" s="1" t="s">
        <v>243</v>
      </c>
      <c r="W138" s="1" t="s">
        <v>1832</v>
      </c>
      <c r="X138" s="1"/>
      <c r="Y138" s="2"/>
      <c r="Z138" s="21" t="s">
        <v>72</v>
      </c>
      <c r="AA138" s="21" t="s">
        <v>262</v>
      </c>
      <c r="AB138" s="21">
        <v>2</v>
      </c>
      <c r="AC138" s="12" t="s">
        <v>381</v>
      </c>
      <c r="AD138" s="2"/>
      <c r="AE138" s="23" t="s">
        <v>382</v>
      </c>
      <c r="AF138" s="2"/>
      <c r="AG138" s="2"/>
    </row>
    <row r="139" spans="1:33" s="24" customFormat="1" x14ac:dyDescent="0.25">
      <c r="A139" s="4"/>
      <c r="B139" s="4">
        <v>45308</v>
      </c>
      <c r="C139" s="6" t="s">
        <v>54</v>
      </c>
      <c r="D139" s="224" t="s">
        <v>3494</v>
      </c>
      <c r="E139" s="6" t="s">
        <v>37</v>
      </c>
      <c r="F139" s="102" t="s">
        <v>389</v>
      </c>
      <c r="G139" s="1" t="s">
        <v>389</v>
      </c>
      <c r="H139" s="8">
        <v>1</v>
      </c>
      <c r="I139" s="8"/>
      <c r="J139" s="115">
        <f>Table224[[#This Row],[Qty]]-Table224[[#This Row],[Issue Qty]]</f>
        <v>1</v>
      </c>
      <c r="K139" s="195"/>
      <c r="L139" s="195" t="s">
        <v>3480</v>
      </c>
      <c r="M139" s="5">
        <v>94.6</v>
      </c>
      <c r="N139" s="5">
        <f t="shared" si="6"/>
        <v>94.6</v>
      </c>
      <c r="O139" s="11">
        <v>0.18</v>
      </c>
      <c r="P139" s="9">
        <f t="shared" si="7"/>
        <v>17.027999999999999</v>
      </c>
      <c r="Q139" s="5">
        <v>0</v>
      </c>
      <c r="R139" s="5"/>
      <c r="S139" s="5">
        <f t="shared" si="8"/>
        <v>111.62799999999999</v>
      </c>
      <c r="T139" s="1" t="s">
        <v>307</v>
      </c>
      <c r="U139" s="1" t="s">
        <v>307</v>
      </c>
      <c r="V139" s="1" t="s">
        <v>358</v>
      </c>
      <c r="W139" s="1" t="s">
        <v>1835</v>
      </c>
      <c r="X139" s="1"/>
      <c r="Y139" s="2"/>
      <c r="Z139" s="21" t="s">
        <v>3166</v>
      </c>
      <c r="AA139" s="21"/>
      <c r="AB139" s="21"/>
      <c r="AC139" s="12" t="s">
        <v>381</v>
      </c>
      <c r="AD139" s="2"/>
      <c r="AE139" s="23"/>
      <c r="AF139" s="2"/>
      <c r="AG139" s="2"/>
    </row>
    <row r="140" spans="1:33" s="24" customFormat="1" x14ac:dyDescent="0.25">
      <c r="A140" s="4"/>
      <c r="B140" s="4">
        <v>45308</v>
      </c>
      <c r="C140" s="6" t="s">
        <v>54</v>
      </c>
      <c r="D140" s="224" t="s">
        <v>3489</v>
      </c>
      <c r="E140" s="6" t="s">
        <v>1836</v>
      </c>
      <c r="F140" s="234" t="s">
        <v>390</v>
      </c>
      <c r="G140" s="1" t="s">
        <v>390</v>
      </c>
      <c r="H140" s="8">
        <v>1</v>
      </c>
      <c r="I140" s="8"/>
      <c r="J140" s="115">
        <f>Table224[[#This Row],[Qty]]-Table224[[#This Row],[Issue Qty]]</f>
        <v>1</v>
      </c>
      <c r="K140" s="195"/>
      <c r="L140" s="195" t="s">
        <v>3480</v>
      </c>
      <c r="M140" s="5">
        <v>5233.1000000000004</v>
      </c>
      <c r="N140" s="5">
        <f t="shared" si="6"/>
        <v>5233.1000000000004</v>
      </c>
      <c r="O140" s="11">
        <v>0.18</v>
      </c>
      <c r="P140" s="9">
        <f t="shared" si="7"/>
        <v>941.95800000000008</v>
      </c>
      <c r="Q140" s="5">
        <v>0</v>
      </c>
      <c r="R140" s="5"/>
      <c r="S140" s="5">
        <f t="shared" si="8"/>
        <v>6175.0580000000009</v>
      </c>
      <c r="T140" s="1" t="s">
        <v>307</v>
      </c>
      <c r="U140" s="1" t="s">
        <v>307</v>
      </c>
      <c r="V140" s="1" t="s">
        <v>358</v>
      </c>
      <c r="W140" s="1" t="s">
        <v>1835</v>
      </c>
      <c r="X140" s="1"/>
      <c r="Y140" s="2"/>
      <c r="Z140" s="21" t="s">
        <v>3166</v>
      </c>
      <c r="AA140" s="21"/>
      <c r="AB140" s="21"/>
      <c r="AC140" s="12" t="s">
        <v>381</v>
      </c>
      <c r="AD140" s="2"/>
      <c r="AE140" s="23"/>
      <c r="AF140" s="2"/>
      <c r="AG140" s="2"/>
    </row>
    <row r="141" spans="1:33" s="24" customFormat="1" x14ac:dyDescent="0.25">
      <c r="A141" s="4"/>
      <c r="B141" s="4">
        <v>45308</v>
      </c>
      <c r="C141" s="6" t="s">
        <v>54</v>
      </c>
      <c r="D141" s="224" t="s">
        <v>3489</v>
      </c>
      <c r="E141" s="6" t="s">
        <v>37</v>
      </c>
      <c r="F141" s="102" t="s">
        <v>391</v>
      </c>
      <c r="G141" s="1" t="s">
        <v>391</v>
      </c>
      <c r="H141" s="8">
        <v>1</v>
      </c>
      <c r="I141" s="8"/>
      <c r="J141" s="115">
        <f>Table224[[#This Row],[Qty]]-Table224[[#This Row],[Issue Qty]]</f>
        <v>1</v>
      </c>
      <c r="K141" s="195"/>
      <c r="L141" s="195" t="s">
        <v>3480</v>
      </c>
      <c r="M141" s="5">
        <v>5160</v>
      </c>
      <c r="N141" s="5">
        <f t="shared" si="6"/>
        <v>5160</v>
      </c>
      <c r="O141" s="11">
        <v>0.18</v>
      </c>
      <c r="P141" s="9">
        <f t="shared" si="7"/>
        <v>928.8</v>
      </c>
      <c r="Q141" s="5">
        <v>0</v>
      </c>
      <c r="R141" s="5"/>
      <c r="S141" s="5">
        <f t="shared" si="8"/>
        <v>6088.8</v>
      </c>
      <c r="T141" s="1" t="s">
        <v>307</v>
      </c>
      <c r="U141" s="1" t="s">
        <v>307</v>
      </c>
      <c r="V141" s="1" t="s">
        <v>358</v>
      </c>
      <c r="W141" s="1" t="s">
        <v>1835</v>
      </c>
      <c r="X141" s="1"/>
      <c r="Y141" s="2"/>
      <c r="Z141" s="21" t="s">
        <v>360</v>
      </c>
      <c r="AA141" s="21" t="s">
        <v>361</v>
      </c>
      <c r="AB141" s="21"/>
      <c r="AC141" s="12"/>
      <c r="AD141" s="2"/>
      <c r="AE141" s="23"/>
      <c r="AF141" s="2"/>
      <c r="AG141" s="2"/>
    </row>
    <row r="142" spans="1:33" s="24" customFormat="1" ht="30" x14ac:dyDescent="0.25">
      <c r="A142" s="4"/>
      <c r="B142" s="4">
        <v>45308</v>
      </c>
      <c r="C142" s="6" t="s">
        <v>1695</v>
      </c>
      <c r="D142" s="224" t="s">
        <v>3457</v>
      </c>
      <c r="E142" s="6" t="s">
        <v>1834</v>
      </c>
      <c r="F142" s="234" t="s">
        <v>385</v>
      </c>
      <c r="G142" s="1" t="s">
        <v>386</v>
      </c>
      <c r="H142" s="8">
        <v>1</v>
      </c>
      <c r="I142" s="8">
        <v>1</v>
      </c>
      <c r="J142" s="115">
        <f>Table224[[#This Row],[Qty]]-Table224[[#This Row],[Issue Qty]]</f>
        <v>0</v>
      </c>
      <c r="K142" s="195"/>
      <c r="L142" s="195" t="s">
        <v>3480</v>
      </c>
      <c r="M142" s="5">
        <v>25150</v>
      </c>
      <c r="N142" s="5">
        <f t="shared" si="6"/>
        <v>25150</v>
      </c>
      <c r="O142" s="11">
        <v>0</v>
      </c>
      <c r="P142" s="9">
        <f t="shared" si="7"/>
        <v>0</v>
      </c>
      <c r="Q142" s="5">
        <v>0</v>
      </c>
      <c r="R142" s="5"/>
      <c r="S142" s="5">
        <f t="shared" si="8"/>
        <v>25150</v>
      </c>
      <c r="T142" s="1" t="s">
        <v>20</v>
      </c>
      <c r="U142" s="1" t="s">
        <v>20</v>
      </c>
      <c r="V142" s="1" t="s">
        <v>387</v>
      </c>
      <c r="W142" s="1"/>
      <c r="X142" s="1"/>
      <c r="Y142" s="1"/>
      <c r="Z142" s="8" t="s">
        <v>388</v>
      </c>
      <c r="AA142" s="8"/>
      <c r="AB142" s="8">
        <v>1</v>
      </c>
      <c r="AC142" s="22" t="s">
        <v>2777</v>
      </c>
      <c r="AD142" s="1"/>
      <c r="AE142" s="23"/>
      <c r="AF142" s="1"/>
      <c r="AG142" s="2"/>
    </row>
    <row r="143" spans="1:33" s="24" customFormat="1" ht="30" x14ac:dyDescent="0.25">
      <c r="A143" s="4"/>
      <c r="B143" s="4">
        <v>45310</v>
      </c>
      <c r="C143" s="6" t="s">
        <v>1683</v>
      </c>
      <c r="D143" s="224" t="s">
        <v>3439</v>
      </c>
      <c r="E143" s="6" t="s">
        <v>1837</v>
      </c>
      <c r="F143" s="234" t="s">
        <v>392</v>
      </c>
      <c r="G143" s="1" t="s">
        <v>393</v>
      </c>
      <c r="H143" s="8">
        <v>2</v>
      </c>
      <c r="I143" s="8"/>
      <c r="J143" s="115">
        <f>Table224[[#This Row],[Qty]]-Table224[[#This Row],[Issue Qty]]</f>
        <v>2</v>
      </c>
      <c r="K143" s="195"/>
      <c r="L143" s="195" t="s">
        <v>3480</v>
      </c>
      <c r="M143" s="5">
        <v>2795.76</v>
      </c>
      <c r="N143" s="5">
        <f t="shared" si="6"/>
        <v>5591.52</v>
      </c>
      <c r="O143" s="11">
        <v>0.18</v>
      </c>
      <c r="P143" s="9">
        <f t="shared" si="7"/>
        <v>1006.4736</v>
      </c>
      <c r="Q143" s="5">
        <v>100</v>
      </c>
      <c r="R143" s="5"/>
      <c r="S143" s="5">
        <f t="shared" si="8"/>
        <v>6697.9936000000007</v>
      </c>
      <c r="T143" s="1" t="s">
        <v>307</v>
      </c>
      <c r="U143" s="1" t="s">
        <v>307</v>
      </c>
      <c r="V143" s="1" t="s">
        <v>394</v>
      </c>
      <c r="W143" s="1" t="s">
        <v>1838</v>
      </c>
      <c r="X143" s="1"/>
      <c r="Y143" s="1"/>
      <c r="Z143" s="21" t="s">
        <v>72</v>
      </c>
      <c r="AA143" s="21" t="s">
        <v>352</v>
      </c>
      <c r="AB143" s="8"/>
      <c r="AC143" s="22"/>
      <c r="AD143" s="1"/>
      <c r="AE143" s="23" t="s">
        <v>353</v>
      </c>
      <c r="AF143" s="1"/>
      <c r="AG143" s="2"/>
    </row>
    <row r="144" spans="1:33" s="24" customFormat="1" x14ac:dyDescent="0.25">
      <c r="A144" s="4"/>
      <c r="B144" s="4">
        <v>45311</v>
      </c>
      <c r="C144" s="6" t="s">
        <v>1683</v>
      </c>
      <c r="D144" s="224" t="s">
        <v>1663</v>
      </c>
      <c r="E144" s="6" t="s">
        <v>1839</v>
      </c>
      <c r="F144" s="226" t="s">
        <v>395</v>
      </c>
      <c r="G144" s="1" t="s">
        <v>396</v>
      </c>
      <c r="H144" s="8">
        <v>4</v>
      </c>
      <c r="I144" s="8">
        <v>2</v>
      </c>
      <c r="J144" s="115">
        <f>Table224[[#This Row],[Qty]]-Table224[[#This Row],[Issue Qty]]</f>
        <v>2</v>
      </c>
      <c r="K144" s="195"/>
      <c r="L144" s="195" t="s">
        <v>3480</v>
      </c>
      <c r="M144" s="5">
        <v>22500</v>
      </c>
      <c r="N144" s="5">
        <f t="shared" si="6"/>
        <v>90000</v>
      </c>
      <c r="O144" s="11">
        <v>0.18049999999999999</v>
      </c>
      <c r="P144" s="9">
        <f t="shared" si="7"/>
        <v>16245</v>
      </c>
      <c r="Q144" s="5">
        <v>250</v>
      </c>
      <c r="R144" s="5"/>
      <c r="S144" s="5">
        <f t="shared" si="8"/>
        <v>106495</v>
      </c>
      <c r="T144" s="1" t="s">
        <v>331</v>
      </c>
      <c r="U144" s="1" t="s">
        <v>331</v>
      </c>
      <c r="V144" s="1" t="s">
        <v>896</v>
      </c>
      <c r="W144" s="1" t="s">
        <v>1840</v>
      </c>
      <c r="X144" s="1"/>
      <c r="Y144" s="2"/>
      <c r="Z144" s="8" t="s">
        <v>398</v>
      </c>
      <c r="AA144" s="21"/>
      <c r="AB144" s="21">
        <v>2</v>
      </c>
      <c r="AC144" s="12"/>
      <c r="AD144" s="2"/>
      <c r="AE144" s="23" t="s">
        <v>399</v>
      </c>
      <c r="AF144" s="2"/>
      <c r="AG144" s="2"/>
    </row>
    <row r="145" spans="1:33" s="24" customFormat="1" x14ac:dyDescent="0.25">
      <c r="A145" s="4"/>
      <c r="B145" s="4">
        <v>45313</v>
      </c>
      <c r="C145" s="6" t="s">
        <v>1730</v>
      </c>
      <c r="D145" s="224" t="s">
        <v>3506</v>
      </c>
      <c r="E145" s="6" t="s">
        <v>1841</v>
      </c>
      <c r="F145" s="234" t="s">
        <v>400</v>
      </c>
      <c r="G145" s="1" t="s">
        <v>401</v>
      </c>
      <c r="H145" s="8">
        <v>1</v>
      </c>
      <c r="I145" s="8"/>
      <c r="J145" s="115">
        <f>Table224[[#This Row],[Qty]]-Table224[[#This Row],[Issue Qty]]</f>
        <v>1</v>
      </c>
      <c r="K145" s="195"/>
      <c r="L145" s="195" t="s">
        <v>3480</v>
      </c>
      <c r="M145" s="5">
        <v>18200</v>
      </c>
      <c r="N145" s="5">
        <f t="shared" si="6"/>
        <v>18200</v>
      </c>
      <c r="O145" s="11">
        <v>0.18</v>
      </c>
      <c r="P145" s="9">
        <f t="shared" si="7"/>
        <v>3276</v>
      </c>
      <c r="Q145" s="5">
        <v>0</v>
      </c>
      <c r="R145" s="5"/>
      <c r="S145" s="5">
        <f t="shared" si="8"/>
        <v>21476</v>
      </c>
      <c r="T145" s="1" t="s">
        <v>307</v>
      </c>
      <c r="U145" s="1" t="s">
        <v>307</v>
      </c>
      <c r="V145" s="1" t="s">
        <v>374</v>
      </c>
      <c r="W145" s="1" t="s">
        <v>1842</v>
      </c>
      <c r="X145" s="1"/>
      <c r="Y145" s="1"/>
      <c r="Z145" s="8" t="s">
        <v>3179</v>
      </c>
      <c r="AA145" s="8"/>
      <c r="AB145" s="8"/>
      <c r="AC145" s="22"/>
      <c r="AD145" s="1"/>
      <c r="AE145" s="23" t="s">
        <v>402</v>
      </c>
      <c r="AF145" s="1"/>
      <c r="AG145" s="2"/>
    </row>
    <row r="146" spans="1:33" s="24" customFormat="1" ht="30" x14ac:dyDescent="0.25">
      <c r="A146" s="4"/>
      <c r="B146" s="4">
        <v>45313</v>
      </c>
      <c r="C146" s="1" t="s">
        <v>1991</v>
      </c>
      <c r="D146" s="224" t="s">
        <v>3633</v>
      </c>
      <c r="E146" s="6" t="s">
        <v>1843</v>
      </c>
      <c r="F146" s="257" t="s">
        <v>403</v>
      </c>
      <c r="G146" s="1" t="s">
        <v>404</v>
      </c>
      <c r="H146" s="8">
        <v>2</v>
      </c>
      <c r="I146" s="8">
        <v>1</v>
      </c>
      <c r="J146" s="115">
        <f>Table224[[#This Row],[Qty]]-Table224[[#This Row],[Issue Qty]]</f>
        <v>1</v>
      </c>
      <c r="K146" s="332">
        <v>1</v>
      </c>
      <c r="L146" s="195" t="s">
        <v>3480</v>
      </c>
      <c r="M146" s="5">
        <v>2149</v>
      </c>
      <c r="N146" s="5">
        <f t="shared" si="6"/>
        <v>4298</v>
      </c>
      <c r="O146" s="11">
        <v>0.18</v>
      </c>
      <c r="P146" s="9">
        <f t="shared" si="7"/>
        <v>773.64</v>
      </c>
      <c r="Q146" s="5">
        <v>150</v>
      </c>
      <c r="R146" s="5"/>
      <c r="S146" s="5">
        <f t="shared" si="8"/>
        <v>5221.6400000000003</v>
      </c>
      <c r="T146" s="1" t="s">
        <v>307</v>
      </c>
      <c r="U146" s="1" t="s">
        <v>307</v>
      </c>
      <c r="V146" s="1" t="s">
        <v>405</v>
      </c>
      <c r="W146" s="1" t="s">
        <v>1844</v>
      </c>
      <c r="X146" s="1"/>
      <c r="Y146" s="2"/>
      <c r="Z146" s="21" t="s">
        <v>72</v>
      </c>
      <c r="AA146" s="21" t="s">
        <v>406</v>
      </c>
      <c r="AB146" s="21">
        <v>1</v>
      </c>
      <c r="AC146" s="12" t="s">
        <v>407</v>
      </c>
      <c r="AD146" s="2"/>
      <c r="AE146" s="23"/>
      <c r="AF146" s="2"/>
      <c r="AG146" s="2"/>
    </row>
    <row r="147" spans="1:33" s="24" customFormat="1" ht="30" x14ac:dyDescent="0.25">
      <c r="A147" s="4"/>
      <c r="B147" s="4">
        <v>45321</v>
      </c>
      <c r="C147" s="1" t="s">
        <v>1991</v>
      </c>
      <c r="D147" s="224" t="s">
        <v>3455</v>
      </c>
      <c r="E147" s="26" t="s">
        <v>1845</v>
      </c>
      <c r="F147" s="233" t="s">
        <v>408</v>
      </c>
      <c r="G147" s="1" t="s">
        <v>408</v>
      </c>
      <c r="H147" s="8">
        <v>1</v>
      </c>
      <c r="I147" s="8"/>
      <c r="J147" s="115">
        <f>Table224[[#This Row],[Qty]]-Table224[[#This Row],[Issue Qty]]</f>
        <v>1</v>
      </c>
      <c r="K147" s="195"/>
      <c r="L147" s="195" t="s">
        <v>3480</v>
      </c>
      <c r="M147" s="5">
        <v>14364.39</v>
      </c>
      <c r="N147" s="5">
        <f t="shared" si="6"/>
        <v>14364.39</v>
      </c>
      <c r="O147" s="11">
        <v>0.18</v>
      </c>
      <c r="P147" s="9">
        <f t="shared" si="7"/>
        <v>2585.5901999999996</v>
      </c>
      <c r="Q147" s="5">
        <v>0</v>
      </c>
      <c r="R147" s="5"/>
      <c r="S147" s="5">
        <f t="shared" si="8"/>
        <v>16949.980199999998</v>
      </c>
      <c r="T147" s="1" t="s">
        <v>307</v>
      </c>
      <c r="U147" s="1" t="s">
        <v>307</v>
      </c>
      <c r="V147" s="1" t="s">
        <v>409</v>
      </c>
      <c r="W147" s="1" t="s">
        <v>1846</v>
      </c>
      <c r="X147" s="1"/>
      <c r="Y147" s="1"/>
      <c r="Z147" s="21" t="s">
        <v>327</v>
      </c>
      <c r="AA147" s="21"/>
      <c r="AB147" s="8"/>
      <c r="AC147" s="22"/>
      <c r="AD147" s="1"/>
      <c r="AE147" s="23"/>
      <c r="AF147" s="1"/>
      <c r="AG147" s="2"/>
    </row>
    <row r="148" spans="1:33" s="24" customFormat="1" x14ac:dyDescent="0.25">
      <c r="A148" s="4"/>
      <c r="B148" s="4">
        <v>45339</v>
      </c>
      <c r="C148" s="6" t="s">
        <v>1695</v>
      </c>
      <c r="D148" s="224" t="s">
        <v>3457</v>
      </c>
      <c r="E148" s="6" t="s">
        <v>1805</v>
      </c>
      <c r="F148" s="234" t="s">
        <v>305</v>
      </c>
      <c r="G148" s="1" t="s">
        <v>410</v>
      </c>
      <c r="H148" s="8">
        <v>1</v>
      </c>
      <c r="I148" s="8"/>
      <c r="J148" s="115">
        <f>Table224[[#This Row],[Qty]]-Table224[[#This Row],[Issue Qty]]</f>
        <v>1</v>
      </c>
      <c r="K148" s="195"/>
      <c r="L148" s="195" t="s">
        <v>3480</v>
      </c>
      <c r="M148" s="5">
        <v>1335079.58</v>
      </c>
      <c r="N148" s="5">
        <f t="shared" si="6"/>
        <v>1335079.58</v>
      </c>
      <c r="O148" s="11">
        <v>0</v>
      </c>
      <c r="P148" s="9">
        <f t="shared" si="7"/>
        <v>0</v>
      </c>
      <c r="Q148" s="5">
        <f>252388.43</f>
        <v>252388.43</v>
      </c>
      <c r="R148" s="5"/>
      <c r="S148" s="5">
        <f t="shared" si="8"/>
        <v>1587468.01</v>
      </c>
      <c r="T148" s="49" t="s">
        <v>307</v>
      </c>
      <c r="U148" s="1" t="s">
        <v>307</v>
      </c>
      <c r="V148" s="1" t="s">
        <v>411</v>
      </c>
      <c r="W148" s="1"/>
      <c r="X148" s="1"/>
      <c r="Y148" s="1"/>
      <c r="Z148" s="8" t="s">
        <v>133</v>
      </c>
      <c r="AA148" s="8"/>
      <c r="AB148" s="8"/>
      <c r="AC148" s="22"/>
      <c r="AD148" s="1"/>
      <c r="AE148" s="23"/>
      <c r="AF148" s="1"/>
      <c r="AG148" s="2"/>
    </row>
    <row r="149" spans="1:33" s="24" customFormat="1" ht="30" x14ac:dyDescent="0.25">
      <c r="A149" s="4"/>
      <c r="B149" s="4">
        <v>45339</v>
      </c>
      <c r="C149" s="6" t="s">
        <v>1695</v>
      </c>
      <c r="D149" s="224" t="s">
        <v>3459</v>
      </c>
      <c r="E149" s="6" t="s">
        <v>1847</v>
      </c>
      <c r="F149" s="234" t="s">
        <v>412</v>
      </c>
      <c r="G149" s="1" t="s">
        <v>413</v>
      </c>
      <c r="H149" s="8">
        <v>1</v>
      </c>
      <c r="I149" s="8"/>
      <c r="J149" s="115">
        <f>Table224[[#This Row],[Qty]]-Table224[[#This Row],[Issue Qty]]</f>
        <v>1</v>
      </c>
      <c r="K149" s="195"/>
      <c r="L149" s="195" t="s">
        <v>3480</v>
      </c>
      <c r="M149" s="5">
        <v>220664.46</v>
      </c>
      <c r="N149" s="5">
        <f t="shared" si="6"/>
        <v>220664.46</v>
      </c>
      <c r="O149" s="11">
        <v>0</v>
      </c>
      <c r="P149" s="9">
        <f t="shared" si="7"/>
        <v>0</v>
      </c>
      <c r="Q149" s="5">
        <f>252388.43</f>
        <v>252388.43</v>
      </c>
      <c r="R149" s="5"/>
      <c r="S149" s="5">
        <f t="shared" si="8"/>
        <v>473052.89</v>
      </c>
      <c r="T149" s="49" t="s">
        <v>307</v>
      </c>
      <c r="U149" s="1" t="s">
        <v>307</v>
      </c>
      <c r="V149" s="1" t="s">
        <v>411</v>
      </c>
      <c r="W149" s="1"/>
      <c r="X149" s="1"/>
      <c r="Y149" s="1"/>
      <c r="Z149" s="8" t="s">
        <v>133</v>
      </c>
      <c r="AA149" s="8"/>
      <c r="AB149" s="8"/>
      <c r="AC149" s="22"/>
      <c r="AD149" s="1"/>
      <c r="AE149" s="23" t="s">
        <v>414</v>
      </c>
      <c r="AF149" s="1"/>
      <c r="AG149" s="2"/>
    </row>
    <row r="150" spans="1:33" s="24" customFormat="1" ht="30" x14ac:dyDescent="0.25">
      <c r="A150" s="4"/>
      <c r="B150" s="4">
        <v>45341</v>
      </c>
      <c r="C150" s="1" t="s">
        <v>1991</v>
      </c>
      <c r="D150" s="224" t="s">
        <v>3459</v>
      </c>
      <c r="E150" s="26" t="s">
        <v>1848</v>
      </c>
      <c r="F150" s="233" t="s">
        <v>415</v>
      </c>
      <c r="G150" s="1" t="s">
        <v>415</v>
      </c>
      <c r="H150" s="8">
        <v>1</v>
      </c>
      <c r="I150" s="8"/>
      <c r="J150" s="115">
        <f>Table224[[#This Row],[Qty]]-Table224[[#This Row],[Issue Qty]]</f>
        <v>1</v>
      </c>
      <c r="K150" s="195"/>
      <c r="L150" s="195" t="s">
        <v>3480</v>
      </c>
      <c r="M150" s="5">
        <v>45238.1</v>
      </c>
      <c r="N150" s="5">
        <f t="shared" si="6"/>
        <v>45238.1</v>
      </c>
      <c r="O150" s="11">
        <v>5.1671268245129701E-2</v>
      </c>
      <c r="P150" s="9">
        <f t="shared" si="7"/>
        <v>2337.510000000002</v>
      </c>
      <c r="Q150" s="5">
        <v>420</v>
      </c>
      <c r="R150" s="5"/>
      <c r="S150" s="5">
        <f t="shared" si="8"/>
        <v>47995.61</v>
      </c>
      <c r="T150" s="1" t="s">
        <v>416</v>
      </c>
      <c r="U150" s="1" t="s">
        <v>1849</v>
      </c>
      <c r="V150" s="1" t="s">
        <v>417</v>
      </c>
      <c r="W150" s="1" t="s">
        <v>1850</v>
      </c>
      <c r="X150" s="1"/>
      <c r="Y150" s="1"/>
      <c r="Z150" s="8" t="s">
        <v>388</v>
      </c>
      <c r="AA150" s="8"/>
      <c r="AB150" s="8"/>
      <c r="AC150" s="22"/>
      <c r="AD150" s="1"/>
      <c r="AE150" s="23"/>
      <c r="AF150" s="1"/>
      <c r="AG150" s="2"/>
    </row>
    <row r="151" spans="1:33" s="24" customFormat="1" x14ac:dyDescent="0.25">
      <c r="A151" s="4"/>
      <c r="B151" s="4">
        <v>45341</v>
      </c>
      <c r="C151" s="1" t="s">
        <v>1991</v>
      </c>
      <c r="D151" s="6" t="s">
        <v>1730</v>
      </c>
      <c r="E151" s="26" t="s">
        <v>1851</v>
      </c>
      <c r="F151" s="233" t="s">
        <v>418</v>
      </c>
      <c r="G151" s="1" t="s">
        <v>419</v>
      </c>
      <c r="H151" s="8">
        <v>1</v>
      </c>
      <c r="I151" s="8"/>
      <c r="J151" s="115">
        <f>Table224[[#This Row],[Qty]]-Table224[[#This Row],[Issue Qty]]</f>
        <v>1</v>
      </c>
      <c r="K151" s="195"/>
      <c r="L151" s="195" t="s">
        <v>3480</v>
      </c>
      <c r="M151" s="5">
        <v>1798.1</v>
      </c>
      <c r="N151" s="5">
        <f t="shared" si="6"/>
        <v>1798.1</v>
      </c>
      <c r="O151" s="11">
        <v>0.05</v>
      </c>
      <c r="P151" s="9">
        <f t="shared" si="7"/>
        <v>89.905000000000001</v>
      </c>
      <c r="Q151" s="5">
        <v>0</v>
      </c>
      <c r="R151" s="5"/>
      <c r="S151" s="5">
        <f t="shared" si="8"/>
        <v>1888.0049999999999</v>
      </c>
      <c r="T151" s="1" t="s">
        <v>416</v>
      </c>
      <c r="U151" s="1" t="s">
        <v>1742</v>
      </c>
      <c r="V151" s="1" t="s">
        <v>243</v>
      </c>
      <c r="W151" s="1" t="s">
        <v>1852</v>
      </c>
      <c r="X151" s="1"/>
      <c r="Y151" s="1"/>
      <c r="Z151" s="21" t="s">
        <v>313</v>
      </c>
      <c r="AA151" s="21"/>
      <c r="AB151" s="8"/>
      <c r="AC151" s="22"/>
      <c r="AD151" s="1"/>
      <c r="AE151" s="23"/>
      <c r="AF151" s="1"/>
      <c r="AG151" s="2"/>
    </row>
    <row r="152" spans="1:33" s="24" customFormat="1" x14ac:dyDescent="0.25">
      <c r="A152" s="4"/>
      <c r="B152" s="4">
        <v>45342</v>
      </c>
      <c r="C152" s="6" t="s">
        <v>54</v>
      </c>
      <c r="D152" s="224"/>
      <c r="E152" s="6" t="s">
        <v>37</v>
      </c>
      <c r="F152" s="102" t="s">
        <v>422</v>
      </c>
      <c r="G152" s="1" t="s">
        <v>422</v>
      </c>
      <c r="H152" s="8">
        <v>1</v>
      </c>
      <c r="I152" s="8">
        <v>1</v>
      </c>
      <c r="J152" s="115">
        <f>Table224[[#This Row],[Qty]]-Table224[[#This Row],[Issue Qty]]</f>
        <v>0</v>
      </c>
      <c r="K152" s="195"/>
      <c r="L152" s="195" t="s">
        <v>3480</v>
      </c>
      <c r="M152" s="5">
        <v>410204.89</v>
      </c>
      <c r="N152" s="5">
        <f t="shared" si="6"/>
        <v>410204.89</v>
      </c>
      <c r="O152" s="11">
        <v>0</v>
      </c>
      <c r="P152" s="9">
        <f t="shared" si="7"/>
        <v>0</v>
      </c>
      <c r="Q152" s="5">
        <v>198224</v>
      </c>
      <c r="R152" s="5"/>
      <c r="S152" s="5">
        <f t="shared" si="8"/>
        <v>608428.89</v>
      </c>
      <c r="T152" s="1" t="s">
        <v>331</v>
      </c>
      <c r="U152" s="1" t="s">
        <v>331</v>
      </c>
      <c r="V152" s="1" t="s">
        <v>56</v>
      </c>
      <c r="W152" s="1"/>
      <c r="X152" s="1"/>
      <c r="Y152" s="2"/>
      <c r="Z152" s="21"/>
      <c r="AA152" s="21"/>
      <c r="AB152" s="21"/>
      <c r="AC152" s="12" t="s">
        <v>423</v>
      </c>
      <c r="AD152" s="2"/>
      <c r="AE152" s="23"/>
      <c r="AF152" s="2"/>
      <c r="AG152" s="2"/>
    </row>
    <row r="153" spans="1:33" s="24" customFormat="1" x14ac:dyDescent="0.25">
      <c r="A153" s="4"/>
      <c r="B153" s="4">
        <v>45355</v>
      </c>
      <c r="C153" s="1" t="s">
        <v>1991</v>
      </c>
      <c r="D153" s="224" t="s">
        <v>3493</v>
      </c>
      <c r="E153" s="26" t="s">
        <v>1824</v>
      </c>
      <c r="F153" s="231" t="s">
        <v>340</v>
      </c>
      <c r="G153" s="1" t="s">
        <v>340</v>
      </c>
      <c r="H153" s="8">
        <v>4</v>
      </c>
      <c r="I153" s="8"/>
      <c r="J153" s="115">
        <f>Table224[[#This Row],[Qty]]-Table224[[#This Row],[Issue Qty]]</f>
        <v>4</v>
      </c>
      <c r="K153" s="195"/>
      <c r="L153" s="195" t="s">
        <v>3480</v>
      </c>
      <c r="M153" s="5">
        <v>215</v>
      </c>
      <c r="N153" s="5">
        <f t="shared" si="6"/>
        <v>860</v>
      </c>
      <c r="O153" s="11">
        <v>0.18</v>
      </c>
      <c r="P153" s="9">
        <f t="shared" si="7"/>
        <v>154.79999999999998</v>
      </c>
      <c r="Q153" s="5">
        <v>120</v>
      </c>
      <c r="R153" s="5"/>
      <c r="S153" s="5">
        <f t="shared" si="8"/>
        <v>1134.8</v>
      </c>
      <c r="T153" s="1" t="s">
        <v>307</v>
      </c>
      <c r="U153" s="1" t="s">
        <v>307</v>
      </c>
      <c r="V153" s="1" t="s">
        <v>343</v>
      </c>
      <c r="W153" s="1" t="s">
        <v>1853</v>
      </c>
      <c r="X153" s="1"/>
      <c r="Y153" s="1"/>
      <c r="Z153" s="8" t="s">
        <v>89</v>
      </c>
      <c r="AA153" s="21" t="s">
        <v>342</v>
      </c>
      <c r="AB153" s="8"/>
      <c r="AC153" s="22"/>
      <c r="AD153" s="1"/>
      <c r="AE153" s="23"/>
      <c r="AF153" s="1"/>
      <c r="AG153" s="2"/>
    </row>
    <row r="154" spans="1:33" s="24" customFormat="1" x14ac:dyDescent="0.25">
      <c r="A154" s="4"/>
      <c r="B154" s="4">
        <v>45355</v>
      </c>
      <c r="C154" s="6" t="s">
        <v>1683</v>
      </c>
      <c r="D154" s="224" t="s">
        <v>3429</v>
      </c>
      <c r="E154" s="26" t="s">
        <v>1854</v>
      </c>
      <c r="F154" s="233" t="s">
        <v>424</v>
      </c>
      <c r="G154" s="1" t="s">
        <v>425</v>
      </c>
      <c r="H154" s="8">
        <v>7</v>
      </c>
      <c r="I154" s="8"/>
      <c r="J154" s="115">
        <f>Table224[[#This Row],[Qty]]-Table224[[#This Row],[Issue Qty]]</f>
        <v>7</v>
      </c>
      <c r="K154" s="195"/>
      <c r="L154" s="195" t="s">
        <v>3480</v>
      </c>
      <c r="M154" s="5">
        <v>3800</v>
      </c>
      <c r="N154" s="5">
        <f t="shared" si="6"/>
        <v>26600</v>
      </c>
      <c r="O154" s="11">
        <v>0.05</v>
      </c>
      <c r="P154" s="9">
        <f t="shared" si="7"/>
        <v>1330</v>
      </c>
      <c r="Q154" s="5">
        <v>0</v>
      </c>
      <c r="R154" s="5"/>
      <c r="S154" s="5">
        <f t="shared" si="8"/>
        <v>27930</v>
      </c>
      <c r="T154" s="1" t="s">
        <v>20</v>
      </c>
      <c r="U154" s="1" t="s">
        <v>1742</v>
      </c>
      <c r="V154" s="1" t="s">
        <v>290</v>
      </c>
      <c r="W154" s="1" t="s">
        <v>1855</v>
      </c>
      <c r="X154" s="1"/>
      <c r="Y154" s="1"/>
      <c r="Z154" s="21" t="s">
        <v>22</v>
      </c>
      <c r="AA154" s="21" t="s">
        <v>426</v>
      </c>
      <c r="AB154" s="8"/>
      <c r="AC154" s="22"/>
      <c r="AD154" s="1"/>
      <c r="AE154" s="23"/>
      <c r="AF154" s="1"/>
      <c r="AG154" s="2"/>
    </row>
    <row r="155" spans="1:33" s="24" customFormat="1" x14ac:dyDescent="0.25">
      <c r="A155" s="4"/>
      <c r="B155" s="4">
        <v>45356</v>
      </c>
      <c r="C155" s="1" t="s">
        <v>1991</v>
      </c>
      <c r="D155" s="224" t="s">
        <v>3443</v>
      </c>
      <c r="E155" s="26" t="s">
        <v>1856</v>
      </c>
      <c r="F155" s="233" t="s">
        <v>427</v>
      </c>
      <c r="G155" s="1" t="s">
        <v>428</v>
      </c>
      <c r="H155" s="8">
        <v>2</v>
      </c>
      <c r="I155" s="8"/>
      <c r="J155" s="115">
        <f>Table224[[#This Row],[Qty]]-Table224[[#This Row],[Issue Qty]]</f>
        <v>2</v>
      </c>
      <c r="K155" s="195"/>
      <c r="L155" s="195" t="s">
        <v>3480</v>
      </c>
      <c r="M155" s="5">
        <v>557.96199999999999</v>
      </c>
      <c r="N155" s="5">
        <f t="shared" si="6"/>
        <v>1115.924</v>
      </c>
      <c r="O155" s="11">
        <v>0.05</v>
      </c>
      <c r="P155" s="9">
        <f t="shared" si="7"/>
        <v>55.796199999999999</v>
      </c>
      <c r="Q155" s="5">
        <f>250/14</f>
        <v>17.857142857142858</v>
      </c>
      <c r="R155" s="5"/>
      <c r="S155" s="5">
        <f t="shared" si="8"/>
        <v>1189.5773428571429</v>
      </c>
      <c r="T155" s="1" t="s">
        <v>20</v>
      </c>
      <c r="U155" s="1" t="s">
        <v>1857</v>
      </c>
      <c r="V155" s="1" t="s">
        <v>243</v>
      </c>
      <c r="W155" s="1" t="s">
        <v>1858</v>
      </c>
      <c r="X155" s="1"/>
      <c r="Y155" s="1"/>
      <c r="Z155" s="21" t="s">
        <v>25</v>
      </c>
      <c r="AA155" s="21" t="s">
        <v>26</v>
      </c>
      <c r="AB155" s="8"/>
      <c r="AC155" s="22"/>
      <c r="AD155" s="1"/>
      <c r="AE155" s="23"/>
      <c r="AF155" s="1"/>
      <c r="AG155" s="2"/>
    </row>
    <row r="156" spans="1:33" s="24" customFormat="1" x14ac:dyDescent="0.25">
      <c r="A156" s="4"/>
      <c r="B156" s="4">
        <v>45356</v>
      </c>
      <c r="C156" s="6" t="s">
        <v>54</v>
      </c>
      <c r="D156" s="224" t="s">
        <v>3430</v>
      </c>
      <c r="E156" s="6" t="s">
        <v>1860</v>
      </c>
      <c r="F156" s="102" t="s">
        <v>432</v>
      </c>
      <c r="G156" s="1" t="s">
        <v>433</v>
      </c>
      <c r="H156" s="8">
        <v>17</v>
      </c>
      <c r="I156" s="8"/>
      <c r="J156" s="115">
        <f>Table224[[#This Row],[Qty]]-Table224[[#This Row],[Issue Qty]]</f>
        <v>17</v>
      </c>
      <c r="K156" s="195"/>
      <c r="L156" s="195" t="s">
        <v>3479</v>
      </c>
      <c r="M156" s="5">
        <v>264.3811</v>
      </c>
      <c r="N156" s="5">
        <f t="shared" si="6"/>
        <v>4494.4786999999997</v>
      </c>
      <c r="O156" s="11">
        <v>0.05</v>
      </c>
      <c r="P156" s="9">
        <f t="shared" si="7"/>
        <v>224.72393499999998</v>
      </c>
      <c r="Q156" s="5">
        <f>250/14</f>
        <v>17.857142857142858</v>
      </c>
      <c r="R156" s="5"/>
      <c r="S156" s="5">
        <f t="shared" si="8"/>
        <v>4737.0597778571428</v>
      </c>
      <c r="T156" s="1" t="s">
        <v>20</v>
      </c>
      <c r="U156" s="1" t="s">
        <v>1857</v>
      </c>
      <c r="V156" s="1" t="s">
        <v>243</v>
      </c>
      <c r="W156" s="1" t="s">
        <v>1858</v>
      </c>
      <c r="X156" s="1"/>
      <c r="Y156" s="2"/>
      <c r="Z156" s="21" t="s">
        <v>3473</v>
      </c>
      <c r="AA156" s="21" t="s">
        <v>434</v>
      </c>
      <c r="AB156" s="21"/>
      <c r="AC156" s="12"/>
      <c r="AD156" s="2"/>
      <c r="AE156" s="23"/>
      <c r="AF156" s="1"/>
      <c r="AG156" s="2"/>
    </row>
    <row r="157" spans="1:33" s="24" customFormat="1" x14ac:dyDescent="0.25">
      <c r="A157" s="4"/>
      <c r="B157" s="4">
        <v>45356</v>
      </c>
      <c r="C157" s="6" t="s">
        <v>1683</v>
      </c>
      <c r="D157" s="224" t="s">
        <v>3429</v>
      </c>
      <c r="E157" s="26" t="s">
        <v>1859</v>
      </c>
      <c r="F157" s="233" t="s">
        <v>429</v>
      </c>
      <c r="G157" s="1" t="s">
        <v>430</v>
      </c>
      <c r="H157" s="8">
        <v>2</v>
      </c>
      <c r="I157" s="8"/>
      <c r="J157" s="115">
        <f>Table224[[#This Row],[Qty]]-Table224[[#This Row],[Issue Qty]]</f>
        <v>2</v>
      </c>
      <c r="K157" s="195"/>
      <c r="L157" s="195" t="s">
        <v>3480</v>
      </c>
      <c r="M157" s="5">
        <v>2852.7139999999999</v>
      </c>
      <c r="N157" s="5">
        <f t="shared" si="6"/>
        <v>5705.4279999999999</v>
      </c>
      <c r="O157" s="11">
        <v>0.05</v>
      </c>
      <c r="P157" s="9">
        <f t="shared" si="7"/>
        <v>285.27140000000003</v>
      </c>
      <c r="Q157" s="5">
        <f>250/14</f>
        <v>17.857142857142858</v>
      </c>
      <c r="R157" s="5"/>
      <c r="S157" s="5">
        <f t="shared" si="8"/>
        <v>6008.5565428571426</v>
      </c>
      <c r="T157" s="1" t="s">
        <v>20</v>
      </c>
      <c r="U157" s="1" t="s">
        <v>1857</v>
      </c>
      <c r="V157" s="1" t="s">
        <v>243</v>
      </c>
      <c r="W157" s="1" t="s">
        <v>1858</v>
      </c>
      <c r="X157" s="1"/>
      <c r="Y157" s="1"/>
      <c r="Z157" s="21" t="s">
        <v>22</v>
      </c>
      <c r="AA157" s="21" t="s">
        <v>431</v>
      </c>
      <c r="AB157" s="8"/>
      <c r="AC157" s="22"/>
      <c r="AD157" s="1"/>
      <c r="AE157" s="23"/>
      <c r="AF157" s="1"/>
      <c r="AG157" s="2"/>
    </row>
    <row r="158" spans="1:33" s="24" customFormat="1" ht="30" x14ac:dyDescent="0.25">
      <c r="A158" s="4"/>
      <c r="B158" s="4">
        <v>45357</v>
      </c>
      <c r="C158" s="6" t="s">
        <v>1683</v>
      </c>
      <c r="D158" s="224" t="s">
        <v>3439</v>
      </c>
      <c r="E158" s="26" t="s">
        <v>1861</v>
      </c>
      <c r="F158" s="236" t="s">
        <v>435</v>
      </c>
      <c r="G158" s="1" t="s">
        <v>436</v>
      </c>
      <c r="H158" s="8">
        <v>2</v>
      </c>
      <c r="I158" s="8">
        <v>2</v>
      </c>
      <c r="J158" s="115">
        <f>Table224[[#This Row],[Qty]]-Table224[[#This Row],[Issue Qty]]</f>
        <v>0</v>
      </c>
      <c r="K158" s="332">
        <v>1</v>
      </c>
      <c r="L158" s="195" t="s">
        <v>3480</v>
      </c>
      <c r="M158" s="5">
        <v>200</v>
      </c>
      <c r="N158" s="5">
        <f t="shared" si="6"/>
        <v>400</v>
      </c>
      <c r="O158" s="11">
        <v>0.18</v>
      </c>
      <c r="P158" s="9">
        <f t="shared" si="7"/>
        <v>72</v>
      </c>
      <c r="Q158" s="5">
        <v>62</v>
      </c>
      <c r="R158" s="5"/>
      <c r="S158" s="5">
        <f t="shared" si="8"/>
        <v>534</v>
      </c>
      <c r="T158" s="1" t="s">
        <v>437</v>
      </c>
      <c r="U158" s="1" t="s">
        <v>20</v>
      </c>
      <c r="V158" s="1" t="s">
        <v>243</v>
      </c>
      <c r="W158" s="1" t="s">
        <v>1862</v>
      </c>
      <c r="X158" s="1"/>
      <c r="Y158" s="2"/>
      <c r="Z158" s="8" t="s">
        <v>72</v>
      </c>
      <c r="AA158" s="8" t="s">
        <v>117</v>
      </c>
      <c r="AB158" s="21">
        <v>1</v>
      </c>
      <c r="AC158" s="12" t="s">
        <v>3796</v>
      </c>
      <c r="AD158" s="2" t="s">
        <v>3797</v>
      </c>
      <c r="AE158" s="23"/>
      <c r="AF158" s="2"/>
      <c r="AG158" s="2"/>
    </row>
    <row r="159" spans="1:33" s="24" customFormat="1" ht="30" x14ac:dyDescent="0.25">
      <c r="A159" s="4"/>
      <c r="B159" s="4">
        <v>45383</v>
      </c>
      <c r="C159" s="6" t="s">
        <v>54</v>
      </c>
      <c r="D159" s="224" t="s">
        <v>3430</v>
      </c>
      <c r="E159" s="26" t="s">
        <v>1863</v>
      </c>
      <c r="F159" s="233" t="s">
        <v>439</v>
      </c>
      <c r="G159" s="1" t="s">
        <v>439</v>
      </c>
      <c r="H159" s="8">
        <v>30</v>
      </c>
      <c r="I159" s="8"/>
      <c r="J159" s="115">
        <f>Table224[[#This Row],[Qty]]-Table224[[#This Row],[Issue Qty]]</f>
        <v>30</v>
      </c>
      <c r="K159" s="195"/>
      <c r="L159" s="195" t="s">
        <v>3479</v>
      </c>
      <c r="M159" s="5">
        <v>1530</v>
      </c>
      <c r="N159" s="5">
        <f t="shared" si="6"/>
        <v>45900</v>
      </c>
      <c r="O159" s="11">
        <v>0.18</v>
      </c>
      <c r="P159" s="9">
        <f t="shared" si="7"/>
        <v>8262</v>
      </c>
      <c r="Q159" s="5"/>
      <c r="R159" s="5"/>
      <c r="S159" s="5">
        <f t="shared" si="8"/>
        <v>54162</v>
      </c>
      <c r="T159" s="1" t="s">
        <v>20</v>
      </c>
      <c r="U159" s="1" t="s">
        <v>1857</v>
      </c>
      <c r="V159" s="1" t="s">
        <v>440</v>
      </c>
      <c r="W159" s="1" t="s">
        <v>1864</v>
      </c>
      <c r="X159" s="1">
        <v>42021990</v>
      </c>
      <c r="Y159" s="1" t="s">
        <v>1865</v>
      </c>
      <c r="Z159" s="21" t="s">
        <v>156</v>
      </c>
      <c r="AA159" s="21" t="s">
        <v>441</v>
      </c>
      <c r="AB159" s="8"/>
      <c r="AC159" s="22"/>
      <c r="AD159" s="1"/>
      <c r="AE159" s="23"/>
      <c r="AF159" s="1"/>
      <c r="AG159" s="2"/>
    </row>
    <row r="160" spans="1:33" s="24" customFormat="1" ht="30" x14ac:dyDescent="0.25">
      <c r="A160" s="4"/>
      <c r="B160" s="4">
        <v>45408</v>
      </c>
      <c r="C160" s="6" t="s">
        <v>54</v>
      </c>
      <c r="D160" s="224" t="s">
        <v>3500</v>
      </c>
      <c r="E160" s="26" t="s">
        <v>1870</v>
      </c>
      <c r="F160" s="231" t="s">
        <v>450</v>
      </c>
      <c r="G160" s="1" t="s">
        <v>451</v>
      </c>
      <c r="H160" s="8">
        <v>4</v>
      </c>
      <c r="I160" s="8"/>
      <c r="J160" s="115">
        <f>Table224[[#This Row],[Qty]]-Table224[[#This Row],[Issue Qty]]</f>
        <v>4</v>
      </c>
      <c r="K160" s="195"/>
      <c r="L160" s="195" t="s">
        <v>3480</v>
      </c>
      <c r="M160" s="5">
        <v>2350</v>
      </c>
      <c r="N160" s="5">
        <f t="shared" si="6"/>
        <v>9400</v>
      </c>
      <c r="O160" s="11">
        <v>0.05</v>
      </c>
      <c r="P160" s="9">
        <f t="shared" si="7"/>
        <v>470</v>
      </c>
      <c r="Q160" s="5">
        <v>0</v>
      </c>
      <c r="R160" s="5"/>
      <c r="S160" s="5">
        <f t="shared" si="8"/>
        <v>9870</v>
      </c>
      <c r="T160" s="1" t="s">
        <v>42</v>
      </c>
      <c r="U160" s="1" t="s">
        <v>1867</v>
      </c>
      <c r="V160" s="1" t="s">
        <v>444</v>
      </c>
      <c r="W160" s="1" t="s">
        <v>1868</v>
      </c>
      <c r="X160" s="1"/>
      <c r="Y160" s="1"/>
      <c r="Z160" s="21" t="s">
        <v>445</v>
      </c>
      <c r="AA160" s="21" t="s">
        <v>446</v>
      </c>
      <c r="AB160" s="8"/>
      <c r="AC160" s="22"/>
      <c r="AD160" s="1"/>
      <c r="AE160" s="23"/>
      <c r="AF160" s="1"/>
      <c r="AG160" s="2"/>
    </row>
    <row r="161" spans="1:33" s="24" customFormat="1" ht="30" x14ac:dyDescent="0.25">
      <c r="A161" s="4"/>
      <c r="B161" s="4">
        <v>45408</v>
      </c>
      <c r="C161" s="6" t="s">
        <v>54</v>
      </c>
      <c r="D161" s="224" t="s">
        <v>3500</v>
      </c>
      <c r="E161" s="26" t="s">
        <v>1870</v>
      </c>
      <c r="F161" s="231" t="s">
        <v>450</v>
      </c>
      <c r="G161" s="1" t="s">
        <v>451</v>
      </c>
      <c r="H161" s="8">
        <v>6</v>
      </c>
      <c r="I161" s="8"/>
      <c r="J161" s="115">
        <f>Table224[[#This Row],[Qty]]-Table224[[#This Row],[Issue Qty]]</f>
        <v>6</v>
      </c>
      <c r="K161" s="195"/>
      <c r="L161" s="195" t="s">
        <v>3480</v>
      </c>
      <c r="M161" s="5">
        <v>2350</v>
      </c>
      <c r="N161" s="5">
        <f t="shared" si="6"/>
        <v>14100</v>
      </c>
      <c r="O161" s="11">
        <v>0.05</v>
      </c>
      <c r="P161" s="9">
        <f t="shared" si="7"/>
        <v>705</v>
      </c>
      <c r="Q161" s="5">
        <v>0</v>
      </c>
      <c r="R161" s="5"/>
      <c r="S161" s="5">
        <f t="shared" si="8"/>
        <v>14805</v>
      </c>
      <c r="T161" s="1" t="s">
        <v>42</v>
      </c>
      <c r="U161" s="1" t="s">
        <v>1867</v>
      </c>
      <c r="V161" s="1" t="s">
        <v>444</v>
      </c>
      <c r="W161" s="1" t="s">
        <v>1868</v>
      </c>
      <c r="X161" s="1"/>
      <c r="Y161" s="1"/>
      <c r="Z161" s="21" t="s">
        <v>445</v>
      </c>
      <c r="AA161" s="21" t="s">
        <v>446</v>
      </c>
      <c r="AB161" s="8"/>
      <c r="AC161" s="22"/>
      <c r="AD161" s="1"/>
      <c r="AE161" s="23"/>
      <c r="AF161" s="1"/>
      <c r="AG161" s="2"/>
    </row>
    <row r="162" spans="1:33" s="24" customFormat="1" x14ac:dyDescent="0.25">
      <c r="A162" s="4"/>
      <c r="B162" s="4">
        <v>45408</v>
      </c>
      <c r="C162" s="6" t="s">
        <v>54</v>
      </c>
      <c r="D162" s="224"/>
      <c r="E162" s="6" t="s">
        <v>37</v>
      </c>
      <c r="F162" s="102" t="s">
        <v>464</v>
      </c>
      <c r="G162" s="1" t="s">
        <v>464</v>
      </c>
      <c r="H162" s="8">
        <v>8</v>
      </c>
      <c r="I162" s="8">
        <v>8</v>
      </c>
      <c r="J162" s="115">
        <f>Table224[[#This Row],[Qty]]-Table224[[#This Row],[Issue Qty]]</f>
        <v>0</v>
      </c>
      <c r="K162" s="195"/>
      <c r="L162" s="195" t="s">
        <v>3480</v>
      </c>
      <c r="M162" s="5">
        <v>65</v>
      </c>
      <c r="N162" s="5">
        <f t="shared" si="6"/>
        <v>520</v>
      </c>
      <c r="O162" s="11">
        <v>0.05</v>
      </c>
      <c r="P162" s="9">
        <f t="shared" si="7"/>
        <v>26</v>
      </c>
      <c r="Q162" s="5">
        <v>0</v>
      </c>
      <c r="R162" s="5"/>
      <c r="S162" s="5">
        <f t="shared" si="8"/>
        <v>546</v>
      </c>
      <c r="T162" s="1" t="s">
        <v>42</v>
      </c>
      <c r="U162" s="1" t="s">
        <v>1867</v>
      </c>
      <c r="V162" s="1" t="s">
        <v>444</v>
      </c>
      <c r="W162" s="1" t="s">
        <v>1868</v>
      </c>
      <c r="X162" s="1"/>
      <c r="Y162" s="2"/>
      <c r="Z162" s="21" t="s">
        <v>465</v>
      </c>
      <c r="AA162" s="21"/>
      <c r="AB162" s="21">
        <v>8</v>
      </c>
      <c r="AC162" s="12" t="s">
        <v>3814</v>
      </c>
      <c r="AD162" s="2"/>
      <c r="AE162" s="23"/>
      <c r="AF162" s="2"/>
      <c r="AG162" s="2"/>
    </row>
    <row r="163" spans="1:33" s="24" customFormat="1" x14ac:dyDescent="0.25">
      <c r="A163" s="4"/>
      <c r="B163" s="4">
        <v>45408</v>
      </c>
      <c r="C163" s="6" t="s">
        <v>54</v>
      </c>
      <c r="D163" s="224"/>
      <c r="E163" s="6" t="s">
        <v>37</v>
      </c>
      <c r="F163" s="102" t="s">
        <v>466</v>
      </c>
      <c r="G163" s="1" t="s">
        <v>466</v>
      </c>
      <c r="H163" s="8">
        <v>8</v>
      </c>
      <c r="I163" s="8">
        <v>8</v>
      </c>
      <c r="J163" s="115">
        <f>Table224[[#This Row],[Qty]]-Table224[[#This Row],[Issue Qty]]</f>
        <v>0</v>
      </c>
      <c r="K163" s="195"/>
      <c r="L163" s="195" t="s">
        <v>3480</v>
      </c>
      <c r="M163" s="5">
        <v>84</v>
      </c>
      <c r="N163" s="5">
        <f t="shared" si="6"/>
        <v>672</v>
      </c>
      <c r="O163" s="11">
        <v>0.05</v>
      </c>
      <c r="P163" s="9">
        <f t="shared" si="7"/>
        <v>33.6</v>
      </c>
      <c r="Q163" s="5">
        <v>0</v>
      </c>
      <c r="R163" s="5"/>
      <c r="S163" s="5">
        <f t="shared" si="8"/>
        <v>705.6</v>
      </c>
      <c r="T163" s="1" t="s">
        <v>42</v>
      </c>
      <c r="U163" s="1" t="s">
        <v>1867</v>
      </c>
      <c r="V163" s="1" t="s">
        <v>444</v>
      </c>
      <c r="W163" s="1" t="s">
        <v>1868</v>
      </c>
      <c r="X163" s="1"/>
      <c r="Y163" s="2"/>
      <c r="Z163" s="21" t="s">
        <v>465</v>
      </c>
      <c r="AA163" s="21"/>
      <c r="AB163" s="21">
        <v>8</v>
      </c>
      <c r="AC163" s="12" t="s">
        <v>3814</v>
      </c>
      <c r="AD163" s="2"/>
      <c r="AE163" s="23"/>
      <c r="AF163" s="2"/>
      <c r="AG163" s="2"/>
    </row>
    <row r="164" spans="1:33" s="24" customFormat="1" x14ac:dyDescent="0.25">
      <c r="A164" s="4"/>
      <c r="B164" s="4">
        <v>45408</v>
      </c>
      <c r="C164" s="6" t="s">
        <v>1695</v>
      </c>
      <c r="D164" s="224" t="s">
        <v>3499</v>
      </c>
      <c r="E164" s="6" t="s">
        <v>1882</v>
      </c>
      <c r="F164" s="169" t="s">
        <v>467</v>
      </c>
      <c r="G164" s="1" t="s">
        <v>467</v>
      </c>
      <c r="H164" s="8">
        <v>1</v>
      </c>
      <c r="I164" s="8"/>
      <c r="J164" s="115">
        <f>Table224[[#This Row],[Qty]]-Table224[[#This Row],[Issue Qty]]</f>
        <v>1</v>
      </c>
      <c r="K164" s="195"/>
      <c r="L164" s="195" t="s">
        <v>3480</v>
      </c>
      <c r="M164" s="5">
        <v>6860</v>
      </c>
      <c r="N164" s="5">
        <f t="shared" si="6"/>
        <v>6860</v>
      </c>
      <c r="O164" s="11">
        <v>0.05</v>
      </c>
      <c r="P164" s="9">
        <f t="shared" si="7"/>
        <v>343</v>
      </c>
      <c r="Q164" s="5">
        <v>0</v>
      </c>
      <c r="R164" s="5"/>
      <c r="S164" s="5">
        <f t="shared" si="8"/>
        <v>7203</v>
      </c>
      <c r="T164" s="1" t="s">
        <v>42</v>
      </c>
      <c r="U164" s="1" t="s">
        <v>1867</v>
      </c>
      <c r="V164" s="1" t="s">
        <v>444</v>
      </c>
      <c r="W164" s="1" t="s">
        <v>1868</v>
      </c>
      <c r="X164" s="1"/>
      <c r="Y164" s="2"/>
      <c r="Z164" s="8" t="s">
        <v>3349</v>
      </c>
      <c r="AA164" s="21"/>
      <c r="AB164" s="21"/>
      <c r="AC164" s="12"/>
      <c r="AD164" s="2" t="s">
        <v>3609</v>
      </c>
      <c r="AE164" s="23"/>
      <c r="AF164" s="2"/>
      <c r="AG164" s="2"/>
    </row>
    <row r="165" spans="1:33" s="24" customFormat="1" ht="30" x14ac:dyDescent="0.25">
      <c r="A165" s="4"/>
      <c r="B165" s="4">
        <v>45408</v>
      </c>
      <c r="C165" s="6" t="s">
        <v>54</v>
      </c>
      <c r="D165" s="224" t="s">
        <v>3500</v>
      </c>
      <c r="E165" s="26" t="s">
        <v>1866</v>
      </c>
      <c r="F165" s="233" t="s">
        <v>442</v>
      </c>
      <c r="G165" s="1" t="s">
        <v>443</v>
      </c>
      <c r="H165" s="8">
        <v>5</v>
      </c>
      <c r="I165" s="8"/>
      <c r="J165" s="115">
        <f>Table224[[#This Row],[Qty]]-Table224[[#This Row],[Issue Qty]]</f>
        <v>5</v>
      </c>
      <c r="K165" s="195"/>
      <c r="L165" s="195" t="s">
        <v>3480</v>
      </c>
      <c r="M165" s="5">
        <v>2690</v>
      </c>
      <c r="N165" s="5">
        <f t="shared" si="6"/>
        <v>13450</v>
      </c>
      <c r="O165" s="11">
        <v>0.05</v>
      </c>
      <c r="P165" s="9">
        <f t="shared" si="7"/>
        <v>672.5</v>
      </c>
      <c r="Q165" s="5">
        <v>0</v>
      </c>
      <c r="R165" s="5"/>
      <c r="S165" s="5">
        <f t="shared" si="8"/>
        <v>14122.5</v>
      </c>
      <c r="T165" s="1" t="s">
        <v>42</v>
      </c>
      <c r="U165" s="1" t="s">
        <v>1867</v>
      </c>
      <c r="V165" s="1" t="s">
        <v>444</v>
      </c>
      <c r="W165" s="1" t="s">
        <v>1868</v>
      </c>
      <c r="X165" s="1"/>
      <c r="Y165" s="1"/>
      <c r="Z165" s="21" t="s">
        <v>445</v>
      </c>
      <c r="AA165" s="21" t="s">
        <v>446</v>
      </c>
      <c r="AB165" s="8"/>
      <c r="AC165" s="22"/>
      <c r="AD165" s="1"/>
      <c r="AE165" s="23"/>
      <c r="AF165" s="1"/>
      <c r="AG165" s="2"/>
    </row>
    <row r="166" spans="1:33" s="24" customFormat="1" ht="30" x14ac:dyDescent="0.25">
      <c r="A166" s="4"/>
      <c r="B166" s="4">
        <v>45408</v>
      </c>
      <c r="C166" s="6" t="s">
        <v>54</v>
      </c>
      <c r="D166" s="224" t="s">
        <v>3500</v>
      </c>
      <c r="E166" s="26" t="s">
        <v>1866</v>
      </c>
      <c r="F166" s="233" t="s">
        <v>442</v>
      </c>
      <c r="G166" s="1" t="s">
        <v>443</v>
      </c>
      <c r="H166" s="8">
        <v>6</v>
      </c>
      <c r="I166" s="8"/>
      <c r="J166" s="115">
        <f>Table224[[#This Row],[Qty]]-Table224[[#This Row],[Issue Qty]]</f>
        <v>6</v>
      </c>
      <c r="K166" s="195"/>
      <c r="L166" s="195" t="s">
        <v>3480</v>
      </c>
      <c r="M166" s="5">
        <v>2690</v>
      </c>
      <c r="N166" s="5">
        <f t="shared" si="6"/>
        <v>16140</v>
      </c>
      <c r="O166" s="11">
        <v>0.05</v>
      </c>
      <c r="P166" s="9">
        <f t="shared" si="7"/>
        <v>807</v>
      </c>
      <c r="Q166" s="5">
        <v>0</v>
      </c>
      <c r="R166" s="5"/>
      <c r="S166" s="5">
        <f t="shared" si="8"/>
        <v>16947</v>
      </c>
      <c r="T166" s="1" t="s">
        <v>42</v>
      </c>
      <c r="U166" s="1" t="s">
        <v>1867</v>
      </c>
      <c r="V166" s="1" t="s">
        <v>444</v>
      </c>
      <c r="W166" s="1" t="s">
        <v>1868</v>
      </c>
      <c r="X166" s="1"/>
      <c r="Y166" s="1"/>
      <c r="Z166" s="21" t="s">
        <v>445</v>
      </c>
      <c r="AA166" s="21" t="s">
        <v>446</v>
      </c>
      <c r="AB166" s="8"/>
      <c r="AC166" s="22"/>
      <c r="AD166" s="1"/>
      <c r="AE166" s="23"/>
      <c r="AF166" s="1"/>
      <c r="AG166" s="2"/>
    </row>
    <row r="167" spans="1:33" s="24" customFormat="1" ht="30" x14ac:dyDescent="0.25">
      <c r="A167" s="4"/>
      <c r="B167" s="4">
        <v>45408</v>
      </c>
      <c r="C167" s="6" t="s">
        <v>54</v>
      </c>
      <c r="D167" s="224" t="s">
        <v>3500</v>
      </c>
      <c r="E167" s="26" t="s">
        <v>1869</v>
      </c>
      <c r="F167" s="233" t="s">
        <v>447</v>
      </c>
      <c r="G167" s="1" t="s">
        <v>448</v>
      </c>
      <c r="H167" s="8">
        <v>12</v>
      </c>
      <c r="I167" s="8">
        <v>7</v>
      </c>
      <c r="J167" s="115">
        <f>Table224[[#This Row],[Qty]]-Table224[[#This Row],[Issue Qty]]</f>
        <v>5</v>
      </c>
      <c r="K167" s="195"/>
      <c r="L167" s="195" t="s">
        <v>3480</v>
      </c>
      <c r="M167" s="5">
        <v>500</v>
      </c>
      <c r="N167" s="5">
        <f t="shared" si="6"/>
        <v>6000</v>
      </c>
      <c r="O167" s="11">
        <v>0.05</v>
      </c>
      <c r="P167" s="9">
        <f t="shared" si="7"/>
        <v>300</v>
      </c>
      <c r="Q167" s="5">
        <v>0</v>
      </c>
      <c r="R167" s="5"/>
      <c r="S167" s="5">
        <f t="shared" si="8"/>
        <v>6300</v>
      </c>
      <c r="T167" s="1" t="s">
        <v>42</v>
      </c>
      <c r="U167" s="1" t="s">
        <v>1867</v>
      </c>
      <c r="V167" s="1" t="s">
        <v>444</v>
      </c>
      <c r="W167" s="1" t="s">
        <v>1868</v>
      </c>
      <c r="X167" s="1"/>
      <c r="Y167" s="1"/>
      <c r="Z167" s="21" t="s">
        <v>445</v>
      </c>
      <c r="AA167" s="21" t="s">
        <v>446</v>
      </c>
      <c r="AB167" s="8"/>
      <c r="AC167" s="22" t="s">
        <v>3662</v>
      </c>
      <c r="AD167" s="1"/>
      <c r="AE167" s="23" t="s">
        <v>449</v>
      </c>
      <c r="AF167" s="1"/>
      <c r="AG167" s="2"/>
    </row>
    <row r="168" spans="1:33" s="24" customFormat="1" x14ac:dyDescent="0.25">
      <c r="A168" s="4"/>
      <c r="B168" s="4">
        <v>45408</v>
      </c>
      <c r="C168" s="6" t="s">
        <v>1683</v>
      </c>
      <c r="D168" s="23" t="s">
        <v>3444</v>
      </c>
      <c r="E168" s="26" t="s">
        <v>1872</v>
      </c>
      <c r="F168" s="233" t="s">
        <v>455</v>
      </c>
      <c r="G168" s="1" t="s">
        <v>456</v>
      </c>
      <c r="H168" s="8">
        <v>1</v>
      </c>
      <c r="I168" s="8"/>
      <c r="J168" s="115">
        <f>Table224[[#This Row],[Qty]]-Table224[[#This Row],[Issue Qty]]</f>
        <v>1</v>
      </c>
      <c r="K168" s="195"/>
      <c r="L168" s="195" t="s">
        <v>3480</v>
      </c>
      <c r="M168" s="5">
        <v>3000</v>
      </c>
      <c r="N168" s="5">
        <f t="shared" si="6"/>
        <v>3000</v>
      </c>
      <c r="O168" s="11">
        <v>0.05</v>
      </c>
      <c r="P168" s="9">
        <f t="shared" si="7"/>
        <v>150</v>
      </c>
      <c r="Q168" s="5">
        <v>0</v>
      </c>
      <c r="R168" s="5"/>
      <c r="S168" s="5">
        <f t="shared" si="8"/>
        <v>3150</v>
      </c>
      <c r="T168" s="1" t="s">
        <v>42</v>
      </c>
      <c r="U168" s="1" t="s">
        <v>1867</v>
      </c>
      <c r="V168" s="1" t="s">
        <v>444</v>
      </c>
      <c r="W168" s="1" t="s">
        <v>1868</v>
      </c>
      <c r="X168" s="1"/>
      <c r="Y168" s="1"/>
      <c r="Z168" s="8" t="s">
        <v>2940</v>
      </c>
      <c r="AA168" s="8" t="s">
        <v>2939</v>
      </c>
      <c r="AB168" s="8">
        <v>1</v>
      </c>
      <c r="AC168" s="22" t="s">
        <v>2941</v>
      </c>
      <c r="AD168" s="1"/>
      <c r="AE168" s="23"/>
      <c r="AF168" s="1"/>
      <c r="AG168" s="2"/>
    </row>
    <row r="169" spans="1:33" s="24" customFormat="1" x14ac:dyDescent="0.25">
      <c r="A169" s="4"/>
      <c r="B169" s="4">
        <v>45408</v>
      </c>
      <c r="C169" s="6" t="s">
        <v>54</v>
      </c>
      <c r="D169" s="224"/>
      <c r="E169" s="6" t="s">
        <v>37</v>
      </c>
      <c r="F169" s="102" t="s">
        <v>468</v>
      </c>
      <c r="G169" s="1" t="s">
        <v>468</v>
      </c>
      <c r="H169" s="8">
        <v>8</v>
      </c>
      <c r="I169" s="8">
        <v>8</v>
      </c>
      <c r="J169" s="115">
        <f>Table224[[#This Row],[Qty]]-Table224[[#This Row],[Issue Qty]]</f>
        <v>0</v>
      </c>
      <c r="K169" s="195"/>
      <c r="L169" s="195" t="s">
        <v>3480</v>
      </c>
      <c r="M169" s="5">
        <v>84</v>
      </c>
      <c r="N169" s="5">
        <f t="shared" si="6"/>
        <v>672</v>
      </c>
      <c r="O169" s="11">
        <v>0.05</v>
      </c>
      <c r="P169" s="9">
        <f t="shared" si="7"/>
        <v>33.6</v>
      </c>
      <c r="Q169" s="5">
        <v>0</v>
      </c>
      <c r="R169" s="5"/>
      <c r="S169" s="5">
        <f t="shared" si="8"/>
        <v>705.6</v>
      </c>
      <c r="T169" s="1" t="s">
        <v>42</v>
      </c>
      <c r="U169" s="1" t="s">
        <v>1867</v>
      </c>
      <c r="V169" s="1" t="s">
        <v>444</v>
      </c>
      <c r="W169" s="1" t="s">
        <v>1868</v>
      </c>
      <c r="X169" s="1"/>
      <c r="Y169" s="2"/>
      <c r="Z169" s="21" t="s">
        <v>465</v>
      </c>
      <c r="AA169" s="21"/>
      <c r="AB169" s="21">
        <v>8</v>
      </c>
      <c r="AC169" s="12" t="s">
        <v>3814</v>
      </c>
      <c r="AD169" s="2"/>
      <c r="AE169" s="23"/>
      <c r="AF169" s="2"/>
      <c r="AG169" s="2"/>
    </row>
    <row r="170" spans="1:33" s="24" customFormat="1" x14ac:dyDescent="0.25">
      <c r="A170" s="4"/>
      <c r="B170" s="4">
        <v>45408</v>
      </c>
      <c r="C170" s="6" t="s">
        <v>1683</v>
      </c>
      <c r="D170" s="224" t="s">
        <v>3429</v>
      </c>
      <c r="E170" s="26" t="s">
        <v>1873</v>
      </c>
      <c r="F170" s="233" t="s">
        <v>458</v>
      </c>
      <c r="G170" s="1" t="s">
        <v>459</v>
      </c>
      <c r="H170" s="8">
        <v>5</v>
      </c>
      <c r="I170" s="8">
        <v>5</v>
      </c>
      <c r="J170" s="115">
        <f>Table224[[#This Row],[Qty]]-Table224[[#This Row],[Issue Qty]]</f>
        <v>0</v>
      </c>
      <c r="K170" s="195"/>
      <c r="L170" s="195" t="s">
        <v>3480</v>
      </c>
      <c r="M170" s="5">
        <f>17900/2</f>
        <v>8950</v>
      </c>
      <c r="N170" s="5">
        <f t="shared" si="6"/>
        <v>44750</v>
      </c>
      <c r="O170" s="11">
        <v>0.18</v>
      </c>
      <c r="P170" s="9">
        <f t="shared" si="7"/>
        <v>8055</v>
      </c>
      <c r="Q170" s="5">
        <v>0</v>
      </c>
      <c r="R170" s="5"/>
      <c r="S170" s="5">
        <f t="shared" si="8"/>
        <v>52805</v>
      </c>
      <c r="T170" s="1" t="s">
        <v>42</v>
      </c>
      <c r="U170" s="1" t="s">
        <v>1867</v>
      </c>
      <c r="V170" s="1" t="s">
        <v>444</v>
      </c>
      <c r="W170" s="1" t="s">
        <v>1868</v>
      </c>
      <c r="X170" s="1"/>
      <c r="Y170" s="1"/>
      <c r="Z170" s="21" t="s">
        <v>3353</v>
      </c>
      <c r="AA170" s="21"/>
      <c r="AB170" s="8">
        <v>5</v>
      </c>
      <c r="AC170" s="22" t="s">
        <v>2895</v>
      </c>
      <c r="AD170" s="1"/>
      <c r="AE170" s="23"/>
      <c r="AF170" s="1"/>
      <c r="AG170" s="2"/>
    </row>
    <row r="171" spans="1:33" s="24" customFormat="1" x14ac:dyDescent="0.25">
      <c r="A171" s="4"/>
      <c r="B171" s="4">
        <v>45408</v>
      </c>
      <c r="C171" s="6" t="s">
        <v>1683</v>
      </c>
      <c r="D171" s="224" t="s">
        <v>3429</v>
      </c>
      <c r="E171" s="26" t="s">
        <v>1874</v>
      </c>
      <c r="F171" s="233" t="s">
        <v>461</v>
      </c>
      <c r="G171" s="1" t="s">
        <v>462</v>
      </c>
      <c r="H171" s="8">
        <v>2</v>
      </c>
      <c r="I171" s="8">
        <v>2</v>
      </c>
      <c r="J171" s="115">
        <f>Table224[[#This Row],[Qty]]-Table224[[#This Row],[Issue Qty]]</f>
        <v>0</v>
      </c>
      <c r="K171" s="195"/>
      <c r="L171" s="195" t="s">
        <v>3480</v>
      </c>
      <c r="M171" s="5">
        <f>17900/2</f>
        <v>8950</v>
      </c>
      <c r="N171" s="5">
        <f t="shared" si="6"/>
        <v>17900</v>
      </c>
      <c r="O171" s="11">
        <v>0.18</v>
      </c>
      <c r="P171" s="9">
        <f t="shared" si="7"/>
        <v>3222</v>
      </c>
      <c r="Q171" s="5">
        <v>0</v>
      </c>
      <c r="R171" s="5"/>
      <c r="S171" s="5">
        <f t="shared" si="8"/>
        <v>21122</v>
      </c>
      <c r="T171" s="1" t="s">
        <v>42</v>
      </c>
      <c r="U171" s="1" t="s">
        <v>1867</v>
      </c>
      <c r="V171" s="1" t="s">
        <v>444</v>
      </c>
      <c r="W171" s="1" t="s">
        <v>1868</v>
      </c>
      <c r="X171" s="1"/>
      <c r="Y171" s="1"/>
      <c r="Z171" s="21" t="s">
        <v>3353</v>
      </c>
      <c r="AA171" s="21"/>
      <c r="AB171" s="8">
        <v>2</v>
      </c>
      <c r="AC171" s="22" t="s">
        <v>2895</v>
      </c>
      <c r="AD171" s="1"/>
      <c r="AE171" s="23"/>
      <c r="AF171" s="1"/>
      <c r="AG171" s="2"/>
    </row>
    <row r="172" spans="1:33" s="24" customFormat="1" x14ac:dyDescent="0.25">
      <c r="A172" s="4"/>
      <c r="B172" s="4">
        <v>45408</v>
      </c>
      <c r="C172" s="1" t="s">
        <v>2003</v>
      </c>
      <c r="D172" s="224" t="s">
        <v>3499</v>
      </c>
      <c r="E172" s="26" t="s">
        <v>1876</v>
      </c>
      <c r="F172" s="233" t="s">
        <v>469</v>
      </c>
      <c r="G172" s="1" t="s">
        <v>470</v>
      </c>
      <c r="H172" s="8">
        <v>2</v>
      </c>
      <c r="I172" s="8">
        <v>2</v>
      </c>
      <c r="J172" s="115">
        <f>Table224[[#This Row],[Qty]]-Table224[[#This Row],[Issue Qty]]</f>
        <v>0</v>
      </c>
      <c r="K172" s="195"/>
      <c r="L172" s="195" t="s">
        <v>3480</v>
      </c>
      <c r="M172" s="5">
        <v>10600</v>
      </c>
      <c r="N172" s="5">
        <f t="shared" si="6"/>
        <v>21200</v>
      </c>
      <c r="O172" s="82">
        <v>0.05</v>
      </c>
      <c r="P172" s="9">
        <f t="shared" si="7"/>
        <v>1060</v>
      </c>
      <c r="Q172" s="5">
        <v>0</v>
      </c>
      <c r="R172" s="5"/>
      <c r="S172" s="5">
        <f t="shared" si="8"/>
        <v>22260</v>
      </c>
      <c r="T172" s="1" t="s">
        <v>42</v>
      </c>
      <c r="U172" s="1" t="s">
        <v>1867</v>
      </c>
      <c r="V172" s="1" t="s">
        <v>444</v>
      </c>
      <c r="W172" s="1" t="s">
        <v>1868</v>
      </c>
      <c r="X172" s="1"/>
      <c r="Y172" s="1"/>
      <c r="Z172" s="21" t="s">
        <v>44</v>
      </c>
      <c r="AA172" s="21"/>
      <c r="AB172" s="8">
        <v>2</v>
      </c>
      <c r="AC172" s="22" t="s">
        <v>3733</v>
      </c>
      <c r="AD172" s="1"/>
      <c r="AE172" s="23"/>
      <c r="AF172" s="1"/>
      <c r="AG172" s="2"/>
    </row>
    <row r="173" spans="1:33" s="24" customFormat="1" x14ac:dyDescent="0.25">
      <c r="A173" s="4"/>
      <c r="B173" s="4">
        <v>45408</v>
      </c>
      <c r="C173" s="6" t="s">
        <v>1683</v>
      </c>
      <c r="D173" s="224" t="s">
        <v>1663</v>
      </c>
      <c r="E173" s="1" t="s">
        <v>1875</v>
      </c>
      <c r="F173" s="290" t="s">
        <v>463</v>
      </c>
      <c r="G173" s="1" t="s">
        <v>463</v>
      </c>
      <c r="H173" s="8">
        <v>6</v>
      </c>
      <c r="I173" s="8">
        <v>6</v>
      </c>
      <c r="J173" s="115">
        <f>Table224[[#This Row],[Qty]]-Table224[[#This Row],[Issue Qty]]</f>
        <v>0</v>
      </c>
      <c r="K173" s="195"/>
      <c r="L173" s="195" t="s">
        <v>3480</v>
      </c>
      <c r="M173" s="5">
        <v>16000</v>
      </c>
      <c r="N173" s="5">
        <f t="shared" si="6"/>
        <v>96000</v>
      </c>
      <c r="O173" s="82">
        <v>0.18</v>
      </c>
      <c r="P173" s="9">
        <f t="shared" si="7"/>
        <v>17280</v>
      </c>
      <c r="Q173" s="5">
        <v>0</v>
      </c>
      <c r="R173" s="5"/>
      <c r="S173" s="5">
        <f t="shared" si="8"/>
        <v>113280</v>
      </c>
      <c r="T173" s="1" t="s">
        <v>42</v>
      </c>
      <c r="U173" s="1" t="s">
        <v>1867</v>
      </c>
      <c r="V173" s="1" t="s">
        <v>444</v>
      </c>
      <c r="W173" s="1" t="s">
        <v>1868</v>
      </c>
      <c r="X173" s="1"/>
      <c r="Y173" s="2"/>
      <c r="Z173" s="8"/>
      <c r="AA173" s="21"/>
      <c r="AB173" s="21"/>
      <c r="AC173" s="12"/>
      <c r="AD173" s="2"/>
      <c r="AE173" s="23"/>
      <c r="AF173" s="2"/>
      <c r="AG173" s="2"/>
    </row>
    <row r="174" spans="1:33" s="24" customFormat="1" ht="30" x14ac:dyDescent="0.25">
      <c r="A174" s="4"/>
      <c r="B174" s="4">
        <v>45408</v>
      </c>
      <c r="C174" s="6" t="s">
        <v>54</v>
      </c>
      <c r="D174" s="224" t="s">
        <v>3500</v>
      </c>
      <c r="E174" s="6" t="s">
        <v>1871</v>
      </c>
      <c r="F174" s="234" t="s">
        <v>452</v>
      </c>
      <c r="G174" s="1" t="s">
        <v>453</v>
      </c>
      <c r="H174" s="8">
        <v>8</v>
      </c>
      <c r="I174" s="8">
        <v>4</v>
      </c>
      <c r="J174" s="115">
        <f>Table224[[#This Row],[Qty]]-Table224[[#This Row],[Issue Qty]]</f>
        <v>4</v>
      </c>
      <c r="K174" s="195"/>
      <c r="L174" s="195" t="s">
        <v>3480</v>
      </c>
      <c r="M174" s="5">
        <v>925</v>
      </c>
      <c r="N174" s="5">
        <f t="shared" si="6"/>
        <v>7400</v>
      </c>
      <c r="O174" s="326">
        <v>0.05</v>
      </c>
      <c r="P174" s="9">
        <f t="shared" si="7"/>
        <v>370</v>
      </c>
      <c r="Q174" s="5">
        <v>0</v>
      </c>
      <c r="R174" s="5"/>
      <c r="S174" s="5">
        <f t="shared" si="8"/>
        <v>7770</v>
      </c>
      <c r="T174" s="1" t="s">
        <v>42</v>
      </c>
      <c r="U174" s="1" t="s">
        <v>1867</v>
      </c>
      <c r="V174" s="1" t="s">
        <v>444</v>
      </c>
      <c r="W174" s="1" t="s">
        <v>1868</v>
      </c>
      <c r="X174" s="1"/>
      <c r="Y174" s="1"/>
      <c r="Z174" s="21" t="s">
        <v>445</v>
      </c>
      <c r="AA174" s="21" t="s">
        <v>446</v>
      </c>
      <c r="AB174" s="8">
        <v>4</v>
      </c>
      <c r="AC174" s="22" t="s">
        <v>2917</v>
      </c>
      <c r="AD174" s="1"/>
      <c r="AE174" s="23" t="s">
        <v>454</v>
      </c>
      <c r="AF174" s="1"/>
      <c r="AG174" s="2"/>
    </row>
    <row r="175" spans="1:33" s="24" customFormat="1" x14ac:dyDescent="0.25">
      <c r="A175" s="4"/>
      <c r="B175" s="4">
        <v>45412</v>
      </c>
      <c r="C175" s="6" t="s">
        <v>54</v>
      </c>
      <c r="D175" s="224" t="s">
        <v>3489</v>
      </c>
      <c r="E175" s="6" t="s">
        <v>37</v>
      </c>
      <c r="F175" s="232" t="s">
        <v>471</v>
      </c>
      <c r="G175" s="1" t="s">
        <v>471</v>
      </c>
      <c r="H175" s="8">
        <v>2</v>
      </c>
      <c r="I175" s="8"/>
      <c r="J175" s="115">
        <f>Table224[[#This Row],[Qty]]-Table224[[#This Row],[Issue Qty]]</f>
        <v>2</v>
      </c>
      <c r="K175" s="195"/>
      <c r="L175" s="195" t="s">
        <v>3480</v>
      </c>
      <c r="M175" s="5">
        <v>360</v>
      </c>
      <c r="N175" s="5">
        <f t="shared" si="6"/>
        <v>720</v>
      </c>
      <c r="O175" s="11">
        <v>0.05</v>
      </c>
      <c r="P175" s="9">
        <f t="shared" si="7"/>
        <v>36</v>
      </c>
      <c r="Q175" s="5">
        <v>0</v>
      </c>
      <c r="R175" s="5"/>
      <c r="S175" s="5">
        <f t="shared" si="8"/>
        <v>756</v>
      </c>
      <c r="T175" s="1" t="s">
        <v>42</v>
      </c>
      <c r="U175" s="1" t="s">
        <v>1867</v>
      </c>
      <c r="V175" s="1" t="s">
        <v>444</v>
      </c>
      <c r="W175" s="1" t="s">
        <v>1877</v>
      </c>
      <c r="X175" s="1"/>
      <c r="Y175" s="2"/>
      <c r="Z175" s="21" t="s">
        <v>465</v>
      </c>
      <c r="AA175" s="21"/>
      <c r="AB175" s="21"/>
      <c r="AC175" s="12"/>
      <c r="AD175" s="2"/>
      <c r="AE175" s="23"/>
      <c r="AF175" s="2"/>
      <c r="AG175" s="2"/>
    </row>
    <row r="176" spans="1:33" s="24" customFormat="1" x14ac:dyDescent="0.25">
      <c r="A176" s="4"/>
      <c r="B176" s="4">
        <v>45416</v>
      </c>
      <c r="C176" s="6" t="s">
        <v>1683</v>
      </c>
      <c r="D176" s="224" t="s">
        <v>3487</v>
      </c>
      <c r="E176" s="6" t="s">
        <v>37</v>
      </c>
      <c r="F176" s="245" t="s">
        <v>472</v>
      </c>
      <c r="G176" s="3" t="s">
        <v>472</v>
      </c>
      <c r="H176" s="8">
        <v>2</v>
      </c>
      <c r="I176" s="8"/>
      <c r="J176" s="115">
        <f>Table224[[#This Row],[Qty]]-Table224[[#This Row],[Issue Qty]]</f>
        <v>2</v>
      </c>
      <c r="K176" s="195"/>
      <c r="L176" s="195" t="s">
        <v>3486</v>
      </c>
      <c r="M176" s="5">
        <v>217</v>
      </c>
      <c r="N176" s="5">
        <f t="shared" si="6"/>
        <v>434</v>
      </c>
      <c r="O176" s="11">
        <v>0</v>
      </c>
      <c r="P176" s="9">
        <f t="shared" si="7"/>
        <v>0</v>
      </c>
      <c r="Q176" s="5">
        <v>100</v>
      </c>
      <c r="R176" s="5"/>
      <c r="S176" s="5">
        <f t="shared" si="8"/>
        <v>534</v>
      </c>
      <c r="T176" s="1" t="s">
        <v>2887</v>
      </c>
      <c r="U176" s="1" t="s">
        <v>1742</v>
      </c>
      <c r="V176" s="1" t="s">
        <v>394</v>
      </c>
      <c r="W176" s="1"/>
      <c r="X176" s="1"/>
      <c r="Y176" s="2"/>
      <c r="Z176" s="21"/>
      <c r="AA176" s="21"/>
      <c r="AB176" s="21">
        <v>1</v>
      </c>
      <c r="AC176" s="12" t="s">
        <v>474</v>
      </c>
      <c r="AD176" s="2"/>
      <c r="AE176" s="23"/>
      <c r="AF176" s="2"/>
      <c r="AG176" s="2"/>
    </row>
    <row r="177" spans="1:33" s="24" customFormat="1" x14ac:dyDescent="0.25">
      <c r="A177" s="4"/>
      <c r="B177" s="4">
        <v>45418</v>
      </c>
      <c r="C177" s="1" t="s">
        <v>1991</v>
      </c>
      <c r="D177" s="224" t="s">
        <v>3463</v>
      </c>
      <c r="E177" s="6" t="s">
        <v>1760</v>
      </c>
      <c r="F177" s="234" t="s">
        <v>214</v>
      </c>
      <c r="G177" s="1" t="s">
        <v>475</v>
      </c>
      <c r="H177" s="8">
        <v>1</v>
      </c>
      <c r="I177" s="8"/>
      <c r="J177" s="115">
        <f>Table224[[#This Row],[Qty]]-Table224[[#This Row],[Issue Qty]]</f>
        <v>1</v>
      </c>
      <c r="K177" s="195"/>
      <c r="L177" s="195" t="s">
        <v>3480</v>
      </c>
      <c r="M177" s="5">
        <v>22415.25</v>
      </c>
      <c r="N177" s="5">
        <f t="shared" si="6"/>
        <v>22415.25</v>
      </c>
      <c r="O177" s="11">
        <v>0.18</v>
      </c>
      <c r="P177" s="9">
        <f t="shared" si="7"/>
        <v>4034.7449999999999</v>
      </c>
      <c r="Q177" s="5">
        <v>20.84</v>
      </c>
      <c r="R177" s="5"/>
      <c r="S177" s="5">
        <f t="shared" si="8"/>
        <v>26470.834999999999</v>
      </c>
      <c r="T177" s="1" t="s">
        <v>42</v>
      </c>
      <c r="U177" s="1" t="s">
        <v>1878</v>
      </c>
      <c r="V177" s="1" t="s">
        <v>243</v>
      </c>
      <c r="W177" s="1" t="s">
        <v>1879</v>
      </c>
      <c r="X177" s="1"/>
      <c r="Y177" s="1"/>
      <c r="Z177" s="8" t="s">
        <v>89</v>
      </c>
      <c r="AA177" s="8" t="s">
        <v>801</v>
      </c>
      <c r="AB177" s="8"/>
      <c r="AC177" s="22"/>
      <c r="AD177" s="1"/>
      <c r="AE177" s="23" t="s">
        <v>476</v>
      </c>
      <c r="AF177" s="1"/>
      <c r="AG177" s="2"/>
    </row>
    <row r="178" spans="1:33" s="24" customFormat="1" ht="30" x14ac:dyDescent="0.25">
      <c r="A178" s="4"/>
      <c r="B178" s="4">
        <v>45443</v>
      </c>
      <c r="C178" s="1" t="s">
        <v>1991</v>
      </c>
      <c r="D178" s="224" t="s">
        <v>3459</v>
      </c>
      <c r="E178" s="6" t="s">
        <v>1880</v>
      </c>
      <c r="F178" s="234" t="s">
        <v>477</v>
      </c>
      <c r="G178" s="1" t="s">
        <v>477</v>
      </c>
      <c r="H178" s="8">
        <v>1</v>
      </c>
      <c r="I178" s="8"/>
      <c r="J178" s="115">
        <f>Table224[[#This Row],[Qty]]-Table224[[#This Row],[Issue Qty]]</f>
        <v>1</v>
      </c>
      <c r="K178" s="195"/>
      <c r="L178" s="195" t="s">
        <v>3480</v>
      </c>
      <c r="M178" s="5">
        <v>38000</v>
      </c>
      <c r="N178" s="5">
        <f t="shared" si="6"/>
        <v>38000</v>
      </c>
      <c r="O178" s="11">
        <v>0.18</v>
      </c>
      <c r="P178" s="9">
        <f t="shared" si="7"/>
        <v>6840</v>
      </c>
      <c r="Q178" s="5">
        <v>0</v>
      </c>
      <c r="R178" s="5"/>
      <c r="S178" s="5">
        <f t="shared" si="8"/>
        <v>44840</v>
      </c>
      <c r="T178" s="1" t="s">
        <v>42</v>
      </c>
      <c r="U178" s="1" t="s">
        <v>1878</v>
      </c>
      <c r="V178" s="1" t="s">
        <v>478</v>
      </c>
      <c r="W178" s="1" t="s">
        <v>1881</v>
      </c>
      <c r="X178" s="1"/>
      <c r="Y178" s="1"/>
      <c r="Z178" s="8" t="s">
        <v>388</v>
      </c>
      <c r="AA178" s="8" t="s">
        <v>479</v>
      </c>
      <c r="AB178" s="8"/>
      <c r="AC178" s="22"/>
      <c r="AD178" s="1"/>
      <c r="AE178" s="23"/>
      <c r="AF178" s="1"/>
      <c r="AG178" s="2"/>
    </row>
    <row r="179" spans="1:33" s="24" customFormat="1" x14ac:dyDescent="0.25">
      <c r="A179" s="4"/>
      <c r="B179" s="4">
        <v>45447</v>
      </c>
      <c r="C179" s="6" t="s">
        <v>1695</v>
      </c>
      <c r="D179" s="224" t="s">
        <v>3499</v>
      </c>
      <c r="E179" s="6" t="s">
        <v>1882</v>
      </c>
      <c r="F179" s="170" t="s">
        <v>480</v>
      </c>
      <c r="G179" s="1" t="s">
        <v>467</v>
      </c>
      <c r="H179" s="8">
        <v>1</v>
      </c>
      <c r="I179" s="8">
        <v>1</v>
      </c>
      <c r="J179" s="115">
        <f>Table224[[#This Row],[Qty]]-Table224[[#This Row],[Issue Qty]]</f>
        <v>0</v>
      </c>
      <c r="K179" s="195"/>
      <c r="L179" s="195" t="s">
        <v>3480</v>
      </c>
      <c r="M179" s="5">
        <v>6860</v>
      </c>
      <c r="N179" s="5">
        <f t="shared" si="6"/>
        <v>6860</v>
      </c>
      <c r="O179" s="11">
        <v>0.05</v>
      </c>
      <c r="P179" s="9">
        <f t="shared" si="7"/>
        <v>343</v>
      </c>
      <c r="Q179" s="5">
        <v>0</v>
      </c>
      <c r="R179" s="5"/>
      <c r="S179" s="5">
        <f t="shared" si="8"/>
        <v>7203</v>
      </c>
      <c r="T179" s="1" t="s">
        <v>42</v>
      </c>
      <c r="U179" s="1" t="s">
        <v>1878</v>
      </c>
      <c r="V179" s="1" t="s">
        <v>444</v>
      </c>
      <c r="W179" s="1" t="s">
        <v>1883</v>
      </c>
      <c r="X179" s="1"/>
      <c r="Y179" s="2"/>
      <c r="Z179" s="21" t="s">
        <v>3185</v>
      </c>
      <c r="AA179" s="21"/>
      <c r="AB179" s="21">
        <v>1</v>
      </c>
      <c r="AC179" s="12" t="s">
        <v>481</v>
      </c>
      <c r="AD179" s="2" t="s">
        <v>3610</v>
      </c>
      <c r="AE179" s="23"/>
      <c r="AF179" s="2"/>
      <c r="AG179" s="2"/>
    </row>
    <row r="180" spans="1:33" s="24" customFormat="1" ht="30" x14ac:dyDescent="0.25">
      <c r="A180" s="4"/>
      <c r="B180" s="4">
        <v>45448</v>
      </c>
      <c r="C180" s="1" t="s">
        <v>1991</v>
      </c>
      <c r="D180" s="224" t="s">
        <v>3455</v>
      </c>
      <c r="E180" s="26" t="s">
        <v>1884</v>
      </c>
      <c r="F180" s="233" t="s">
        <v>482</v>
      </c>
      <c r="G180" s="1" t="s">
        <v>483</v>
      </c>
      <c r="H180" s="8">
        <v>1</v>
      </c>
      <c r="I180" s="8"/>
      <c r="J180" s="115">
        <f>Table224[[#This Row],[Qty]]-Table224[[#This Row],[Issue Qty]]</f>
        <v>1</v>
      </c>
      <c r="K180" s="195"/>
      <c r="L180" s="195" t="s">
        <v>3480</v>
      </c>
      <c r="M180" s="5">
        <v>1100.8499999999999</v>
      </c>
      <c r="N180" s="5">
        <f t="shared" si="6"/>
        <v>1100.8499999999999</v>
      </c>
      <c r="O180" s="11">
        <v>0.18</v>
      </c>
      <c r="P180" s="9">
        <f t="shared" si="7"/>
        <v>198.15299999999996</v>
      </c>
      <c r="Q180" s="5">
        <v>0</v>
      </c>
      <c r="R180" s="5"/>
      <c r="S180" s="5">
        <f t="shared" si="8"/>
        <v>1299.0029999999999</v>
      </c>
      <c r="T180" s="1" t="s">
        <v>42</v>
      </c>
      <c r="U180" s="1" t="s">
        <v>1878</v>
      </c>
      <c r="V180" s="1" t="s">
        <v>243</v>
      </c>
      <c r="W180" s="1" t="s">
        <v>1885</v>
      </c>
      <c r="X180" s="1"/>
      <c r="Y180" s="1"/>
      <c r="Z180" s="21" t="s">
        <v>72</v>
      </c>
      <c r="AA180" s="21" t="s">
        <v>406</v>
      </c>
      <c r="AB180" s="8"/>
      <c r="AC180" s="22"/>
      <c r="AD180" s="1"/>
      <c r="AE180" s="23"/>
      <c r="AF180" s="1"/>
      <c r="AG180" s="2"/>
    </row>
    <row r="181" spans="1:33" s="24" customFormat="1" x14ac:dyDescent="0.25">
      <c r="A181" s="4"/>
      <c r="B181" s="4">
        <v>45467</v>
      </c>
      <c r="C181" s="6" t="s">
        <v>1683</v>
      </c>
      <c r="D181" s="224" t="s">
        <v>3487</v>
      </c>
      <c r="E181" s="26" t="s">
        <v>37</v>
      </c>
      <c r="F181" s="233" t="s">
        <v>490</v>
      </c>
      <c r="G181" s="1" t="s">
        <v>491</v>
      </c>
      <c r="H181" s="8">
        <v>4</v>
      </c>
      <c r="I181" s="8"/>
      <c r="J181" s="115">
        <f>Table224[[#This Row],[Qty]]-Table224[[#This Row],[Issue Qty]]</f>
        <v>4</v>
      </c>
      <c r="K181" s="195"/>
      <c r="L181" s="195" t="s">
        <v>3480</v>
      </c>
      <c r="M181" s="5">
        <v>57.372500000000002</v>
      </c>
      <c r="N181" s="5">
        <f t="shared" si="6"/>
        <v>229.49</v>
      </c>
      <c r="O181" s="11">
        <v>0.18</v>
      </c>
      <c r="P181" s="9">
        <f t="shared" si="7"/>
        <v>41.308199999999999</v>
      </c>
      <c r="Q181" s="5">
        <v>31.36</v>
      </c>
      <c r="R181" s="5"/>
      <c r="S181" s="5">
        <f t="shared" si="8"/>
        <v>302.15820000000002</v>
      </c>
      <c r="T181" s="1" t="s">
        <v>486</v>
      </c>
      <c r="U181" s="1" t="s">
        <v>1878</v>
      </c>
      <c r="V181" s="1" t="s">
        <v>243</v>
      </c>
      <c r="W181" s="1" t="s">
        <v>1886</v>
      </c>
      <c r="X181" s="1"/>
      <c r="Y181" s="1"/>
      <c r="Z181" s="21" t="s">
        <v>78</v>
      </c>
      <c r="AA181" s="21"/>
      <c r="AB181" s="8"/>
      <c r="AC181" s="22"/>
      <c r="AD181" s="1"/>
      <c r="AE181" s="23" t="s">
        <v>492</v>
      </c>
      <c r="AF181" s="1"/>
      <c r="AG181" s="2"/>
    </row>
    <row r="182" spans="1:33" s="24" customFormat="1" x14ac:dyDescent="0.25">
      <c r="A182" s="4"/>
      <c r="B182" s="4">
        <v>45467</v>
      </c>
      <c r="C182" s="6" t="s">
        <v>1683</v>
      </c>
      <c r="D182" s="224" t="s">
        <v>3487</v>
      </c>
      <c r="E182" s="26" t="s">
        <v>37</v>
      </c>
      <c r="F182" s="233" t="s">
        <v>484</v>
      </c>
      <c r="G182" s="1" t="s">
        <v>485</v>
      </c>
      <c r="H182" s="8">
        <v>4</v>
      </c>
      <c r="I182" s="8"/>
      <c r="J182" s="115">
        <f>Table224[[#This Row],[Qty]]-Table224[[#This Row],[Issue Qty]]</f>
        <v>4</v>
      </c>
      <c r="K182" s="195"/>
      <c r="L182" s="195" t="s">
        <v>3480</v>
      </c>
      <c r="M182" s="5">
        <v>57.372500000000002</v>
      </c>
      <c r="N182" s="5">
        <f t="shared" si="6"/>
        <v>229.49</v>
      </c>
      <c r="O182" s="11">
        <v>0.18</v>
      </c>
      <c r="P182" s="9">
        <f t="shared" si="7"/>
        <v>41.308199999999999</v>
      </c>
      <c r="Q182" s="5">
        <v>31.36</v>
      </c>
      <c r="R182" s="5"/>
      <c r="S182" s="5">
        <f t="shared" si="8"/>
        <v>302.15820000000002</v>
      </c>
      <c r="T182" s="1" t="s">
        <v>486</v>
      </c>
      <c r="U182" s="1" t="s">
        <v>1878</v>
      </c>
      <c r="V182" s="1" t="s">
        <v>243</v>
      </c>
      <c r="W182" s="1" t="s">
        <v>1886</v>
      </c>
      <c r="X182" s="1"/>
      <c r="Y182" s="1"/>
      <c r="Z182" s="21" t="s">
        <v>78</v>
      </c>
      <c r="AA182" s="21" t="s">
        <v>487</v>
      </c>
      <c r="AB182" s="8"/>
      <c r="AC182" s="22"/>
      <c r="AD182" s="1"/>
      <c r="AE182" s="23" t="s">
        <v>488</v>
      </c>
      <c r="AF182" s="1"/>
      <c r="AG182" s="2"/>
    </row>
    <row r="183" spans="1:33" s="24" customFormat="1" x14ac:dyDescent="0.25">
      <c r="A183" s="4"/>
      <c r="B183" s="4">
        <v>45467</v>
      </c>
      <c r="C183" s="6" t="s">
        <v>1683</v>
      </c>
      <c r="D183" s="224" t="s">
        <v>3487</v>
      </c>
      <c r="E183" s="26" t="s">
        <v>37</v>
      </c>
      <c r="F183" s="233" t="s">
        <v>484</v>
      </c>
      <c r="G183" s="1" t="s">
        <v>489</v>
      </c>
      <c r="H183" s="8">
        <v>2</v>
      </c>
      <c r="I183" s="8"/>
      <c r="J183" s="115">
        <f>Table224[[#This Row],[Qty]]-Table224[[#This Row],[Issue Qty]]</f>
        <v>2</v>
      </c>
      <c r="K183" s="195"/>
      <c r="L183" s="195" t="s">
        <v>3480</v>
      </c>
      <c r="M183" s="5">
        <v>111.10250000000001</v>
      </c>
      <c r="N183" s="5">
        <f t="shared" si="6"/>
        <v>222.20500000000001</v>
      </c>
      <c r="O183" s="11">
        <v>0.18</v>
      </c>
      <c r="P183" s="9">
        <f t="shared" si="7"/>
        <v>39.996900000000004</v>
      </c>
      <c r="Q183" s="5">
        <v>113</v>
      </c>
      <c r="R183" s="5"/>
      <c r="S183" s="5">
        <f t="shared" si="8"/>
        <v>375.20190000000002</v>
      </c>
      <c r="T183" s="1" t="s">
        <v>42</v>
      </c>
      <c r="U183" s="1" t="s">
        <v>1878</v>
      </c>
      <c r="V183" s="1" t="s">
        <v>243</v>
      </c>
      <c r="W183" s="1" t="s">
        <v>1887</v>
      </c>
      <c r="X183" s="1"/>
      <c r="Y183" s="1"/>
      <c r="Z183" s="21" t="s">
        <v>78</v>
      </c>
      <c r="AA183" s="21" t="s">
        <v>487</v>
      </c>
      <c r="AB183" s="8"/>
      <c r="AC183" s="22"/>
      <c r="AD183" s="1"/>
      <c r="AE183" s="23" t="s">
        <v>488</v>
      </c>
      <c r="AF183" s="1"/>
      <c r="AG183" s="2"/>
    </row>
    <row r="184" spans="1:33" s="24" customFormat="1" x14ac:dyDescent="0.25">
      <c r="A184" s="4"/>
      <c r="B184" s="4">
        <v>45467</v>
      </c>
      <c r="C184" s="6" t="s">
        <v>1683</v>
      </c>
      <c r="D184" s="224" t="s">
        <v>3444</v>
      </c>
      <c r="E184" s="6" t="s">
        <v>1872</v>
      </c>
      <c r="F184" s="234" t="s">
        <v>455</v>
      </c>
      <c r="G184" s="1" t="s">
        <v>493</v>
      </c>
      <c r="H184" s="8">
        <v>1</v>
      </c>
      <c r="I184" s="8">
        <v>1</v>
      </c>
      <c r="J184" s="115">
        <f>Table224[[#This Row],[Qty]]-Table224[[#This Row],[Issue Qty]]</f>
        <v>0</v>
      </c>
      <c r="K184" s="195"/>
      <c r="L184" s="195" t="s">
        <v>3480</v>
      </c>
      <c r="M184" s="5">
        <v>3000</v>
      </c>
      <c r="N184" s="5">
        <f t="shared" si="6"/>
        <v>3000</v>
      </c>
      <c r="O184" s="11">
        <v>0.05</v>
      </c>
      <c r="P184" s="9">
        <f t="shared" si="7"/>
        <v>150</v>
      </c>
      <c r="Q184" s="5">
        <v>0</v>
      </c>
      <c r="R184" s="5"/>
      <c r="S184" s="5">
        <f t="shared" si="8"/>
        <v>3150</v>
      </c>
      <c r="T184" s="1" t="s">
        <v>486</v>
      </c>
      <c r="U184" s="1" t="s">
        <v>1878</v>
      </c>
      <c r="V184" s="1" t="s">
        <v>444</v>
      </c>
      <c r="W184" s="1" t="s">
        <v>1888</v>
      </c>
      <c r="X184" s="1"/>
      <c r="Y184" s="2"/>
      <c r="Z184" s="21"/>
      <c r="AA184" s="21"/>
      <c r="AB184" s="21">
        <v>1</v>
      </c>
      <c r="AC184" s="12" t="s">
        <v>3532</v>
      </c>
      <c r="AD184" s="2"/>
      <c r="AE184" s="23"/>
      <c r="AF184" s="2"/>
      <c r="AG184" s="2"/>
    </row>
    <row r="185" spans="1:33" s="24" customFormat="1" ht="30" x14ac:dyDescent="0.25">
      <c r="A185" s="4"/>
      <c r="B185" s="4">
        <v>45467</v>
      </c>
      <c r="C185" s="6" t="s">
        <v>1683</v>
      </c>
      <c r="D185" s="224" t="s">
        <v>3493</v>
      </c>
      <c r="E185" s="6" t="s">
        <v>1889</v>
      </c>
      <c r="F185" s="234" t="s">
        <v>494</v>
      </c>
      <c r="G185" s="1" t="s">
        <v>495</v>
      </c>
      <c r="H185" s="8">
        <v>3</v>
      </c>
      <c r="I185" s="8">
        <f>1+2</f>
        <v>3</v>
      </c>
      <c r="J185" s="115">
        <f>Table224[[#This Row],[Qty]]-Table224[[#This Row],[Issue Qty]]</f>
        <v>0</v>
      </c>
      <c r="K185" s="195"/>
      <c r="L185" s="195" t="s">
        <v>3511</v>
      </c>
      <c r="M185" s="5">
        <v>81.542000000000002</v>
      </c>
      <c r="N185" s="5">
        <f t="shared" si="6"/>
        <v>244.626</v>
      </c>
      <c r="O185" s="11">
        <v>0.18</v>
      </c>
      <c r="P185" s="9">
        <f t="shared" si="7"/>
        <v>44.032679999999999</v>
      </c>
      <c r="Q185" s="5">
        <v>31.36</v>
      </c>
      <c r="R185" s="5"/>
      <c r="S185" s="5">
        <f t="shared" si="8"/>
        <v>320.01868000000002</v>
      </c>
      <c r="T185" s="1" t="s">
        <v>486</v>
      </c>
      <c r="U185" s="1" t="s">
        <v>1878</v>
      </c>
      <c r="V185" s="1" t="s">
        <v>243</v>
      </c>
      <c r="W185" s="1" t="s">
        <v>1886</v>
      </c>
      <c r="X185" s="1"/>
      <c r="Y185" s="2"/>
      <c r="Z185" s="21" t="s">
        <v>3349</v>
      </c>
      <c r="AA185" s="21"/>
      <c r="AB185" s="21">
        <v>3</v>
      </c>
      <c r="AC185" s="12" t="s">
        <v>2910</v>
      </c>
      <c r="AD185" s="2"/>
      <c r="AE185" s="23" t="s">
        <v>497</v>
      </c>
      <c r="AF185" s="2"/>
      <c r="AG185" s="26"/>
    </row>
    <row r="186" spans="1:33" s="24" customFormat="1" x14ac:dyDescent="0.25">
      <c r="A186" s="4"/>
      <c r="B186" s="4">
        <v>45469</v>
      </c>
      <c r="C186" s="1" t="s">
        <v>1991</v>
      </c>
      <c r="D186" s="224" t="s">
        <v>3464</v>
      </c>
      <c r="E186" s="6" t="s">
        <v>1892</v>
      </c>
      <c r="F186" s="234" t="s">
        <v>501</v>
      </c>
      <c r="G186" s="1" t="s">
        <v>502</v>
      </c>
      <c r="H186" s="8">
        <v>1</v>
      </c>
      <c r="I186" s="8">
        <v>1</v>
      </c>
      <c r="J186" s="115">
        <f>Table224[[#This Row],[Qty]]-Table224[[#This Row],[Issue Qty]]</f>
        <v>0</v>
      </c>
      <c r="K186" s="195"/>
      <c r="L186" s="195" t="s">
        <v>3480</v>
      </c>
      <c r="M186" s="5">
        <v>29000</v>
      </c>
      <c r="N186" s="5">
        <f t="shared" si="6"/>
        <v>29000</v>
      </c>
      <c r="O186" s="82">
        <v>0.05</v>
      </c>
      <c r="P186" s="9">
        <f t="shared" si="7"/>
        <v>1450</v>
      </c>
      <c r="Q186" s="5">
        <v>0</v>
      </c>
      <c r="R186" s="5"/>
      <c r="S186" s="5">
        <f t="shared" si="8"/>
        <v>30450</v>
      </c>
      <c r="T186" s="1" t="s">
        <v>486</v>
      </c>
      <c r="U186" s="1" t="s">
        <v>1878</v>
      </c>
      <c r="V186" s="1" t="s">
        <v>290</v>
      </c>
      <c r="W186" s="1" t="s">
        <v>1891</v>
      </c>
      <c r="X186" s="1"/>
      <c r="Y186" s="2"/>
      <c r="Z186" s="21"/>
      <c r="AA186" s="21"/>
      <c r="AB186" s="21">
        <v>1</v>
      </c>
      <c r="AC186" s="12" t="s">
        <v>3636</v>
      </c>
      <c r="AD186" s="2"/>
      <c r="AE186" s="23"/>
      <c r="AF186" s="2"/>
      <c r="AG186" s="2"/>
    </row>
    <row r="187" spans="1:33" s="206" customFormat="1" x14ac:dyDescent="0.25">
      <c r="A187" s="4"/>
      <c r="B187" s="4">
        <v>45469</v>
      </c>
      <c r="C187" s="1" t="s">
        <v>1991</v>
      </c>
      <c r="D187" s="224" t="s">
        <v>3490</v>
      </c>
      <c r="E187" s="6" t="s">
        <v>1890</v>
      </c>
      <c r="F187" s="234" t="s">
        <v>498</v>
      </c>
      <c r="G187" s="1" t="s">
        <v>499</v>
      </c>
      <c r="H187" s="8">
        <v>1</v>
      </c>
      <c r="I187" s="8">
        <v>1</v>
      </c>
      <c r="J187" s="115">
        <f>Table224[[#This Row],[Qty]]-Table224[[#This Row],[Issue Qty]]</f>
        <v>0</v>
      </c>
      <c r="K187" s="195"/>
      <c r="L187" s="195" t="s">
        <v>3480</v>
      </c>
      <c r="M187" s="5">
        <v>18750</v>
      </c>
      <c r="N187" s="5">
        <f t="shared" si="6"/>
        <v>18750</v>
      </c>
      <c r="O187" s="11">
        <v>0.05</v>
      </c>
      <c r="P187" s="9">
        <f t="shared" si="7"/>
        <v>937.5</v>
      </c>
      <c r="Q187" s="5">
        <v>0</v>
      </c>
      <c r="R187" s="5"/>
      <c r="S187" s="5">
        <f t="shared" si="8"/>
        <v>19687.5</v>
      </c>
      <c r="T187" s="1" t="s">
        <v>486</v>
      </c>
      <c r="U187" s="1" t="s">
        <v>1878</v>
      </c>
      <c r="V187" s="1" t="s">
        <v>290</v>
      </c>
      <c r="W187" s="1" t="s">
        <v>1891</v>
      </c>
      <c r="X187" s="1"/>
      <c r="Y187" s="2"/>
      <c r="Z187" s="21" t="s">
        <v>52</v>
      </c>
      <c r="AA187" s="21"/>
      <c r="AB187" s="21">
        <v>1</v>
      </c>
      <c r="AC187" s="12" t="s">
        <v>500</v>
      </c>
      <c r="AD187" s="2"/>
      <c r="AE187" s="23"/>
      <c r="AF187" s="2"/>
      <c r="AG187" s="2"/>
    </row>
    <row r="188" spans="1:33" s="24" customFormat="1" x14ac:dyDescent="0.25">
      <c r="A188" s="4"/>
      <c r="B188" s="4">
        <v>45483</v>
      </c>
      <c r="C188" s="6" t="s">
        <v>54</v>
      </c>
      <c r="D188" s="224" t="s">
        <v>1730</v>
      </c>
      <c r="E188" s="6" t="s">
        <v>37</v>
      </c>
      <c r="F188" s="102" t="s">
        <v>504</v>
      </c>
      <c r="G188" s="1" t="s">
        <v>504</v>
      </c>
      <c r="H188" s="8">
        <v>1</v>
      </c>
      <c r="I188" s="8"/>
      <c r="J188" s="115">
        <f>Table224[[#This Row],[Qty]]-Table224[[#This Row],[Issue Qty]]</f>
        <v>1</v>
      </c>
      <c r="K188" s="195"/>
      <c r="L188" s="195" t="s">
        <v>3480</v>
      </c>
      <c r="M188" s="5">
        <v>17650</v>
      </c>
      <c r="N188" s="5">
        <f t="shared" si="6"/>
        <v>17650</v>
      </c>
      <c r="O188" s="82">
        <v>0.18</v>
      </c>
      <c r="P188" s="9">
        <f t="shared" si="7"/>
        <v>3177</v>
      </c>
      <c r="Q188" s="5">
        <f>767/3</f>
        <v>255.66666666666666</v>
      </c>
      <c r="R188" s="5"/>
      <c r="S188" s="5">
        <f t="shared" si="8"/>
        <v>21082.666666666668</v>
      </c>
      <c r="T188" s="1" t="s">
        <v>260</v>
      </c>
      <c r="U188" s="1" t="s">
        <v>260</v>
      </c>
      <c r="V188" s="1" t="s">
        <v>440</v>
      </c>
      <c r="W188" s="1" t="s">
        <v>1893</v>
      </c>
      <c r="X188" s="1"/>
      <c r="Y188" s="2"/>
      <c r="Z188" s="21" t="s">
        <v>505</v>
      </c>
      <c r="AA188" s="21" t="s">
        <v>506</v>
      </c>
      <c r="AB188" s="21"/>
      <c r="AC188" s="12"/>
      <c r="AD188" s="2"/>
      <c r="AE188" s="23"/>
      <c r="AF188" s="2"/>
      <c r="AG188" s="2"/>
    </row>
    <row r="189" spans="1:33" s="24" customFormat="1" x14ac:dyDescent="0.25">
      <c r="A189" s="4"/>
      <c r="B189" s="4">
        <v>45496</v>
      </c>
      <c r="C189" s="6" t="s">
        <v>54</v>
      </c>
      <c r="D189" s="224" t="s">
        <v>3500</v>
      </c>
      <c r="E189" s="6" t="s">
        <v>37</v>
      </c>
      <c r="F189" s="102" t="s">
        <v>507</v>
      </c>
      <c r="G189" s="1" t="s">
        <v>507</v>
      </c>
      <c r="H189" s="8">
        <v>1</v>
      </c>
      <c r="I189" s="8"/>
      <c r="J189" s="115">
        <f>Table224[[#This Row],[Qty]]-Table224[[#This Row],[Issue Qty]]</f>
        <v>1</v>
      </c>
      <c r="K189" s="195"/>
      <c r="L189" s="195" t="s">
        <v>3480</v>
      </c>
      <c r="M189" s="5">
        <v>42855</v>
      </c>
      <c r="N189" s="5">
        <f t="shared" si="6"/>
        <v>42855</v>
      </c>
      <c r="O189" s="82">
        <v>0.05</v>
      </c>
      <c r="P189" s="9">
        <f t="shared" si="7"/>
        <v>2142.75</v>
      </c>
      <c r="Q189" s="5">
        <v>0</v>
      </c>
      <c r="R189" s="5"/>
      <c r="S189" s="5">
        <f t="shared" si="8"/>
        <v>44997.75</v>
      </c>
      <c r="T189" s="1" t="s">
        <v>508</v>
      </c>
      <c r="U189" s="1" t="s">
        <v>331</v>
      </c>
      <c r="V189" s="1" t="s">
        <v>444</v>
      </c>
      <c r="W189" s="1"/>
      <c r="X189" s="1"/>
      <c r="Y189" s="2"/>
      <c r="Z189" s="21"/>
      <c r="AA189" s="21"/>
      <c r="AB189" s="21">
        <v>1</v>
      </c>
      <c r="AC189" s="12" t="s">
        <v>509</v>
      </c>
      <c r="AD189" s="2"/>
      <c r="AE189" s="23"/>
      <c r="AF189" s="2"/>
      <c r="AG189" s="26"/>
    </row>
    <row r="190" spans="1:33" s="24" customFormat="1" ht="30" x14ac:dyDescent="0.25">
      <c r="A190" s="4"/>
      <c r="B190" s="4">
        <v>45499</v>
      </c>
      <c r="C190" s="6" t="s">
        <v>54</v>
      </c>
      <c r="D190" s="224" t="s">
        <v>3456</v>
      </c>
      <c r="E190" s="6" t="s">
        <v>1705</v>
      </c>
      <c r="F190" s="234" t="s">
        <v>510</v>
      </c>
      <c r="G190" s="1" t="s">
        <v>511</v>
      </c>
      <c r="H190" s="8">
        <v>1</v>
      </c>
      <c r="I190" s="8"/>
      <c r="J190" s="115">
        <f>Table224[[#This Row],[Qty]]-Table224[[#This Row],[Issue Qty]]</f>
        <v>1</v>
      </c>
      <c r="K190" s="195"/>
      <c r="L190" s="195" t="s">
        <v>3480</v>
      </c>
      <c r="M190" s="5">
        <v>5761.87</v>
      </c>
      <c r="N190" s="5">
        <f t="shared" si="6"/>
        <v>5761.87</v>
      </c>
      <c r="O190" s="82">
        <v>0.18</v>
      </c>
      <c r="P190" s="9">
        <f t="shared" si="7"/>
        <v>1037.1366</v>
      </c>
      <c r="Q190" s="5">
        <v>0</v>
      </c>
      <c r="R190" s="5"/>
      <c r="S190" s="5">
        <f t="shared" si="8"/>
        <v>6799.0065999999997</v>
      </c>
      <c r="T190" s="1" t="s">
        <v>512</v>
      </c>
      <c r="U190" s="1" t="s">
        <v>512</v>
      </c>
      <c r="V190" s="1" t="s">
        <v>394</v>
      </c>
      <c r="W190" s="1" t="s">
        <v>1894</v>
      </c>
      <c r="X190" s="1"/>
      <c r="Y190" s="1"/>
      <c r="Z190" s="21" t="s">
        <v>72</v>
      </c>
      <c r="AA190" s="21" t="s">
        <v>73</v>
      </c>
      <c r="AB190" s="8"/>
      <c r="AC190" s="22"/>
      <c r="AD190" s="1"/>
      <c r="AE190" s="23" t="s">
        <v>513</v>
      </c>
      <c r="AF190" s="1"/>
      <c r="AG190" s="2"/>
    </row>
    <row r="191" spans="1:33" s="206" customFormat="1" ht="30" x14ac:dyDescent="0.25">
      <c r="A191" s="4"/>
      <c r="B191" s="4">
        <v>45509</v>
      </c>
      <c r="C191" s="1" t="s">
        <v>1991</v>
      </c>
      <c r="D191" s="224" t="s">
        <v>3459</v>
      </c>
      <c r="E191" s="6" t="s">
        <v>1895</v>
      </c>
      <c r="F191" s="234" t="s">
        <v>514</v>
      </c>
      <c r="G191" s="1" t="s">
        <v>515</v>
      </c>
      <c r="H191" s="8">
        <v>1</v>
      </c>
      <c r="I191" s="8"/>
      <c r="J191" s="115">
        <f>Table224[[#This Row],[Qty]]-Table224[[#This Row],[Issue Qty]]</f>
        <v>1</v>
      </c>
      <c r="K191" s="195"/>
      <c r="L191" s="195" t="s">
        <v>3480</v>
      </c>
      <c r="M191" s="5">
        <v>74000</v>
      </c>
      <c r="N191" s="5">
        <f t="shared" si="6"/>
        <v>74000</v>
      </c>
      <c r="O191" s="82">
        <v>0.18</v>
      </c>
      <c r="P191" s="9">
        <f t="shared" si="7"/>
        <v>13320</v>
      </c>
      <c r="Q191" s="5">
        <v>0</v>
      </c>
      <c r="R191" s="5"/>
      <c r="S191" s="5">
        <f t="shared" si="8"/>
        <v>87320</v>
      </c>
      <c r="T191" s="1" t="s">
        <v>508</v>
      </c>
      <c r="U191" s="1" t="s">
        <v>331</v>
      </c>
      <c r="V191" s="1" t="s">
        <v>478</v>
      </c>
      <c r="W191" s="1"/>
      <c r="X191" s="1"/>
      <c r="Y191" s="1"/>
      <c r="Z191" s="21" t="s">
        <v>388</v>
      </c>
      <c r="AA191" s="21" t="s">
        <v>479</v>
      </c>
      <c r="AB191" s="8"/>
      <c r="AC191" s="22"/>
      <c r="AD191" s="1"/>
      <c r="AE191" s="23" t="s">
        <v>515</v>
      </c>
      <c r="AF191" s="1"/>
      <c r="AG191" s="26"/>
    </row>
    <row r="192" spans="1:33" s="24" customFormat="1" ht="30" x14ac:dyDescent="0.25">
      <c r="A192" s="4"/>
      <c r="B192" s="4">
        <v>45513</v>
      </c>
      <c r="C192" s="1" t="s">
        <v>1991</v>
      </c>
      <c r="D192" s="224" t="s">
        <v>3455</v>
      </c>
      <c r="E192" s="6" t="s">
        <v>1884</v>
      </c>
      <c r="F192" s="234" t="s">
        <v>482</v>
      </c>
      <c r="G192" s="1" t="s">
        <v>483</v>
      </c>
      <c r="H192" s="8">
        <v>1</v>
      </c>
      <c r="I192" s="8"/>
      <c r="J192" s="115">
        <f>Table224[[#This Row],[Qty]]-Table224[[#This Row],[Issue Qty]]</f>
        <v>1</v>
      </c>
      <c r="K192" s="195"/>
      <c r="L192" s="195" t="s">
        <v>3480</v>
      </c>
      <c r="M192" s="5">
        <v>3025.42</v>
      </c>
      <c r="N192" s="5">
        <f t="shared" si="6"/>
        <v>3025.42</v>
      </c>
      <c r="O192" s="82">
        <v>0.18</v>
      </c>
      <c r="P192" s="9">
        <f t="shared" si="7"/>
        <v>544.57560000000001</v>
      </c>
      <c r="Q192" s="5">
        <v>0</v>
      </c>
      <c r="R192" s="5"/>
      <c r="S192" s="5">
        <f t="shared" si="8"/>
        <v>3569.9956000000002</v>
      </c>
      <c r="T192" s="1" t="s">
        <v>516</v>
      </c>
      <c r="U192" s="1" t="s">
        <v>517</v>
      </c>
      <c r="V192" s="1" t="s">
        <v>384</v>
      </c>
      <c r="W192" s="1"/>
      <c r="X192" s="1"/>
      <c r="Y192" s="1"/>
      <c r="Z192" s="21" t="s">
        <v>72</v>
      </c>
      <c r="AA192" s="21" t="s">
        <v>406</v>
      </c>
      <c r="AB192" s="8"/>
      <c r="AC192" s="22"/>
      <c r="AD192" s="1"/>
      <c r="AE192" s="23"/>
      <c r="AF192" s="1"/>
      <c r="AG192" s="26"/>
    </row>
    <row r="193" spans="1:33" s="206" customFormat="1" x14ac:dyDescent="0.25">
      <c r="A193" s="4"/>
      <c r="B193" s="4">
        <v>45521</v>
      </c>
      <c r="C193" s="1" t="s">
        <v>1991</v>
      </c>
      <c r="D193" s="224" t="s">
        <v>3444</v>
      </c>
      <c r="E193" s="6" t="s">
        <v>1896</v>
      </c>
      <c r="F193" s="234" t="s">
        <v>518</v>
      </c>
      <c r="G193" s="1" t="s">
        <v>518</v>
      </c>
      <c r="H193" s="8">
        <v>1</v>
      </c>
      <c r="I193" s="8"/>
      <c r="J193" s="115">
        <f>Table224[[#This Row],[Qty]]-Table224[[#This Row],[Issue Qty]]</f>
        <v>1</v>
      </c>
      <c r="K193" s="195"/>
      <c r="L193" s="195" t="s">
        <v>3480</v>
      </c>
      <c r="M193" s="5">
        <v>9487.81</v>
      </c>
      <c r="N193" s="5">
        <f t="shared" si="6"/>
        <v>9487.81</v>
      </c>
      <c r="O193" s="82">
        <v>0.18</v>
      </c>
      <c r="P193" s="9">
        <f t="shared" si="7"/>
        <v>1707.8057999999999</v>
      </c>
      <c r="Q193" s="5">
        <v>0</v>
      </c>
      <c r="R193" s="5"/>
      <c r="S193" s="5">
        <f t="shared" si="8"/>
        <v>11195.6158</v>
      </c>
      <c r="T193" s="1" t="s">
        <v>508</v>
      </c>
      <c r="U193" s="1" t="s">
        <v>331</v>
      </c>
      <c r="V193" s="1" t="s">
        <v>384</v>
      </c>
      <c r="W193" s="1"/>
      <c r="X193" s="1"/>
      <c r="Y193" s="1"/>
      <c r="Z193" s="21" t="s">
        <v>38</v>
      </c>
      <c r="AA193" s="8" t="s">
        <v>3342</v>
      </c>
      <c r="AB193" s="8"/>
      <c r="AC193" s="22"/>
      <c r="AD193" s="1"/>
      <c r="AE193" s="23" t="s">
        <v>519</v>
      </c>
      <c r="AF193" s="1"/>
      <c r="AG193" s="26"/>
    </row>
    <row r="194" spans="1:33" s="206" customFormat="1" ht="30" x14ac:dyDescent="0.25">
      <c r="A194" s="4"/>
      <c r="B194" s="4">
        <v>45523</v>
      </c>
      <c r="C194" s="6" t="s">
        <v>1683</v>
      </c>
      <c r="D194" s="224" t="s">
        <v>3439</v>
      </c>
      <c r="E194" s="6" t="s">
        <v>1827</v>
      </c>
      <c r="F194" s="234" t="s">
        <v>351</v>
      </c>
      <c r="G194" s="1" t="s">
        <v>520</v>
      </c>
      <c r="H194" s="8">
        <v>2</v>
      </c>
      <c r="I194" s="8"/>
      <c r="J194" s="115">
        <f>Table224[[#This Row],[Qty]]-Table224[[#This Row],[Issue Qty]]</f>
        <v>2</v>
      </c>
      <c r="K194" s="195"/>
      <c r="L194" s="195" t="s">
        <v>3480</v>
      </c>
      <c r="M194" s="5">
        <v>1471.1849999999999</v>
      </c>
      <c r="N194" s="5">
        <f t="shared" si="6"/>
        <v>2942.37</v>
      </c>
      <c r="O194" s="82">
        <v>0.18</v>
      </c>
      <c r="P194" s="9">
        <f t="shared" si="7"/>
        <v>529.62659999999994</v>
      </c>
      <c r="Q194" s="5">
        <f>49/3</f>
        <v>16.333333333333332</v>
      </c>
      <c r="R194" s="5"/>
      <c r="S194" s="5">
        <f t="shared" si="8"/>
        <v>3488.3299333333334</v>
      </c>
      <c r="T194" s="1" t="s">
        <v>508</v>
      </c>
      <c r="U194" s="1" t="s">
        <v>331</v>
      </c>
      <c r="V194" s="1" t="s">
        <v>243</v>
      </c>
      <c r="W194" s="1"/>
      <c r="X194" s="1"/>
      <c r="Y194" s="1"/>
      <c r="Z194" s="21" t="s">
        <v>72</v>
      </c>
      <c r="AA194" s="21" t="s">
        <v>352</v>
      </c>
      <c r="AB194" s="8"/>
      <c r="AC194" s="22"/>
      <c r="AD194" s="1"/>
      <c r="AE194" s="23" t="s">
        <v>353</v>
      </c>
      <c r="AF194" s="1"/>
      <c r="AG194" s="26"/>
    </row>
    <row r="195" spans="1:33" s="206" customFormat="1" x14ac:dyDescent="0.25">
      <c r="A195" s="4"/>
      <c r="B195" s="4">
        <v>45524</v>
      </c>
      <c r="C195" s="6" t="s">
        <v>1683</v>
      </c>
      <c r="D195" s="224" t="s">
        <v>3429</v>
      </c>
      <c r="E195" s="6" t="s">
        <v>1898</v>
      </c>
      <c r="F195" s="234" t="s">
        <v>524</v>
      </c>
      <c r="G195" s="1" t="s">
        <v>522</v>
      </c>
      <c r="H195" s="8">
        <v>4</v>
      </c>
      <c r="I195" s="8">
        <v>3</v>
      </c>
      <c r="J195" s="115">
        <f>Table224[[#This Row],[Qty]]-Table224[[#This Row],[Issue Qty]]</f>
        <v>1</v>
      </c>
      <c r="K195" s="195"/>
      <c r="L195" s="195" t="s">
        <v>3480</v>
      </c>
      <c r="M195" s="5">
        <v>12100</v>
      </c>
      <c r="N195" s="5">
        <f t="shared" ref="N195:N236" si="9">H195*M195</f>
        <v>48400</v>
      </c>
      <c r="O195" s="82">
        <v>0.18</v>
      </c>
      <c r="P195" s="9">
        <f t="shared" ref="P195:P258" si="10">N195*O195</f>
        <v>8712</v>
      </c>
      <c r="Q195" s="5">
        <v>0</v>
      </c>
      <c r="R195" s="5"/>
      <c r="S195" s="5">
        <f t="shared" ref="S195:S258" si="11">N195+P195+Q195+R195</f>
        <v>57112</v>
      </c>
      <c r="T195" s="1" t="s">
        <v>508</v>
      </c>
      <c r="U195" s="1" t="s">
        <v>331</v>
      </c>
      <c r="V195" s="1" t="s">
        <v>387</v>
      </c>
      <c r="W195" s="1"/>
      <c r="X195" s="1"/>
      <c r="Y195" s="2"/>
      <c r="Z195" s="21" t="s">
        <v>64</v>
      </c>
      <c r="AA195" s="21" t="s">
        <v>523</v>
      </c>
      <c r="AB195" s="21">
        <v>3</v>
      </c>
      <c r="AC195" s="12" t="s">
        <v>509</v>
      </c>
      <c r="AD195" s="2"/>
      <c r="AE195" s="23"/>
      <c r="AF195" s="2"/>
      <c r="AG195" s="26"/>
    </row>
    <row r="196" spans="1:33" s="206" customFormat="1" x14ac:dyDescent="0.25">
      <c r="A196" s="4"/>
      <c r="B196" s="4">
        <v>45524</v>
      </c>
      <c r="C196" s="6" t="s">
        <v>1683</v>
      </c>
      <c r="D196" s="224" t="s">
        <v>3429</v>
      </c>
      <c r="E196" s="6" t="s">
        <v>1897</v>
      </c>
      <c r="F196" s="234" t="s">
        <v>521</v>
      </c>
      <c r="G196" s="1" t="s">
        <v>522</v>
      </c>
      <c r="H196" s="8">
        <v>4</v>
      </c>
      <c r="I196" s="8">
        <v>3</v>
      </c>
      <c r="J196" s="115">
        <f>Table224[[#This Row],[Qty]]-Table224[[#This Row],[Issue Qty]]</f>
        <v>1</v>
      </c>
      <c r="K196" s="195"/>
      <c r="L196" s="195" t="s">
        <v>3480</v>
      </c>
      <c r="M196" s="5">
        <v>12100</v>
      </c>
      <c r="N196" s="5">
        <f t="shared" si="9"/>
        <v>48400</v>
      </c>
      <c r="O196" s="82">
        <v>0.18</v>
      </c>
      <c r="P196" s="9">
        <f t="shared" si="10"/>
        <v>8712</v>
      </c>
      <c r="Q196" s="5">
        <v>0</v>
      </c>
      <c r="R196" s="5"/>
      <c r="S196" s="5">
        <f t="shared" si="11"/>
        <v>57112</v>
      </c>
      <c r="T196" s="1" t="s">
        <v>508</v>
      </c>
      <c r="U196" s="1" t="s">
        <v>331</v>
      </c>
      <c r="V196" s="1" t="s">
        <v>387</v>
      </c>
      <c r="W196" s="1"/>
      <c r="X196" s="1"/>
      <c r="Y196" s="2"/>
      <c r="Z196" s="21" t="s">
        <v>64</v>
      </c>
      <c r="AA196" s="21" t="s">
        <v>523</v>
      </c>
      <c r="AB196" s="21">
        <v>3</v>
      </c>
      <c r="AC196" s="12" t="s">
        <v>509</v>
      </c>
      <c r="AD196" s="2"/>
      <c r="AE196" s="23"/>
      <c r="AF196" s="2"/>
      <c r="AG196" s="26"/>
    </row>
    <row r="197" spans="1:33" s="206" customFormat="1" x14ac:dyDescent="0.25">
      <c r="A197" s="4"/>
      <c r="B197" s="4">
        <v>45525</v>
      </c>
      <c r="C197" s="6" t="s">
        <v>1683</v>
      </c>
      <c r="D197" s="224" t="s">
        <v>3439</v>
      </c>
      <c r="E197" s="6" t="s">
        <v>1779</v>
      </c>
      <c r="F197" s="257" t="s">
        <v>264</v>
      </c>
      <c r="G197" s="1" t="s">
        <v>525</v>
      </c>
      <c r="H197" s="8">
        <v>1</v>
      </c>
      <c r="I197" s="8"/>
      <c r="J197" s="115">
        <f>Table224[[#This Row],[Qty]]-Table224[[#This Row],[Issue Qty]]</f>
        <v>1</v>
      </c>
      <c r="K197" s="332">
        <v>1</v>
      </c>
      <c r="L197" s="195" t="s">
        <v>3480</v>
      </c>
      <c r="M197" s="5">
        <v>237.29</v>
      </c>
      <c r="N197" s="5">
        <f t="shared" si="9"/>
        <v>237.29</v>
      </c>
      <c r="O197" s="82">
        <v>0.18</v>
      </c>
      <c r="P197" s="9">
        <f t="shared" si="10"/>
        <v>42.712199999999996</v>
      </c>
      <c r="Q197" s="5">
        <v>12.8</v>
      </c>
      <c r="R197" s="5"/>
      <c r="S197" s="5">
        <f t="shared" si="11"/>
        <v>292.80220000000003</v>
      </c>
      <c r="T197" s="1" t="s">
        <v>508</v>
      </c>
      <c r="U197" s="1" t="s">
        <v>331</v>
      </c>
      <c r="V197" s="1" t="s">
        <v>243</v>
      </c>
      <c r="W197" s="1"/>
      <c r="X197" s="1"/>
      <c r="Y197" s="2"/>
      <c r="Z197" s="21" t="s">
        <v>72</v>
      </c>
      <c r="AA197" s="8" t="s">
        <v>117</v>
      </c>
      <c r="AB197" s="21"/>
      <c r="AC197" s="12"/>
      <c r="AD197" s="2"/>
      <c r="AE197" s="23"/>
      <c r="AF197" s="2"/>
      <c r="AG197" s="26"/>
    </row>
    <row r="198" spans="1:33" s="206" customFormat="1" x14ac:dyDescent="0.25">
      <c r="A198" s="4"/>
      <c r="B198" s="4">
        <v>45526</v>
      </c>
      <c r="C198" s="1" t="s">
        <v>1991</v>
      </c>
      <c r="D198" s="224" t="s">
        <v>3490</v>
      </c>
      <c r="E198" s="6" t="s">
        <v>1890</v>
      </c>
      <c r="F198" s="234" t="s">
        <v>498</v>
      </c>
      <c r="G198" s="1" t="s">
        <v>526</v>
      </c>
      <c r="H198" s="8">
        <v>2</v>
      </c>
      <c r="I198" s="8">
        <v>2</v>
      </c>
      <c r="J198" s="115">
        <f>Table224[[#This Row],[Qty]]-Table224[[#This Row],[Issue Qty]]</f>
        <v>0</v>
      </c>
      <c r="K198" s="195"/>
      <c r="L198" s="195" t="s">
        <v>3480</v>
      </c>
      <c r="M198" s="5">
        <v>18750</v>
      </c>
      <c r="N198" s="5">
        <f t="shared" si="9"/>
        <v>37500</v>
      </c>
      <c r="O198" s="82">
        <v>0.05</v>
      </c>
      <c r="P198" s="9">
        <f t="shared" si="10"/>
        <v>1875</v>
      </c>
      <c r="Q198" s="5">
        <v>0</v>
      </c>
      <c r="R198" s="5"/>
      <c r="S198" s="5">
        <f t="shared" si="11"/>
        <v>39375</v>
      </c>
      <c r="T198" s="1" t="s">
        <v>508</v>
      </c>
      <c r="U198" s="1" t="s">
        <v>331</v>
      </c>
      <c r="V198" s="1" t="s">
        <v>290</v>
      </c>
      <c r="W198" s="1"/>
      <c r="X198" s="1"/>
      <c r="Y198" s="2"/>
      <c r="Z198" s="21" t="s">
        <v>52</v>
      </c>
      <c r="AA198" s="21"/>
      <c r="AB198" s="21">
        <v>2</v>
      </c>
      <c r="AC198" s="12" t="s">
        <v>3574</v>
      </c>
      <c r="AD198" s="2"/>
      <c r="AE198" s="23"/>
      <c r="AF198" s="2"/>
      <c r="AG198" s="2"/>
    </row>
    <row r="199" spans="1:33" s="206" customFormat="1" x14ac:dyDescent="0.25">
      <c r="A199" s="4"/>
      <c r="B199" s="4">
        <v>45527</v>
      </c>
      <c r="C199" s="1" t="s">
        <v>1991</v>
      </c>
      <c r="D199" s="224" t="s">
        <v>3490</v>
      </c>
      <c r="E199" s="26" t="s">
        <v>1899</v>
      </c>
      <c r="F199" s="233" t="s">
        <v>528</v>
      </c>
      <c r="G199" s="1" t="s">
        <v>529</v>
      </c>
      <c r="H199" s="8">
        <v>2</v>
      </c>
      <c r="I199" s="8"/>
      <c r="J199" s="115">
        <f>Table224[[#This Row],[Qty]]-Table224[[#This Row],[Issue Qty]]</f>
        <v>2</v>
      </c>
      <c r="K199" s="195"/>
      <c r="L199" s="195" t="s">
        <v>3480</v>
      </c>
      <c r="M199" s="5">
        <v>8399</v>
      </c>
      <c r="N199" s="5">
        <f t="shared" si="9"/>
        <v>16798</v>
      </c>
      <c r="O199" s="82">
        <v>0.12</v>
      </c>
      <c r="P199" s="9">
        <f t="shared" si="10"/>
        <v>2015.76</v>
      </c>
      <c r="Q199" s="5">
        <v>0</v>
      </c>
      <c r="R199" s="5"/>
      <c r="S199" s="5">
        <f t="shared" si="11"/>
        <v>18813.759999999998</v>
      </c>
      <c r="T199" s="1" t="s">
        <v>530</v>
      </c>
      <c r="U199" s="1" t="s">
        <v>1742</v>
      </c>
      <c r="V199" s="1" t="s">
        <v>531</v>
      </c>
      <c r="W199" s="1"/>
      <c r="X199" s="1"/>
      <c r="Y199" s="1"/>
      <c r="Z199" s="21" t="s">
        <v>52</v>
      </c>
      <c r="AA199" s="21" t="s">
        <v>53</v>
      </c>
      <c r="AB199" s="8"/>
      <c r="AC199" s="22"/>
      <c r="AD199" s="1"/>
      <c r="AE199" s="23"/>
      <c r="AF199" s="1"/>
      <c r="AG199" s="2"/>
    </row>
    <row r="200" spans="1:33" s="24" customFormat="1" x14ac:dyDescent="0.25">
      <c r="A200" s="4"/>
      <c r="B200" s="4">
        <v>45527</v>
      </c>
      <c r="C200" s="1" t="s">
        <v>1991</v>
      </c>
      <c r="D200" s="224" t="s">
        <v>3492</v>
      </c>
      <c r="E200" s="26" t="s">
        <v>1900</v>
      </c>
      <c r="F200" s="168" t="s">
        <v>532</v>
      </c>
      <c r="G200" s="1" t="s">
        <v>533</v>
      </c>
      <c r="H200" s="8">
        <v>1</v>
      </c>
      <c r="I200" s="8"/>
      <c r="J200" s="115">
        <f>Table224[[#This Row],[Qty]]-Table224[[#This Row],[Issue Qty]]</f>
        <v>1</v>
      </c>
      <c r="K200" s="195"/>
      <c r="L200" s="195" t="s">
        <v>3480</v>
      </c>
      <c r="M200" s="5">
        <v>541.495</v>
      </c>
      <c r="N200" s="5">
        <f t="shared" si="9"/>
        <v>541.495</v>
      </c>
      <c r="O200" s="82">
        <v>0.05</v>
      </c>
      <c r="P200" s="9">
        <f t="shared" si="10"/>
        <v>27.074750000000002</v>
      </c>
      <c r="Q200" s="5">
        <v>0</v>
      </c>
      <c r="R200" s="5"/>
      <c r="S200" s="5">
        <f t="shared" si="11"/>
        <v>568.56975</v>
      </c>
      <c r="T200" s="1" t="s">
        <v>530</v>
      </c>
      <c r="U200" s="1" t="s">
        <v>1742</v>
      </c>
      <c r="V200" s="1" t="s">
        <v>243</v>
      </c>
      <c r="W200" s="1"/>
      <c r="X200" s="1"/>
      <c r="Y200" s="1"/>
      <c r="Z200" s="8" t="s">
        <v>72</v>
      </c>
      <c r="AA200" s="21" t="s">
        <v>262</v>
      </c>
      <c r="AB200" s="8"/>
      <c r="AC200" s="22" t="s">
        <v>3550</v>
      </c>
      <c r="AD200" s="1"/>
      <c r="AE200" s="23"/>
      <c r="AF200" s="1"/>
      <c r="AG200" s="2"/>
    </row>
    <row r="201" spans="1:33" s="24" customFormat="1" x14ac:dyDescent="0.25">
      <c r="A201" s="4"/>
      <c r="B201" s="4">
        <v>45530</v>
      </c>
      <c r="C201" s="1" t="s">
        <v>1991</v>
      </c>
      <c r="D201" s="224" t="s">
        <v>3464</v>
      </c>
      <c r="E201" s="6" t="s">
        <v>1901</v>
      </c>
      <c r="F201" s="236" t="s">
        <v>1466</v>
      </c>
      <c r="G201" s="1" t="s">
        <v>535</v>
      </c>
      <c r="H201" s="8">
        <v>1</v>
      </c>
      <c r="I201" s="8">
        <v>1</v>
      </c>
      <c r="J201" s="115">
        <f>Table224[[#This Row],[Qty]]-Table224[[#This Row],[Issue Qty]]</f>
        <v>0</v>
      </c>
      <c r="K201" s="332">
        <v>1</v>
      </c>
      <c r="L201" s="195" t="s">
        <v>3480</v>
      </c>
      <c r="M201" s="5">
        <v>18750</v>
      </c>
      <c r="N201" s="5">
        <f t="shared" si="9"/>
        <v>18750</v>
      </c>
      <c r="O201" s="82">
        <v>0.12</v>
      </c>
      <c r="P201" s="9">
        <f t="shared" si="10"/>
        <v>2250</v>
      </c>
      <c r="Q201" s="5">
        <v>0</v>
      </c>
      <c r="R201" s="5"/>
      <c r="S201" s="5">
        <f t="shared" si="11"/>
        <v>21000</v>
      </c>
      <c r="T201" s="1" t="s">
        <v>530</v>
      </c>
      <c r="U201" s="1" t="s">
        <v>1742</v>
      </c>
      <c r="V201" s="1" t="s">
        <v>290</v>
      </c>
      <c r="W201" s="1"/>
      <c r="X201" s="1"/>
      <c r="Y201" s="2"/>
      <c r="Z201" s="21" t="s">
        <v>244</v>
      </c>
      <c r="AA201" s="21"/>
      <c r="AB201" s="21">
        <v>1</v>
      </c>
      <c r="AC201" s="12" t="s">
        <v>3465</v>
      </c>
      <c r="AD201" s="2"/>
      <c r="AE201" s="23"/>
      <c r="AF201" s="2"/>
      <c r="AG201" s="50"/>
    </row>
    <row r="202" spans="1:33" s="24" customFormat="1" x14ac:dyDescent="0.25">
      <c r="A202" s="4"/>
      <c r="B202" s="4">
        <v>45530</v>
      </c>
      <c r="C202" s="6" t="s">
        <v>1683</v>
      </c>
      <c r="D202" s="224" t="s">
        <v>3444</v>
      </c>
      <c r="E202" s="26" t="s">
        <v>1903</v>
      </c>
      <c r="F202" s="233" t="s">
        <v>539</v>
      </c>
      <c r="G202" s="1" t="s">
        <v>540</v>
      </c>
      <c r="H202" s="8">
        <v>1</v>
      </c>
      <c r="I202" s="8"/>
      <c r="J202" s="115">
        <f>Table224[[#This Row],[Qty]]-Table224[[#This Row],[Issue Qty]]</f>
        <v>1</v>
      </c>
      <c r="K202" s="195"/>
      <c r="L202" s="195" t="s">
        <v>3480</v>
      </c>
      <c r="M202" s="5">
        <v>6696.51</v>
      </c>
      <c r="N202" s="5">
        <f t="shared" si="9"/>
        <v>6696.51</v>
      </c>
      <c r="O202" s="82">
        <v>0</v>
      </c>
      <c r="P202" s="9">
        <f t="shared" si="10"/>
        <v>0</v>
      </c>
      <c r="Q202" s="5">
        <v>0</v>
      </c>
      <c r="R202" s="5"/>
      <c r="S202" s="5">
        <f t="shared" si="11"/>
        <v>6696.51</v>
      </c>
      <c r="T202" s="1" t="s">
        <v>508</v>
      </c>
      <c r="U202" s="1" t="s">
        <v>331</v>
      </c>
      <c r="V202" s="1" t="s">
        <v>56</v>
      </c>
      <c r="W202" s="1"/>
      <c r="X202" s="1"/>
      <c r="Y202" s="1"/>
      <c r="Z202" s="8" t="s">
        <v>78</v>
      </c>
      <c r="AA202" s="8" t="s">
        <v>541</v>
      </c>
      <c r="AB202" s="8"/>
      <c r="AC202" s="22"/>
      <c r="AD202" s="1"/>
      <c r="AE202" s="23"/>
      <c r="AF202" s="1"/>
      <c r="AG202" s="50"/>
    </row>
    <row r="203" spans="1:33" s="51" customFormat="1" x14ac:dyDescent="0.25">
      <c r="A203" s="4"/>
      <c r="B203" s="4">
        <v>45530</v>
      </c>
      <c r="C203" s="6" t="s">
        <v>1683</v>
      </c>
      <c r="D203" s="224" t="s">
        <v>3429</v>
      </c>
      <c r="E203" s="6" t="s">
        <v>1904</v>
      </c>
      <c r="F203" s="234" t="s">
        <v>542</v>
      </c>
      <c r="G203" s="1" t="s">
        <v>543</v>
      </c>
      <c r="H203" s="8">
        <v>4</v>
      </c>
      <c r="I203" s="8"/>
      <c r="J203" s="115">
        <f>Table224[[#This Row],[Qty]]-Table224[[#This Row],[Issue Qty]]</f>
        <v>4</v>
      </c>
      <c r="K203" s="195"/>
      <c r="L203" s="195" t="s">
        <v>3480</v>
      </c>
      <c r="M203" s="5">
        <v>19085.05</v>
      </c>
      <c r="N203" s="5">
        <f t="shared" si="9"/>
        <v>76340.2</v>
      </c>
      <c r="O203" s="82">
        <v>0</v>
      </c>
      <c r="P203" s="9">
        <f t="shared" si="10"/>
        <v>0</v>
      </c>
      <c r="Q203" s="5">
        <v>0</v>
      </c>
      <c r="R203" s="5"/>
      <c r="S203" s="5">
        <f t="shared" si="11"/>
        <v>76340.2</v>
      </c>
      <c r="T203" s="1" t="s">
        <v>508</v>
      </c>
      <c r="U203" s="1" t="s">
        <v>331</v>
      </c>
      <c r="V203" s="1" t="s">
        <v>56</v>
      </c>
      <c r="W203" s="1"/>
      <c r="X203" s="1"/>
      <c r="Y203" s="2"/>
      <c r="Z203" s="21" t="s">
        <v>22</v>
      </c>
      <c r="AA203" s="21" t="s">
        <v>23</v>
      </c>
      <c r="AB203" s="21"/>
      <c r="AC203" s="12"/>
      <c r="AD203" s="2"/>
      <c r="AE203" s="23"/>
      <c r="AF203" s="2"/>
      <c r="AG203" s="50"/>
    </row>
    <row r="204" spans="1:33" s="51" customFormat="1" x14ac:dyDescent="0.25">
      <c r="A204" s="4"/>
      <c r="B204" s="4">
        <v>45530</v>
      </c>
      <c r="C204" s="114" t="s">
        <v>54</v>
      </c>
      <c r="D204" s="224" t="s">
        <v>3430</v>
      </c>
      <c r="E204" s="26" t="s">
        <v>1902</v>
      </c>
      <c r="F204" s="168" t="s">
        <v>537</v>
      </c>
      <c r="G204" s="1" t="s">
        <v>538</v>
      </c>
      <c r="H204" s="8">
        <v>1</v>
      </c>
      <c r="I204" s="8">
        <v>0</v>
      </c>
      <c r="J204" s="115">
        <f>Table224[[#This Row],[Qty]]-Table224[[#This Row],[Issue Qty]]</f>
        <v>1</v>
      </c>
      <c r="K204" s="195"/>
      <c r="L204" s="195" t="s">
        <v>3479</v>
      </c>
      <c r="M204" s="5">
        <v>22433.3</v>
      </c>
      <c r="N204" s="5">
        <f t="shared" si="9"/>
        <v>22433.3</v>
      </c>
      <c r="O204" s="82">
        <v>0</v>
      </c>
      <c r="P204" s="9">
        <f t="shared" si="10"/>
        <v>0</v>
      </c>
      <c r="Q204" s="5">
        <v>0</v>
      </c>
      <c r="R204" s="5"/>
      <c r="S204" s="5">
        <f t="shared" si="11"/>
        <v>22433.3</v>
      </c>
      <c r="T204" s="1" t="s">
        <v>508</v>
      </c>
      <c r="U204" s="1" t="s">
        <v>331</v>
      </c>
      <c r="V204" s="1" t="s">
        <v>56</v>
      </c>
      <c r="W204" s="1"/>
      <c r="X204" s="1"/>
      <c r="Y204" s="1"/>
      <c r="Z204" s="21" t="s">
        <v>3349</v>
      </c>
      <c r="AA204" s="8"/>
      <c r="AB204" s="8">
        <v>1</v>
      </c>
      <c r="AC204" s="22" t="s">
        <v>3668</v>
      </c>
      <c r="AD204" s="22" t="s">
        <v>3667</v>
      </c>
      <c r="AE204" s="23"/>
      <c r="AF204" s="1"/>
      <c r="AG204" s="50"/>
    </row>
    <row r="205" spans="1:33" s="51" customFormat="1" ht="30" x14ac:dyDescent="0.25">
      <c r="A205" s="4"/>
      <c r="B205" s="4">
        <v>45534</v>
      </c>
      <c r="C205" s="6" t="s">
        <v>1695</v>
      </c>
      <c r="D205" s="224" t="s">
        <v>3457</v>
      </c>
      <c r="E205" s="26" t="s">
        <v>1834</v>
      </c>
      <c r="F205" s="233" t="s">
        <v>385</v>
      </c>
      <c r="G205" s="1" t="s">
        <v>545</v>
      </c>
      <c r="H205" s="8">
        <v>1</v>
      </c>
      <c r="I205" s="8">
        <v>1</v>
      </c>
      <c r="J205" s="115">
        <f>Table224[[#This Row],[Qty]]-Table224[[#This Row],[Issue Qty]]</f>
        <v>0</v>
      </c>
      <c r="K205" s="195"/>
      <c r="L205" s="195" t="s">
        <v>3480</v>
      </c>
      <c r="M205" s="5">
        <v>20100</v>
      </c>
      <c r="N205" s="5">
        <f t="shared" si="9"/>
        <v>20100</v>
      </c>
      <c r="O205" s="82">
        <v>0.18</v>
      </c>
      <c r="P205" s="9">
        <f t="shared" si="10"/>
        <v>3618</v>
      </c>
      <c r="Q205" s="5">
        <f>184.08/2</f>
        <v>92.04</v>
      </c>
      <c r="R205" s="5"/>
      <c r="S205" s="5">
        <f t="shared" si="11"/>
        <v>23810.04</v>
      </c>
      <c r="T205" s="1" t="s">
        <v>530</v>
      </c>
      <c r="U205" s="1" t="s">
        <v>1742</v>
      </c>
      <c r="V205" s="1"/>
      <c r="W205" s="1"/>
      <c r="X205" s="1"/>
      <c r="Y205" s="1"/>
      <c r="Z205" s="8" t="s">
        <v>388</v>
      </c>
      <c r="AA205" s="8"/>
      <c r="AB205" s="8">
        <v>1</v>
      </c>
      <c r="AC205" s="22" t="s">
        <v>3628</v>
      </c>
      <c r="AD205" s="1"/>
      <c r="AE205" s="23"/>
      <c r="AF205" s="1"/>
      <c r="AG205" s="50"/>
    </row>
    <row r="206" spans="1:33" s="51" customFormat="1" x14ac:dyDescent="0.25">
      <c r="A206" s="4"/>
      <c r="B206" s="4">
        <v>45534</v>
      </c>
      <c r="C206" s="6" t="s">
        <v>1683</v>
      </c>
      <c r="D206" s="224" t="s">
        <v>3439</v>
      </c>
      <c r="E206" s="26" t="s">
        <v>1779</v>
      </c>
      <c r="F206" s="236" t="s">
        <v>264</v>
      </c>
      <c r="G206" s="1" t="s">
        <v>544</v>
      </c>
      <c r="H206" s="8">
        <v>1</v>
      </c>
      <c r="I206" s="8"/>
      <c r="J206" s="115">
        <f>Table224[[#This Row],[Qty]]-Table224[[#This Row],[Issue Qty]]</f>
        <v>1</v>
      </c>
      <c r="K206" s="332">
        <v>1</v>
      </c>
      <c r="L206" s="195" t="s">
        <v>3480</v>
      </c>
      <c r="M206" s="5">
        <v>237.29</v>
      </c>
      <c r="N206" s="5">
        <f t="shared" si="9"/>
        <v>237.29</v>
      </c>
      <c r="O206" s="82">
        <v>0.17999072864427501</v>
      </c>
      <c r="P206" s="9">
        <f t="shared" si="10"/>
        <v>42.710000000000015</v>
      </c>
      <c r="Q206" s="5">
        <v>8.16</v>
      </c>
      <c r="R206" s="5"/>
      <c r="S206" s="5">
        <f t="shared" si="11"/>
        <v>288.16000000000003</v>
      </c>
      <c r="T206" s="1" t="s">
        <v>530</v>
      </c>
      <c r="U206" s="1" t="s">
        <v>1742</v>
      </c>
      <c r="V206" s="1"/>
      <c r="W206" s="1"/>
      <c r="X206" s="1"/>
      <c r="Y206" s="1"/>
      <c r="Z206" s="21" t="s">
        <v>72</v>
      </c>
      <c r="AA206" s="21" t="s">
        <v>117</v>
      </c>
      <c r="AB206" s="8"/>
      <c r="AC206" s="22"/>
      <c r="AD206" s="1"/>
      <c r="AE206" s="29"/>
      <c r="AF206" s="1"/>
      <c r="AG206" s="50"/>
    </row>
    <row r="207" spans="1:33" s="51" customFormat="1" x14ac:dyDescent="0.25">
      <c r="A207" s="4"/>
      <c r="B207" s="4">
        <v>45535</v>
      </c>
      <c r="C207" s="1" t="s">
        <v>1991</v>
      </c>
      <c r="D207" s="224" t="s">
        <v>3492</v>
      </c>
      <c r="E207" s="6" t="s">
        <v>1905</v>
      </c>
      <c r="F207" s="170" t="s">
        <v>547</v>
      </c>
      <c r="G207" s="1" t="s">
        <v>548</v>
      </c>
      <c r="H207" s="8">
        <v>2</v>
      </c>
      <c r="I207" s="8">
        <v>0</v>
      </c>
      <c r="J207" s="115">
        <f>Table224[[#This Row],[Qty]]-Table224[[#This Row],[Issue Qty]]</f>
        <v>2</v>
      </c>
      <c r="K207" s="195"/>
      <c r="L207" s="195" t="s">
        <v>3480</v>
      </c>
      <c r="M207" s="5">
        <v>787.09500000000003</v>
      </c>
      <c r="N207" s="5">
        <f t="shared" si="9"/>
        <v>1574.19</v>
      </c>
      <c r="O207" s="82">
        <v>5.0000317623666801E-2</v>
      </c>
      <c r="P207" s="9">
        <f t="shared" si="10"/>
        <v>78.710000000000051</v>
      </c>
      <c r="Q207" s="5">
        <f>401/17</f>
        <v>23.588235294117649</v>
      </c>
      <c r="R207" s="5"/>
      <c r="S207" s="5">
        <f t="shared" si="11"/>
        <v>1676.4882352941177</v>
      </c>
      <c r="T207" s="1" t="s">
        <v>530</v>
      </c>
      <c r="U207" s="1" t="s">
        <v>1742</v>
      </c>
      <c r="V207" s="1"/>
      <c r="W207" s="1"/>
      <c r="X207" s="1"/>
      <c r="Y207" s="2"/>
      <c r="Z207" s="21" t="s">
        <v>72</v>
      </c>
      <c r="AA207" s="21" t="s">
        <v>262</v>
      </c>
      <c r="AB207" s="21">
        <v>1</v>
      </c>
      <c r="AC207" s="12" t="s">
        <v>3554</v>
      </c>
      <c r="AD207" s="2"/>
      <c r="AE207" s="23" t="s">
        <v>263</v>
      </c>
      <c r="AF207" s="2"/>
      <c r="AG207" s="207"/>
    </row>
    <row r="208" spans="1:33" s="51" customFormat="1" x14ac:dyDescent="0.25">
      <c r="A208" s="4"/>
      <c r="B208" s="4">
        <v>45535</v>
      </c>
      <c r="C208" s="6" t="s">
        <v>1683</v>
      </c>
      <c r="D208" s="224" t="s">
        <v>3439</v>
      </c>
      <c r="E208" s="26" t="s">
        <v>1779</v>
      </c>
      <c r="F208" s="233" t="s">
        <v>264</v>
      </c>
      <c r="G208" s="1" t="s">
        <v>544</v>
      </c>
      <c r="H208" s="8">
        <v>4</v>
      </c>
      <c r="I208" s="8">
        <v>1</v>
      </c>
      <c r="J208" s="115">
        <f>Table224[[#This Row],[Qty]]-Table224[[#This Row],[Issue Qty]]</f>
        <v>3</v>
      </c>
      <c r="K208" s="195"/>
      <c r="L208" s="195" t="s">
        <v>3480</v>
      </c>
      <c r="M208" s="5">
        <v>237.28749999999999</v>
      </c>
      <c r="N208" s="5">
        <f t="shared" si="9"/>
        <v>949.15</v>
      </c>
      <c r="O208" s="82">
        <v>0.18000316072275199</v>
      </c>
      <c r="P208" s="9">
        <f t="shared" si="10"/>
        <v>170.85000000000005</v>
      </c>
      <c r="Q208" s="5">
        <f>401/17</f>
        <v>23.588235294117649</v>
      </c>
      <c r="R208" s="5"/>
      <c r="S208" s="5">
        <f t="shared" si="11"/>
        <v>1143.5882352941176</v>
      </c>
      <c r="T208" s="1" t="s">
        <v>530</v>
      </c>
      <c r="U208" s="1" t="s">
        <v>1742</v>
      </c>
      <c r="V208" s="1"/>
      <c r="W208" s="1"/>
      <c r="X208" s="1"/>
      <c r="Y208" s="1"/>
      <c r="Z208" s="21" t="s">
        <v>72</v>
      </c>
      <c r="AA208" s="21" t="s">
        <v>117</v>
      </c>
      <c r="AB208" s="8">
        <v>1</v>
      </c>
      <c r="AC208" s="22" t="s">
        <v>3841</v>
      </c>
      <c r="AD208" s="1"/>
      <c r="AE208" s="29"/>
      <c r="AF208" s="1"/>
      <c r="AG208" s="207"/>
    </row>
    <row r="209" spans="1:33" s="208" customFormat="1" ht="30" x14ac:dyDescent="0.25">
      <c r="A209" s="4"/>
      <c r="B209" s="4">
        <v>45535</v>
      </c>
      <c r="C209" s="6" t="s">
        <v>1683</v>
      </c>
      <c r="D209" s="224" t="s">
        <v>3439</v>
      </c>
      <c r="E209" s="1" t="s">
        <v>1827</v>
      </c>
      <c r="F209" s="102" t="s">
        <v>351</v>
      </c>
      <c r="G209" s="1" t="s">
        <v>546</v>
      </c>
      <c r="H209" s="8">
        <v>2</v>
      </c>
      <c r="I209" s="8"/>
      <c r="J209" s="115">
        <f>Table224[[#This Row],[Qty]]-Table224[[#This Row],[Issue Qty]]</f>
        <v>2</v>
      </c>
      <c r="K209" s="195"/>
      <c r="L209" s="195" t="s">
        <v>3480</v>
      </c>
      <c r="M209" s="5">
        <v>1483.05</v>
      </c>
      <c r="N209" s="5">
        <f t="shared" si="9"/>
        <v>2966.1</v>
      </c>
      <c r="O209" s="82">
        <v>0.1800006742861</v>
      </c>
      <c r="P209" s="9">
        <f t="shared" si="10"/>
        <v>533.90000000000123</v>
      </c>
      <c r="Q209" s="5">
        <f>401/17</f>
        <v>23.588235294117649</v>
      </c>
      <c r="R209" s="5"/>
      <c r="S209" s="5">
        <f t="shared" si="11"/>
        <v>3523.5882352941185</v>
      </c>
      <c r="T209" s="1" t="s">
        <v>530</v>
      </c>
      <c r="U209" s="1" t="s">
        <v>1742</v>
      </c>
      <c r="V209" s="1"/>
      <c r="W209" s="1"/>
      <c r="X209" s="1"/>
      <c r="Y209" s="2"/>
      <c r="Z209" s="21" t="s">
        <v>72</v>
      </c>
      <c r="AA209" s="21"/>
      <c r="AB209" s="21">
        <v>2</v>
      </c>
      <c r="AC209" s="12" t="s">
        <v>81</v>
      </c>
      <c r="AD209" s="2"/>
      <c r="AE209" s="29" t="s">
        <v>353</v>
      </c>
      <c r="AF209" s="2"/>
      <c r="AG209" s="207"/>
    </row>
    <row r="210" spans="1:33" s="208" customFormat="1" ht="30" x14ac:dyDescent="0.25">
      <c r="A210" s="4"/>
      <c r="B210" s="4">
        <v>45536</v>
      </c>
      <c r="C210" s="6" t="s">
        <v>54</v>
      </c>
      <c r="D210" s="224" t="s">
        <v>3587</v>
      </c>
      <c r="E210" s="1" t="s">
        <v>1906</v>
      </c>
      <c r="F210" s="234" t="s">
        <v>549</v>
      </c>
      <c r="G210" s="1" t="s">
        <v>550</v>
      </c>
      <c r="H210" s="8">
        <v>2</v>
      </c>
      <c r="I210" s="8">
        <v>1</v>
      </c>
      <c r="J210" s="115">
        <f>Table224[[#This Row],[Qty]]-Table224[[#This Row],[Issue Qty]]</f>
        <v>1</v>
      </c>
      <c r="K210" s="195"/>
      <c r="L210" s="195" t="s">
        <v>3480</v>
      </c>
      <c r="M210" s="5">
        <v>5145</v>
      </c>
      <c r="N210" s="5">
        <f t="shared" si="9"/>
        <v>10290</v>
      </c>
      <c r="O210" s="82">
        <v>0.18</v>
      </c>
      <c r="P210" s="9">
        <f t="shared" si="10"/>
        <v>1852.1999999999998</v>
      </c>
      <c r="Q210" s="5">
        <f>100+450+81+18</f>
        <v>649</v>
      </c>
      <c r="R210" s="5"/>
      <c r="S210" s="5">
        <f t="shared" si="11"/>
        <v>12791.2</v>
      </c>
      <c r="T210" s="1" t="s">
        <v>530</v>
      </c>
      <c r="U210" s="1" t="s">
        <v>1742</v>
      </c>
      <c r="V210" s="1" t="s">
        <v>551</v>
      </c>
      <c r="W210" s="1" t="s">
        <v>1907</v>
      </c>
      <c r="X210" s="6">
        <v>45534</v>
      </c>
      <c r="Y210" s="2"/>
      <c r="Z210" s="21"/>
      <c r="AA210" s="21"/>
      <c r="AB210" s="21">
        <v>1</v>
      </c>
      <c r="AC210" s="12" t="s">
        <v>3768</v>
      </c>
      <c r="AD210" s="2"/>
      <c r="AE210" s="23"/>
      <c r="AF210" s="2"/>
      <c r="AG210" s="207"/>
    </row>
    <row r="211" spans="1:33" s="208" customFormat="1" ht="30" x14ac:dyDescent="0.25">
      <c r="A211" s="4"/>
      <c r="B211" s="4">
        <v>45538</v>
      </c>
      <c r="C211" s="6" t="s">
        <v>1688</v>
      </c>
      <c r="D211" s="224" t="s">
        <v>3451</v>
      </c>
      <c r="E211" s="26" t="s">
        <v>1908</v>
      </c>
      <c r="F211" s="233" t="s">
        <v>553</v>
      </c>
      <c r="G211" s="1" t="s">
        <v>553</v>
      </c>
      <c r="H211" s="8">
        <v>1</v>
      </c>
      <c r="I211" s="8"/>
      <c r="J211" s="115">
        <f>Table224[[#This Row],[Qty]]-Table224[[#This Row],[Issue Qty]]</f>
        <v>1</v>
      </c>
      <c r="K211" s="195"/>
      <c r="L211" s="195" t="s">
        <v>3480</v>
      </c>
      <c r="M211" s="5">
        <v>17190.48</v>
      </c>
      <c r="N211" s="5">
        <f t="shared" si="9"/>
        <v>17190.48</v>
      </c>
      <c r="O211" s="82">
        <v>0.05</v>
      </c>
      <c r="P211" s="9">
        <f t="shared" si="10"/>
        <v>859.524</v>
      </c>
      <c r="Q211" s="5">
        <f>527/5</f>
        <v>105.4</v>
      </c>
      <c r="R211" s="5"/>
      <c r="S211" s="5">
        <f t="shared" si="11"/>
        <v>18155.404000000002</v>
      </c>
      <c r="T211" s="1" t="s">
        <v>530</v>
      </c>
      <c r="U211" s="1" t="s">
        <v>1742</v>
      </c>
      <c r="V211" s="1" t="s">
        <v>243</v>
      </c>
      <c r="W211" s="1" t="s">
        <v>1909</v>
      </c>
      <c r="X211" s="1"/>
      <c r="Y211" s="1"/>
      <c r="Z211" s="21" t="s">
        <v>29</v>
      </c>
      <c r="AA211" s="8"/>
      <c r="AB211" s="8"/>
      <c r="AC211" s="22"/>
      <c r="AD211" s="1"/>
      <c r="AE211" s="23"/>
      <c r="AF211" s="6">
        <v>45537</v>
      </c>
      <c r="AG211" s="207"/>
    </row>
    <row r="212" spans="1:33" s="208" customFormat="1" x14ac:dyDescent="0.25">
      <c r="A212" s="4"/>
      <c r="B212" s="4">
        <v>45552</v>
      </c>
      <c r="C212" s="1" t="s">
        <v>1991</v>
      </c>
      <c r="D212" s="224" t="s">
        <v>3464</v>
      </c>
      <c r="E212" s="6" t="s">
        <v>1892</v>
      </c>
      <c r="F212" s="234" t="s">
        <v>501</v>
      </c>
      <c r="G212" s="1" t="s">
        <v>502</v>
      </c>
      <c r="H212" s="8">
        <v>3</v>
      </c>
      <c r="I212" s="8">
        <v>3</v>
      </c>
      <c r="J212" s="115">
        <f>Table224[[#This Row],[Qty]]-Table224[[#This Row],[Issue Qty]]</f>
        <v>0</v>
      </c>
      <c r="K212" s="195"/>
      <c r="L212" s="195" t="s">
        <v>3480</v>
      </c>
      <c r="M212" s="5">
        <v>28200</v>
      </c>
      <c r="N212" s="5">
        <f t="shared" si="9"/>
        <v>84600</v>
      </c>
      <c r="O212" s="82">
        <v>0.05</v>
      </c>
      <c r="P212" s="9">
        <f t="shared" si="10"/>
        <v>4230</v>
      </c>
      <c r="Q212" s="5">
        <v>0</v>
      </c>
      <c r="R212" s="5"/>
      <c r="S212" s="5">
        <f t="shared" si="11"/>
        <v>88830</v>
      </c>
      <c r="T212" s="1" t="s">
        <v>554</v>
      </c>
      <c r="U212" s="1" t="s">
        <v>1910</v>
      </c>
      <c r="V212" s="1" t="s">
        <v>290</v>
      </c>
      <c r="W212" s="1" t="s">
        <v>1911</v>
      </c>
      <c r="X212" s="6">
        <v>45549</v>
      </c>
      <c r="Y212" s="2"/>
      <c r="Z212" s="21"/>
      <c r="AA212" s="21"/>
      <c r="AB212" s="21">
        <v>3</v>
      </c>
      <c r="AC212" s="12" t="s">
        <v>3635</v>
      </c>
      <c r="AD212" s="2"/>
      <c r="AE212" s="23"/>
      <c r="AF212" s="2"/>
      <c r="AG212" s="207"/>
    </row>
    <row r="213" spans="1:33" s="208" customFormat="1" ht="30" x14ac:dyDescent="0.25">
      <c r="A213" s="4"/>
      <c r="B213" s="4">
        <v>45552</v>
      </c>
      <c r="C213" s="6" t="s">
        <v>1683</v>
      </c>
      <c r="D213" s="224" t="s">
        <v>3493</v>
      </c>
      <c r="E213" s="26" t="s">
        <v>1915</v>
      </c>
      <c r="F213" s="168" t="s">
        <v>558</v>
      </c>
      <c r="G213" s="1" t="s">
        <v>558</v>
      </c>
      <c r="H213" s="8">
        <v>7</v>
      </c>
      <c r="I213" s="8"/>
      <c r="J213" s="115">
        <f>Table224[[#This Row],[Qty]]-Table224[[#This Row],[Issue Qty]]</f>
        <v>7</v>
      </c>
      <c r="K213" s="195"/>
      <c r="L213" s="195" t="s">
        <v>3511</v>
      </c>
      <c r="M213" s="5">
        <v>46.398000000000003</v>
      </c>
      <c r="N213" s="5">
        <f t="shared" si="9"/>
        <v>324.786</v>
      </c>
      <c r="O213" s="11">
        <v>0.18</v>
      </c>
      <c r="P213" s="9">
        <f t="shared" si="10"/>
        <v>58.461479999999995</v>
      </c>
      <c r="Q213" s="5">
        <f t="shared" ref="Q213:Q218" si="12">1027/25</f>
        <v>41.08</v>
      </c>
      <c r="R213" s="5"/>
      <c r="S213" s="5">
        <f t="shared" si="11"/>
        <v>424.32747999999998</v>
      </c>
      <c r="T213" s="1" t="s">
        <v>554</v>
      </c>
      <c r="U213" s="1" t="s">
        <v>1914</v>
      </c>
      <c r="V213" s="1" t="s">
        <v>243</v>
      </c>
      <c r="W213" s="1" t="s">
        <v>1912</v>
      </c>
      <c r="X213" s="1"/>
      <c r="Y213" s="1"/>
      <c r="Z213" s="21" t="s">
        <v>107</v>
      </c>
      <c r="AA213" s="21" t="s">
        <v>496</v>
      </c>
      <c r="AB213" s="8"/>
      <c r="AC213" s="22"/>
      <c r="AD213" s="1"/>
      <c r="AE213" s="23"/>
      <c r="AF213" s="6">
        <v>45551</v>
      </c>
      <c r="AG213" s="207"/>
    </row>
    <row r="214" spans="1:33" s="208" customFormat="1" ht="30" x14ac:dyDescent="0.25">
      <c r="A214" s="4"/>
      <c r="B214" s="4">
        <v>45552</v>
      </c>
      <c r="C214" s="6" t="s">
        <v>1683</v>
      </c>
      <c r="D214" s="224" t="s">
        <v>3493</v>
      </c>
      <c r="E214" s="26" t="s">
        <v>1916</v>
      </c>
      <c r="F214" s="315" t="s">
        <v>559</v>
      </c>
      <c r="G214" s="1" t="s">
        <v>559</v>
      </c>
      <c r="H214" s="8">
        <v>10</v>
      </c>
      <c r="I214" s="8">
        <v>10</v>
      </c>
      <c r="J214" s="115">
        <f>Table224[[#This Row],[Qty]]-Table224[[#This Row],[Issue Qty]]</f>
        <v>0</v>
      </c>
      <c r="K214" s="195"/>
      <c r="L214" s="195" t="s">
        <v>3511</v>
      </c>
      <c r="M214" s="5">
        <v>59.11</v>
      </c>
      <c r="N214" s="5">
        <f t="shared" si="9"/>
        <v>591.1</v>
      </c>
      <c r="O214" s="82">
        <v>0.18</v>
      </c>
      <c r="P214" s="9">
        <f t="shared" si="10"/>
        <v>106.398</v>
      </c>
      <c r="Q214" s="5">
        <f t="shared" si="12"/>
        <v>41.08</v>
      </c>
      <c r="R214" s="5"/>
      <c r="S214" s="5">
        <f t="shared" si="11"/>
        <v>738.57800000000009</v>
      </c>
      <c r="T214" s="1" t="s">
        <v>554</v>
      </c>
      <c r="U214" s="1" t="s">
        <v>1914</v>
      </c>
      <c r="V214" s="1" t="s">
        <v>243</v>
      </c>
      <c r="W214" s="1" t="s">
        <v>1912</v>
      </c>
      <c r="X214" s="1"/>
      <c r="Y214" s="1"/>
      <c r="Z214" s="21" t="s">
        <v>107</v>
      </c>
      <c r="AA214" s="21" t="s">
        <v>496</v>
      </c>
      <c r="AB214" s="8">
        <v>10</v>
      </c>
      <c r="AC214" s="22" t="s">
        <v>3512</v>
      </c>
      <c r="AD214" s="1"/>
      <c r="AE214" s="23"/>
      <c r="AF214" s="6">
        <v>45551</v>
      </c>
      <c r="AG214" s="207"/>
    </row>
    <row r="215" spans="1:33" s="208" customFormat="1" x14ac:dyDescent="0.25">
      <c r="A215" s="4"/>
      <c r="B215" s="4">
        <v>45552</v>
      </c>
      <c r="C215" s="6" t="s">
        <v>1683</v>
      </c>
      <c r="D215" s="224" t="s">
        <v>3439</v>
      </c>
      <c r="E215" s="6" t="s">
        <v>1779</v>
      </c>
      <c r="F215" s="234" t="s">
        <v>264</v>
      </c>
      <c r="G215" s="1" t="s">
        <v>555</v>
      </c>
      <c r="H215" s="8">
        <v>2</v>
      </c>
      <c r="I215" s="8"/>
      <c r="J215" s="115">
        <f>Table224[[#This Row],[Qty]]-Table224[[#This Row],[Issue Qty]]</f>
        <v>2</v>
      </c>
      <c r="K215" s="195"/>
      <c r="L215" s="195" t="s">
        <v>3480</v>
      </c>
      <c r="M215" s="5">
        <v>237.29</v>
      </c>
      <c r="N215" s="5">
        <f t="shared" si="9"/>
        <v>474.58</v>
      </c>
      <c r="O215" s="82">
        <v>0.18</v>
      </c>
      <c r="P215" s="9">
        <f t="shared" si="10"/>
        <v>85.424399999999991</v>
      </c>
      <c r="Q215" s="5">
        <f t="shared" si="12"/>
        <v>41.08</v>
      </c>
      <c r="R215" s="5"/>
      <c r="S215" s="5">
        <f t="shared" si="11"/>
        <v>601.08440000000007</v>
      </c>
      <c r="T215" s="1" t="s">
        <v>554</v>
      </c>
      <c r="U215" s="1" t="s">
        <v>331</v>
      </c>
      <c r="V215" s="1" t="s">
        <v>243</v>
      </c>
      <c r="W215" s="1" t="s">
        <v>1912</v>
      </c>
      <c r="X215" s="6">
        <v>45551</v>
      </c>
      <c r="Y215" s="2"/>
      <c r="Z215" s="21" t="s">
        <v>72</v>
      </c>
      <c r="AA215" s="21" t="s">
        <v>117</v>
      </c>
      <c r="AB215" s="21"/>
      <c r="AC215" s="12"/>
      <c r="AD215" s="2"/>
      <c r="AE215" s="23"/>
      <c r="AF215" s="2"/>
      <c r="AG215" s="207"/>
    </row>
    <row r="216" spans="1:33" s="208" customFormat="1" ht="30" x14ac:dyDescent="0.25">
      <c r="A216" s="4"/>
      <c r="B216" s="4">
        <v>45552</v>
      </c>
      <c r="C216" s="6" t="s">
        <v>1683</v>
      </c>
      <c r="D216" s="224" t="s">
        <v>3439</v>
      </c>
      <c r="E216" s="6" t="s">
        <v>1827</v>
      </c>
      <c r="F216" s="234" t="s">
        <v>351</v>
      </c>
      <c r="G216" s="1" t="s">
        <v>351</v>
      </c>
      <c r="H216" s="8">
        <v>2</v>
      </c>
      <c r="I216" s="8"/>
      <c r="J216" s="115">
        <f>Table224[[#This Row],[Qty]]-Table224[[#This Row],[Issue Qty]]</f>
        <v>2</v>
      </c>
      <c r="K216" s="195"/>
      <c r="L216" s="195" t="s">
        <v>3480</v>
      </c>
      <c r="M216" s="5">
        <v>1483.05</v>
      </c>
      <c r="N216" s="5">
        <f t="shared" si="9"/>
        <v>2966.1</v>
      </c>
      <c r="O216" s="82">
        <v>0.18</v>
      </c>
      <c r="P216" s="9">
        <f t="shared" si="10"/>
        <v>533.89799999999991</v>
      </c>
      <c r="Q216" s="5">
        <f t="shared" si="12"/>
        <v>41.08</v>
      </c>
      <c r="R216" s="5"/>
      <c r="S216" s="5">
        <f t="shared" si="11"/>
        <v>3541.0779999999995</v>
      </c>
      <c r="T216" s="1" t="s">
        <v>554</v>
      </c>
      <c r="U216" s="1" t="s">
        <v>331</v>
      </c>
      <c r="V216" s="1" t="s">
        <v>243</v>
      </c>
      <c r="W216" s="1" t="s">
        <v>1912</v>
      </c>
      <c r="X216" s="1"/>
      <c r="Y216" s="1"/>
      <c r="Z216" s="21" t="s">
        <v>72</v>
      </c>
      <c r="AA216" s="21" t="s">
        <v>352</v>
      </c>
      <c r="AB216" s="8"/>
      <c r="AC216" s="22"/>
      <c r="AD216" s="1"/>
      <c r="AE216" s="23" t="s">
        <v>353</v>
      </c>
      <c r="AF216" s="6">
        <v>45551</v>
      </c>
      <c r="AG216" s="207"/>
    </row>
    <row r="217" spans="1:33" s="208" customFormat="1" x14ac:dyDescent="0.25">
      <c r="A217" s="4"/>
      <c r="B217" s="4">
        <v>45552</v>
      </c>
      <c r="C217" s="1" t="s">
        <v>1991</v>
      </c>
      <c r="D217" s="224" t="s">
        <v>3492</v>
      </c>
      <c r="E217" s="6" t="s">
        <v>1917</v>
      </c>
      <c r="F217" s="234" t="s">
        <v>560</v>
      </c>
      <c r="G217" s="1" t="s">
        <v>560</v>
      </c>
      <c r="H217" s="8">
        <v>2</v>
      </c>
      <c r="I217" s="8"/>
      <c r="J217" s="115">
        <f>Table224[[#This Row],[Qty]]-Table224[[#This Row],[Issue Qty]]</f>
        <v>2</v>
      </c>
      <c r="K217" s="195"/>
      <c r="L217" s="195" t="s">
        <v>3480</v>
      </c>
      <c r="M217" s="5">
        <v>1126.7349999999999</v>
      </c>
      <c r="N217" s="5">
        <f t="shared" si="9"/>
        <v>2253.4699999999998</v>
      </c>
      <c r="O217" s="82">
        <v>0.05</v>
      </c>
      <c r="P217" s="9">
        <f t="shared" si="10"/>
        <v>112.67349999999999</v>
      </c>
      <c r="Q217" s="5">
        <f t="shared" si="12"/>
        <v>41.08</v>
      </c>
      <c r="R217" s="5"/>
      <c r="S217" s="5">
        <f t="shared" si="11"/>
        <v>2407.2234999999996</v>
      </c>
      <c r="T217" s="1" t="s">
        <v>554</v>
      </c>
      <c r="U217" s="1" t="s">
        <v>331</v>
      </c>
      <c r="V217" s="1" t="s">
        <v>243</v>
      </c>
      <c r="W217" s="1" t="s">
        <v>1912</v>
      </c>
      <c r="X217" s="1"/>
      <c r="Y217" s="1"/>
      <c r="Z217" s="21" t="s">
        <v>72</v>
      </c>
      <c r="AA217" s="21" t="s">
        <v>262</v>
      </c>
      <c r="AB217" s="8"/>
      <c r="AC217" s="22"/>
      <c r="AD217" s="1"/>
      <c r="AE217" s="23" t="s">
        <v>561</v>
      </c>
      <c r="AF217" s="6">
        <v>45551</v>
      </c>
      <c r="AG217" s="207"/>
    </row>
    <row r="218" spans="1:33" s="208" customFormat="1" ht="30" x14ac:dyDescent="0.25">
      <c r="A218" s="4"/>
      <c r="B218" s="4">
        <v>45552</v>
      </c>
      <c r="C218" s="1" t="s">
        <v>1991</v>
      </c>
      <c r="D218" s="224" t="s">
        <v>3463</v>
      </c>
      <c r="E218" s="6" t="s">
        <v>1913</v>
      </c>
      <c r="F218" s="234" t="s">
        <v>556</v>
      </c>
      <c r="G218" s="1" t="s">
        <v>557</v>
      </c>
      <c r="H218" s="8">
        <v>1</v>
      </c>
      <c r="I218" s="8">
        <v>1</v>
      </c>
      <c r="J218" s="115">
        <f>Table224[[#This Row],[Qty]]-Table224[[#This Row],[Issue Qty]]</f>
        <v>0</v>
      </c>
      <c r="K218" s="195"/>
      <c r="L218" s="195" t="s">
        <v>3480</v>
      </c>
      <c r="M218" s="5">
        <v>492.79</v>
      </c>
      <c r="N218" s="5">
        <f t="shared" si="9"/>
        <v>492.79</v>
      </c>
      <c r="O218" s="11">
        <v>0.18</v>
      </c>
      <c r="P218" s="9">
        <f t="shared" si="10"/>
        <v>88.702200000000005</v>
      </c>
      <c r="Q218" s="5">
        <f t="shared" si="12"/>
        <v>41.08</v>
      </c>
      <c r="R218" s="5"/>
      <c r="S218" s="5">
        <f t="shared" si="11"/>
        <v>622.57220000000007</v>
      </c>
      <c r="T218" s="1" t="s">
        <v>554</v>
      </c>
      <c r="U218" s="1" t="s">
        <v>1914</v>
      </c>
      <c r="V218" s="1" t="s">
        <v>243</v>
      </c>
      <c r="W218" s="1" t="s">
        <v>1912</v>
      </c>
      <c r="X218" s="6">
        <v>45551</v>
      </c>
      <c r="Y218" s="2"/>
      <c r="Z218" s="21" t="s">
        <v>89</v>
      </c>
      <c r="AA218" s="21" t="s">
        <v>114</v>
      </c>
      <c r="AB218" s="21">
        <v>1</v>
      </c>
      <c r="AC218" s="12" t="s">
        <v>81</v>
      </c>
      <c r="AD218" s="2"/>
      <c r="AE218" s="23"/>
      <c r="AF218" s="2"/>
      <c r="AG218" s="207"/>
    </row>
    <row r="219" spans="1:33" s="208" customFormat="1" ht="30" x14ac:dyDescent="0.25">
      <c r="A219" s="4"/>
      <c r="B219" s="4">
        <v>45553</v>
      </c>
      <c r="C219" s="1" t="s">
        <v>1991</v>
      </c>
      <c r="D219" s="224" t="s">
        <v>3463</v>
      </c>
      <c r="E219" s="6" t="s">
        <v>1918</v>
      </c>
      <c r="F219" s="234" t="s">
        <v>562</v>
      </c>
      <c r="G219" s="1" t="s">
        <v>563</v>
      </c>
      <c r="H219" s="8">
        <v>2</v>
      </c>
      <c r="I219" s="8">
        <f>1+1</f>
        <v>2</v>
      </c>
      <c r="J219" s="115">
        <f>Table224[[#This Row],[Qty]]-Table224[[#This Row],[Issue Qty]]</f>
        <v>0</v>
      </c>
      <c r="K219" s="195"/>
      <c r="L219" s="195" t="s">
        <v>3480</v>
      </c>
      <c r="M219" s="5">
        <v>181</v>
      </c>
      <c r="N219" s="5">
        <f t="shared" si="9"/>
        <v>362</v>
      </c>
      <c r="O219" s="82">
        <v>0.18</v>
      </c>
      <c r="P219" s="9">
        <f t="shared" si="10"/>
        <v>65.16</v>
      </c>
      <c r="Q219" s="5">
        <v>120.36</v>
      </c>
      <c r="R219" s="5"/>
      <c r="S219" s="5">
        <f t="shared" si="11"/>
        <v>547.52</v>
      </c>
      <c r="T219" s="1" t="s">
        <v>554</v>
      </c>
      <c r="U219" s="1" t="s">
        <v>1878</v>
      </c>
      <c r="V219" s="1" t="s">
        <v>564</v>
      </c>
      <c r="W219" s="1" t="s">
        <v>1919</v>
      </c>
      <c r="X219" s="6">
        <v>45552</v>
      </c>
      <c r="Y219" s="2"/>
      <c r="Z219" s="21"/>
      <c r="AA219" s="21"/>
      <c r="AB219" s="21">
        <v>2</v>
      </c>
      <c r="AC219" s="12" t="s">
        <v>3558</v>
      </c>
      <c r="AD219" s="2"/>
      <c r="AE219" s="23"/>
      <c r="AF219" s="2"/>
      <c r="AG219" s="207"/>
    </row>
    <row r="220" spans="1:33" s="208" customFormat="1" ht="30" x14ac:dyDescent="0.25">
      <c r="A220" s="4"/>
      <c r="B220" s="4">
        <v>45554</v>
      </c>
      <c r="C220" s="1" t="s">
        <v>1991</v>
      </c>
      <c r="D220" s="224" t="s">
        <v>3492</v>
      </c>
      <c r="E220" s="6" t="s">
        <v>1831</v>
      </c>
      <c r="F220" s="234" t="s">
        <v>379</v>
      </c>
      <c r="G220" s="1" t="s">
        <v>380</v>
      </c>
      <c r="H220" s="8">
        <v>5</v>
      </c>
      <c r="I220" s="8">
        <v>1</v>
      </c>
      <c r="J220" s="115">
        <f>Table224[[#This Row],[Qty]]-Table224[[#This Row],[Issue Qty]]</f>
        <v>4</v>
      </c>
      <c r="K220" s="195"/>
      <c r="L220" s="195" t="s">
        <v>3480</v>
      </c>
      <c r="M220" s="5">
        <v>671.78</v>
      </c>
      <c r="N220" s="5">
        <f t="shared" si="9"/>
        <v>3358.8999999999996</v>
      </c>
      <c r="O220" s="82">
        <v>0.05</v>
      </c>
      <c r="P220" s="9">
        <f t="shared" si="10"/>
        <v>167.94499999999999</v>
      </c>
      <c r="Q220" s="5">
        <v>0</v>
      </c>
      <c r="R220" s="5"/>
      <c r="S220" s="5">
        <f t="shared" si="11"/>
        <v>3526.8449999999998</v>
      </c>
      <c r="T220" s="1" t="s">
        <v>554</v>
      </c>
      <c r="U220" s="1" t="s">
        <v>1910</v>
      </c>
      <c r="V220" s="1" t="s">
        <v>243</v>
      </c>
      <c r="W220" s="1" t="s">
        <v>1920</v>
      </c>
      <c r="X220" s="6">
        <v>45555</v>
      </c>
      <c r="Y220" s="2"/>
      <c r="Z220" s="21" t="s">
        <v>72</v>
      </c>
      <c r="AA220" s="21" t="s">
        <v>262</v>
      </c>
      <c r="AB220" s="21">
        <v>4</v>
      </c>
      <c r="AC220" s="12" t="s">
        <v>3414</v>
      </c>
      <c r="AD220" s="2"/>
      <c r="AE220" s="23" t="s">
        <v>382</v>
      </c>
      <c r="AF220" s="2"/>
      <c r="AG220" s="207"/>
    </row>
    <row r="221" spans="1:33" s="208" customFormat="1" ht="30" x14ac:dyDescent="0.25">
      <c r="A221" s="4"/>
      <c r="B221" s="4">
        <v>45555</v>
      </c>
      <c r="C221" s="6" t="s">
        <v>1695</v>
      </c>
      <c r="D221" s="224" t="s">
        <v>3457</v>
      </c>
      <c r="E221" s="26" t="s">
        <v>1834</v>
      </c>
      <c r="F221" s="233" t="s">
        <v>385</v>
      </c>
      <c r="G221" s="1" t="s">
        <v>565</v>
      </c>
      <c r="H221" s="8">
        <v>2</v>
      </c>
      <c r="I221" s="8">
        <v>1</v>
      </c>
      <c r="J221" s="115">
        <f>Table224[[#This Row],[Qty]]-Table224[[#This Row],[Issue Qty]]</f>
        <v>1</v>
      </c>
      <c r="K221" s="195"/>
      <c r="L221" s="195" t="s">
        <v>3480</v>
      </c>
      <c r="M221" s="5">
        <v>19900</v>
      </c>
      <c r="N221" s="5">
        <f t="shared" si="9"/>
        <v>39800</v>
      </c>
      <c r="O221" s="82">
        <v>0.18</v>
      </c>
      <c r="P221" s="9">
        <f t="shared" si="10"/>
        <v>7164</v>
      </c>
      <c r="Q221" s="5">
        <v>0</v>
      </c>
      <c r="R221" s="5"/>
      <c r="S221" s="5">
        <f t="shared" si="11"/>
        <v>46964</v>
      </c>
      <c r="T221" s="1" t="s">
        <v>554</v>
      </c>
      <c r="U221" s="1" t="s">
        <v>331</v>
      </c>
      <c r="V221" s="1" t="s">
        <v>387</v>
      </c>
      <c r="W221" s="1" t="s">
        <v>1921</v>
      </c>
      <c r="X221" s="1"/>
      <c r="Y221" s="1"/>
      <c r="Z221" s="21" t="s">
        <v>388</v>
      </c>
      <c r="AA221" s="8"/>
      <c r="AB221" s="8">
        <v>1</v>
      </c>
      <c r="AC221" s="22"/>
      <c r="AD221" s="1" t="s">
        <v>3688</v>
      </c>
      <c r="AE221" s="23"/>
      <c r="AF221" s="6">
        <v>45551</v>
      </c>
      <c r="AG221" s="207"/>
    </row>
    <row r="222" spans="1:33" s="208" customFormat="1" x14ac:dyDescent="0.25">
      <c r="A222" s="4"/>
      <c r="B222" s="4">
        <v>45558</v>
      </c>
      <c r="C222" s="1" t="s">
        <v>1991</v>
      </c>
      <c r="D222" s="224" t="s">
        <v>3490</v>
      </c>
      <c r="E222" s="6" t="s">
        <v>1922</v>
      </c>
      <c r="F222" s="234" t="s">
        <v>566</v>
      </c>
      <c r="G222" s="1" t="s">
        <v>567</v>
      </c>
      <c r="H222" s="8">
        <v>5</v>
      </c>
      <c r="I222" s="8">
        <v>5</v>
      </c>
      <c r="J222" s="115">
        <f>Table224[[#This Row],[Qty]]-Table224[[#This Row],[Issue Qty]]</f>
        <v>0</v>
      </c>
      <c r="K222" s="195"/>
      <c r="L222" s="195" t="s">
        <v>3480</v>
      </c>
      <c r="M222" s="5">
        <v>65250</v>
      </c>
      <c r="N222" s="5">
        <f t="shared" si="9"/>
        <v>326250</v>
      </c>
      <c r="O222" s="82">
        <v>0.05</v>
      </c>
      <c r="P222" s="9">
        <f t="shared" si="10"/>
        <v>16312.5</v>
      </c>
      <c r="Q222" s="5">
        <v>0</v>
      </c>
      <c r="R222" s="5"/>
      <c r="S222" s="5">
        <f t="shared" si="11"/>
        <v>342562.5</v>
      </c>
      <c r="T222" s="1" t="s">
        <v>554</v>
      </c>
      <c r="U222" s="1" t="s">
        <v>331</v>
      </c>
      <c r="V222" s="1" t="s">
        <v>290</v>
      </c>
      <c r="W222" s="1" t="s">
        <v>1923</v>
      </c>
      <c r="X222" s="1"/>
      <c r="Y222" s="1"/>
      <c r="Z222" s="8"/>
      <c r="AA222" s="8"/>
      <c r="AB222" s="8">
        <v>5</v>
      </c>
      <c r="AC222" s="22" t="s">
        <v>3740</v>
      </c>
      <c r="AD222" s="1"/>
      <c r="AE222" s="23"/>
      <c r="AF222" s="6">
        <v>45555</v>
      </c>
      <c r="AG222" s="207"/>
    </row>
    <row r="223" spans="1:33" s="208" customFormat="1" ht="30" x14ac:dyDescent="0.25">
      <c r="A223" s="4"/>
      <c r="B223" s="4">
        <v>45559</v>
      </c>
      <c r="C223" s="1" t="s">
        <v>1991</v>
      </c>
      <c r="D223" s="224" t="s">
        <v>3459</v>
      </c>
      <c r="E223" s="6" t="s">
        <v>1924</v>
      </c>
      <c r="F223" s="234" t="s">
        <v>569</v>
      </c>
      <c r="G223" s="1" t="s">
        <v>570</v>
      </c>
      <c r="H223" s="8">
        <v>1</v>
      </c>
      <c r="I223" s="8"/>
      <c r="J223" s="115">
        <f>Table224[[#This Row],[Qty]]-Table224[[#This Row],[Issue Qty]]</f>
        <v>1</v>
      </c>
      <c r="K223" s="195"/>
      <c r="L223" s="195" t="s">
        <v>3480</v>
      </c>
      <c r="M223" s="5">
        <v>114250</v>
      </c>
      <c r="N223" s="5">
        <f t="shared" si="9"/>
        <v>114250</v>
      </c>
      <c r="O223" s="82">
        <v>0.18</v>
      </c>
      <c r="P223" s="9">
        <f t="shared" si="10"/>
        <v>20565</v>
      </c>
      <c r="Q223" s="5">
        <v>0</v>
      </c>
      <c r="R223" s="5"/>
      <c r="S223" s="5">
        <f t="shared" si="11"/>
        <v>134815</v>
      </c>
      <c r="T223" s="1" t="s">
        <v>554</v>
      </c>
      <c r="U223" s="1" t="s">
        <v>331</v>
      </c>
      <c r="V223" s="1" t="s">
        <v>440</v>
      </c>
      <c r="W223" s="1" t="s">
        <v>1925</v>
      </c>
      <c r="X223" s="6">
        <v>45559</v>
      </c>
      <c r="Y223" s="2"/>
      <c r="Z223" s="21" t="s">
        <v>388</v>
      </c>
      <c r="AA223" s="21"/>
      <c r="AB223" s="21"/>
      <c r="AC223" s="12"/>
      <c r="AD223" s="2"/>
      <c r="AE223" s="23"/>
      <c r="AF223" s="2"/>
      <c r="AG223" s="207"/>
    </row>
    <row r="224" spans="1:33" s="208" customFormat="1" ht="30" x14ac:dyDescent="0.25">
      <c r="A224" s="4"/>
      <c r="B224" s="4">
        <v>45559</v>
      </c>
      <c r="C224" s="1" t="s">
        <v>1991</v>
      </c>
      <c r="D224" s="224" t="s">
        <v>3459</v>
      </c>
      <c r="E224" s="26" t="s">
        <v>1924</v>
      </c>
      <c r="F224" s="233" t="s">
        <v>569</v>
      </c>
      <c r="G224" s="1" t="s">
        <v>570</v>
      </c>
      <c r="H224" s="8">
        <v>1</v>
      </c>
      <c r="I224" s="8"/>
      <c r="J224" s="115">
        <f>Table224[[#This Row],[Qty]]-Table224[[#This Row],[Issue Qty]]</f>
        <v>1</v>
      </c>
      <c r="K224" s="195"/>
      <c r="L224" s="195" t="s">
        <v>3480</v>
      </c>
      <c r="M224" s="5">
        <v>114250</v>
      </c>
      <c r="N224" s="5">
        <f t="shared" si="9"/>
        <v>114250</v>
      </c>
      <c r="O224" s="82">
        <v>0.18</v>
      </c>
      <c r="P224" s="9">
        <f t="shared" si="10"/>
        <v>20565</v>
      </c>
      <c r="Q224" s="5">
        <v>0</v>
      </c>
      <c r="R224" s="5"/>
      <c r="S224" s="5">
        <f t="shared" si="11"/>
        <v>134815</v>
      </c>
      <c r="T224" s="1" t="s">
        <v>554</v>
      </c>
      <c r="U224" s="1" t="s">
        <v>331</v>
      </c>
      <c r="V224" s="1" t="s">
        <v>440</v>
      </c>
      <c r="W224" s="1" t="s">
        <v>1925</v>
      </c>
      <c r="X224" s="1"/>
      <c r="Y224" s="1"/>
      <c r="Z224" s="21" t="s">
        <v>388</v>
      </c>
      <c r="AA224" s="8"/>
      <c r="AB224" s="8"/>
      <c r="AC224" s="22"/>
      <c r="AD224" s="1"/>
      <c r="AE224" s="23"/>
      <c r="AF224" s="6">
        <v>45559</v>
      </c>
      <c r="AG224" s="207"/>
    </row>
    <row r="225" spans="1:33" s="208" customFormat="1" x14ac:dyDescent="0.25">
      <c r="A225" s="4"/>
      <c r="B225" s="4">
        <v>45560</v>
      </c>
      <c r="C225" s="1" t="s">
        <v>1991</v>
      </c>
      <c r="D225" s="224" t="s">
        <v>1730</v>
      </c>
      <c r="E225" s="26" t="s">
        <v>1927</v>
      </c>
      <c r="F225" s="233" t="s">
        <v>571</v>
      </c>
      <c r="G225" s="1" t="s">
        <v>572</v>
      </c>
      <c r="H225" s="8">
        <v>2</v>
      </c>
      <c r="I225" s="8"/>
      <c r="J225" s="115">
        <f>Table224[[#This Row],[Qty]]-Table224[[#This Row],[Issue Qty]]</f>
        <v>2</v>
      </c>
      <c r="K225" s="195"/>
      <c r="L225" s="195" t="s">
        <v>3480</v>
      </c>
      <c r="M225" s="5">
        <v>872.99</v>
      </c>
      <c r="N225" s="5">
        <f t="shared" si="9"/>
        <v>1745.98</v>
      </c>
      <c r="O225" s="82">
        <v>0.18</v>
      </c>
      <c r="P225" s="9">
        <f t="shared" si="10"/>
        <v>314.27639999999997</v>
      </c>
      <c r="Q225" s="5">
        <f>162/9</f>
        <v>18</v>
      </c>
      <c r="R225" s="5"/>
      <c r="S225" s="5">
        <f t="shared" si="11"/>
        <v>2078.2564000000002</v>
      </c>
      <c r="T225" s="1" t="s">
        <v>554</v>
      </c>
      <c r="U225" s="1" t="s">
        <v>1742</v>
      </c>
      <c r="V225" s="1" t="s">
        <v>243</v>
      </c>
      <c r="W225" s="1" t="s">
        <v>1926</v>
      </c>
      <c r="X225" s="1"/>
      <c r="Y225" s="1"/>
      <c r="Z225" s="21" t="s">
        <v>103</v>
      </c>
      <c r="AA225" s="21"/>
      <c r="AB225" s="8"/>
      <c r="AC225" s="22"/>
      <c r="AD225" s="1"/>
      <c r="AE225" s="23"/>
      <c r="AF225" s="6">
        <v>45559</v>
      </c>
      <c r="AG225" s="207"/>
    </row>
    <row r="226" spans="1:33" s="208" customFormat="1" x14ac:dyDescent="0.25">
      <c r="A226" s="4"/>
      <c r="B226" s="4">
        <v>45560</v>
      </c>
      <c r="C226" s="1" t="s">
        <v>1991</v>
      </c>
      <c r="D226" s="224" t="s">
        <v>3492</v>
      </c>
      <c r="E226" s="26" t="s">
        <v>1900</v>
      </c>
      <c r="F226" s="168" t="s">
        <v>532</v>
      </c>
      <c r="G226" s="1" t="s">
        <v>532</v>
      </c>
      <c r="H226" s="8">
        <v>3</v>
      </c>
      <c r="I226" s="8"/>
      <c r="J226" s="115">
        <f>Table224[[#This Row],[Qty]]-Table224[[#This Row],[Issue Qty]]</f>
        <v>3</v>
      </c>
      <c r="K226" s="195"/>
      <c r="L226" s="195" t="s">
        <v>3480</v>
      </c>
      <c r="M226" s="5">
        <v>541.495</v>
      </c>
      <c r="N226" s="5">
        <f t="shared" si="9"/>
        <v>1624.4850000000001</v>
      </c>
      <c r="O226" s="82">
        <v>0.05</v>
      </c>
      <c r="P226" s="9">
        <f t="shared" si="10"/>
        <v>81.224250000000012</v>
      </c>
      <c r="Q226" s="5">
        <f>162/9</f>
        <v>18</v>
      </c>
      <c r="R226" s="5"/>
      <c r="S226" s="5">
        <f t="shared" si="11"/>
        <v>1723.7092500000001</v>
      </c>
      <c r="T226" s="1" t="s">
        <v>554</v>
      </c>
      <c r="U226" s="1" t="s">
        <v>1742</v>
      </c>
      <c r="V226" s="1" t="s">
        <v>243</v>
      </c>
      <c r="W226" s="1" t="s">
        <v>1926</v>
      </c>
      <c r="X226" s="1"/>
      <c r="Y226" s="1"/>
      <c r="Z226" s="8" t="s">
        <v>72</v>
      </c>
      <c r="AA226" s="21" t="s">
        <v>262</v>
      </c>
      <c r="AB226" s="8"/>
      <c r="AC226" s="22"/>
      <c r="AD226" s="1"/>
      <c r="AE226" s="23"/>
      <c r="AF226" s="6">
        <v>45559</v>
      </c>
      <c r="AG226" s="207"/>
    </row>
    <row r="227" spans="1:33" s="208" customFormat="1" ht="30" x14ac:dyDescent="0.25">
      <c r="A227" s="4"/>
      <c r="B227" s="4">
        <v>45560</v>
      </c>
      <c r="C227" s="1" t="s">
        <v>1991</v>
      </c>
      <c r="D227" s="224" t="s">
        <v>3493</v>
      </c>
      <c r="E227" s="26" t="s">
        <v>1916</v>
      </c>
      <c r="F227" s="315" t="s">
        <v>559</v>
      </c>
      <c r="G227" s="1" t="s">
        <v>559</v>
      </c>
      <c r="H227" s="8">
        <v>4</v>
      </c>
      <c r="I227" s="8">
        <v>4</v>
      </c>
      <c r="J227" s="115">
        <f>Table224[[#This Row],[Qty]]-Table224[[#This Row],[Issue Qty]]</f>
        <v>0</v>
      </c>
      <c r="K227" s="195"/>
      <c r="L227" s="195" t="s">
        <v>3480</v>
      </c>
      <c r="M227" s="5">
        <v>59.1175</v>
      </c>
      <c r="N227" s="5">
        <f t="shared" si="9"/>
        <v>236.47</v>
      </c>
      <c r="O227" s="82">
        <v>0.18</v>
      </c>
      <c r="P227" s="9">
        <f t="shared" si="10"/>
        <v>42.564599999999999</v>
      </c>
      <c r="Q227" s="5">
        <f>162/9</f>
        <v>18</v>
      </c>
      <c r="R227" s="5"/>
      <c r="S227" s="5">
        <f t="shared" si="11"/>
        <v>297.03460000000001</v>
      </c>
      <c r="T227" s="1" t="s">
        <v>554</v>
      </c>
      <c r="U227" s="1" t="s">
        <v>1742</v>
      </c>
      <c r="V227" s="1" t="s">
        <v>243</v>
      </c>
      <c r="W227" s="1" t="s">
        <v>1926</v>
      </c>
      <c r="X227" s="1"/>
      <c r="Y227" s="1"/>
      <c r="Z227" s="21" t="s">
        <v>107</v>
      </c>
      <c r="AA227" s="21" t="s">
        <v>496</v>
      </c>
      <c r="AB227" s="8"/>
      <c r="AC227" s="22"/>
      <c r="AD227" s="1"/>
      <c r="AE227" s="23"/>
      <c r="AF227" s="6">
        <v>45559</v>
      </c>
      <c r="AG227" s="207"/>
    </row>
    <row r="228" spans="1:33" s="208" customFormat="1" x14ac:dyDescent="0.25">
      <c r="A228" s="4"/>
      <c r="B228" s="4">
        <v>45561</v>
      </c>
      <c r="C228" s="6" t="s">
        <v>54</v>
      </c>
      <c r="D228" s="224" t="s">
        <v>3489</v>
      </c>
      <c r="E228" s="6" t="s">
        <v>1928</v>
      </c>
      <c r="F228" s="234" t="s">
        <v>574</v>
      </c>
      <c r="G228" s="1" t="s">
        <v>575</v>
      </c>
      <c r="H228" s="8">
        <v>6</v>
      </c>
      <c r="I228" s="8">
        <v>6</v>
      </c>
      <c r="J228" s="115">
        <f>Table224[[#This Row],[Qty]]-Table224[[#This Row],[Issue Qty]]</f>
        <v>0</v>
      </c>
      <c r="K228" s="195"/>
      <c r="L228" s="195" t="s">
        <v>3480</v>
      </c>
      <c r="M228" s="5">
        <v>2600</v>
      </c>
      <c r="N228" s="5">
        <f t="shared" si="9"/>
        <v>15600</v>
      </c>
      <c r="O228" s="82">
        <v>0.18</v>
      </c>
      <c r="P228" s="9">
        <f t="shared" si="10"/>
        <v>2808</v>
      </c>
      <c r="Q228" s="5">
        <v>0</v>
      </c>
      <c r="R228" s="5"/>
      <c r="S228" s="5">
        <f t="shared" si="11"/>
        <v>18408</v>
      </c>
      <c r="T228" s="1" t="s">
        <v>554</v>
      </c>
      <c r="U228" s="1" t="s">
        <v>1929</v>
      </c>
      <c r="V228" s="1" t="s">
        <v>440</v>
      </c>
      <c r="W228" s="1" t="s">
        <v>1930</v>
      </c>
      <c r="X228" s="6">
        <v>45565</v>
      </c>
      <c r="Y228" s="2"/>
      <c r="Z228" s="21"/>
      <c r="AA228" s="21"/>
      <c r="AB228" s="21">
        <v>6</v>
      </c>
      <c r="AC228" s="12" t="s">
        <v>3734</v>
      </c>
      <c r="AD228" s="2"/>
      <c r="AE228" s="23"/>
      <c r="AF228" s="2"/>
      <c r="AG228" s="207"/>
    </row>
    <row r="229" spans="1:33" s="208" customFormat="1" x14ac:dyDescent="0.25">
      <c r="A229" s="4"/>
      <c r="B229" s="4">
        <v>45565</v>
      </c>
      <c r="C229" s="1" t="s">
        <v>1991</v>
      </c>
      <c r="D229" s="224" t="s">
        <v>3463</v>
      </c>
      <c r="E229" s="6" t="s">
        <v>1933</v>
      </c>
      <c r="F229" s="234" t="s">
        <v>578</v>
      </c>
      <c r="G229" s="1" t="s">
        <v>579</v>
      </c>
      <c r="H229" s="8">
        <v>2</v>
      </c>
      <c r="I229" s="8"/>
      <c r="J229" s="115">
        <f>Table224[[#This Row],[Qty]]-Table224[[#This Row],[Issue Qty]]</f>
        <v>2</v>
      </c>
      <c r="K229" s="195"/>
      <c r="L229" s="195" t="s">
        <v>3480</v>
      </c>
      <c r="M229" s="5">
        <v>4420</v>
      </c>
      <c r="N229" s="5">
        <f t="shared" si="9"/>
        <v>8840</v>
      </c>
      <c r="O229" s="82">
        <v>0.05</v>
      </c>
      <c r="P229" s="9">
        <f t="shared" si="10"/>
        <v>442</v>
      </c>
      <c r="Q229" s="5">
        <v>0</v>
      </c>
      <c r="R229" s="5"/>
      <c r="S229" s="5">
        <f t="shared" si="11"/>
        <v>9282</v>
      </c>
      <c r="T229" s="1" t="s">
        <v>554</v>
      </c>
      <c r="U229" s="1" t="s">
        <v>1742</v>
      </c>
      <c r="V229" s="1" t="s">
        <v>290</v>
      </c>
      <c r="W229" s="1" t="s">
        <v>1934</v>
      </c>
      <c r="X229" s="6">
        <v>45563</v>
      </c>
      <c r="Y229" s="2"/>
      <c r="Z229" s="21" t="s">
        <v>89</v>
      </c>
      <c r="AA229" s="21" t="s">
        <v>580</v>
      </c>
      <c r="AB229" s="21"/>
      <c r="AC229" s="12"/>
      <c r="AD229" s="2"/>
      <c r="AE229" s="23"/>
      <c r="AF229" s="2"/>
      <c r="AG229" s="207"/>
    </row>
    <row r="230" spans="1:33" s="208" customFormat="1" x14ac:dyDescent="0.25">
      <c r="A230" s="4"/>
      <c r="B230" s="4">
        <v>45565</v>
      </c>
      <c r="C230" s="1" t="s">
        <v>1991</v>
      </c>
      <c r="D230" s="224" t="s">
        <v>3463</v>
      </c>
      <c r="E230" s="6" t="s">
        <v>1935</v>
      </c>
      <c r="F230" s="234" t="s">
        <v>581</v>
      </c>
      <c r="G230" s="1" t="s">
        <v>582</v>
      </c>
      <c r="H230" s="8">
        <v>2</v>
      </c>
      <c r="I230" s="8"/>
      <c r="J230" s="115">
        <f>Table224[[#This Row],[Qty]]-Table224[[#This Row],[Issue Qty]]</f>
        <v>2</v>
      </c>
      <c r="K230" s="195"/>
      <c r="L230" s="195" t="s">
        <v>3480</v>
      </c>
      <c r="M230" s="5">
        <v>24700</v>
      </c>
      <c r="N230" s="5">
        <f t="shared" si="9"/>
        <v>49400</v>
      </c>
      <c r="O230" s="82">
        <v>0.05</v>
      </c>
      <c r="P230" s="9">
        <f t="shared" si="10"/>
        <v>2470</v>
      </c>
      <c r="Q230" s="5">
        <v>0</v>
      </c>
      <c r="R230" s="5"/>
      <c r="S230" s="5">
        <f t="shared" si="11"/>
        <v>51870</v>
      </c>
      <c r="T230" s="1" t="s">
        <v>554</v>
      </c>
      <c r="U230" s="1" t="s">
        <v>1742</v>
      </c>
      <c r="V230" s="1" t="s">
        <v>290</v>
      </c>
      <c r="W230" s="1" t="s">
        <v>1934</v>
      </c>
      <c r="X230" s="6">
        <v>45563</v>
      </c>
      <c r="Y230" s="2"/>
      <c r="Z230" s="21" t="s">
        <v>89</v>
      </c>
      <c r="AA230" s="21" t="s">
        <v>580</v>
      </c>
      <c r="AB230" s="21"/>
      <c r="AC230" s="12"/>
      <c r="AD230" s="2"/>
      <c r="AE230" s="23"/>
      <c r="AF230" s="2"/>
      <c r="AG230" s="207"/>
    </row>
    <row r="231" spans="1:33" s="208" customFormat="1" x14ac:dyDescent="0.25">
      <c r="A231" s="4"/>
      <c r="B231" s="4">
        <v>45565</v>
      </c>
      <c r="C231" s="6" t="s">
        <v>1683</v>
      </c>
      <c r="D231" s="6" t="s">
        <v>3429</v>
      </c>
      <c r="E231" s="26" t="s">
        <v>1931</v>
      </c>
      <c r="F231" s="233" t="s">
        <v>576</v>
      </c>
      <c r="G231" s="1" t="s">
        <v>577</v>
      </c>
      <c r="H231" s="8">
        <v>2</v>
      </c>
      <c r="I231" s="8">
        <v>1</v>
      </c>
      <c r="J231" s="115">
        <f>Table224[[#This Row],[Qty]]-Table224[[#This Row],[Issue Qty]]</f>
        <v>1</v>
      </c>
      <c r="K231" s="195"/>
      <c r="L231" s="195" t="s">
        <v>3480</v>
      </c>
      <c r="M231" s="5">
        <v>7485</v>
      </c>
      <c r="N231" s="5">
        <f t="shared" si="9"/>
        <v>14970</v>
      </c>
      <c r="O231" s="82">
        <v>0.18</v>
      </c>
      <c r="P231" s="9">
        <f t="shared" si="10"/>
        <v>2694.6</v>
      </c>
      <c r="Q231" s="5">
        <v>0</v>
      </c>
      <c r="R231" s="5"/>
      <c r="S231" s="5">
        <f t="shared" si="11"/>
        <v>17664.599999999999</v>
      </c>
      <c r="T231" s="1" t="s">
        <v>2887</v>
      </c>
      <c r="U231" s="1" t="s">
        <v>1742</v>
      </c>
      <c r="V231" s="1" t="s">
        <v>290</v>
      </c>
      <c r="W231" s="1" t="s">
        <v>1932</v>
      </c>
      <c r="X231" s="1"/>
      <c r="Y231" s="1"/>
      <c r="Z231" s="21" t="s">
        <v>22</v>
      </c>
      <c r="AA231" s="21" t="s">
        <v>23</v>
      </c>
      <c r="AB231" s="8">
        <v>1</v>
      </c>
      <c r="AC231" s="22" t="s">
        <v>3401</v>
      </c>
      <c r="AD231" s="1"/>
      <c r="AE231" s="23"/>
      <c r="AF231" s="6">
        <v>45563</v>
      </c>
      <c r="AG231" s="207"/>
    </row>
    <row r="232" spans="1:33" s="208" customFormat="1" x14ac:dyDescent="0.25">
      <c r="A232" s="4"/>
      <c r="B232" s="4">
        <v>45575</v>
      </c>
      <c r="C232" s="6" t="s">
        <v>1683</v>
      </c>
      <c r="D232" s="224" t="s">
        <v>1663</v>
      </c>
      <c r="E232" s="6" t="s">
        <v>1936</v>
      </c>
      <c r="F232" s="170" t="s">
        <v>584</v>
      </c>
      <c r="G232" s="1" t="s">
        <v>585</v>
      </c>
      <c r="H232" s="8">
        <v>1</v>
      </c>
      <c r="I232" s="8">
        <v>1</v>
      </c>
      <c r="J232" s="115">
        <f>Table224[[#This Row],[Qty]]-Table224[[#This Row],[Issue Qty]]</f>
        <v>0</v>
      </c>
      <c r="K232" s="195"/>
      <c r="L232" s="195" t="s">
        <v>3480</v>
      </c>
      <c r="M232" s="5">
        <v>29500</v>
      </c>
      <c r="N232" s="5">
        <f t="shared" si="9"/>
        <v>29500</v>
      </c>
      <c r="O232" s="82">
        <v>0.18</v>
      </c>
      <c r="P232" s="9">
        <f t="shared" si="10"/>
        <v>5310</v>
      </c>
      <c r="Q232" s="5">
        <v>0</v>
      </c>
      <c r="R232" s="5"/>
      <c r="S232" s="5">
        <f t="shared" si="11"/>
        <v>34810</v>
      </c>
      <c r="T232" s="1" t="s">
        <v>586</v>
      </c>
      <c r="U232" s="1" t="s">
        <v>1742</v>
      </c>
      <c r="V232" s="1" t="s">
        <v>896</v>
      </c>
      <c r="W232" s="1" t="s">
        <v>1937</v>
      </c>
      <c r="X232" s="6">
        <v>45591</v>
      </c>
      <c r="Y232" s="2"/>
      <c r="Z232" s="21" t="s">
        <v>398</v>
      </c>
      <c r="AA232" s="21"/>
      <c r="AB232" s="21"/>
      <c r="AC232" s="12" t="s">
        <v>3527</v>
      </c>
      <c r="AD232" s="2"/>
      <c r="AE232" s="23" t="s">
        <v>589</v>
      </c>
      <c r="AF232" s="2"/>
      <c r="AG232" s="207"/>
    </row>
    <row r="233" spans="1:33" s="208" customFormat="1" x14ac:dyDescent="0.25">
      <c r="A233" s="4"/>
      <c r="B233" s="4">
        <v>45579</v>
      </c>
      <c r="C233" s="1" t="s">
        <v>1991</v>
      </c>
      <c r="D233" s="224" t="s">
        <v>3464</v>
      </c>
      <c r="E233" s="6" t="s">
        <v>37</v>
      </c>
      <c r="F233" s="233" t="s">
        <v>1466</v>
      </c>
      <c r="G233" s="1" t="s">
        <v>590</v>
      </c>
      <c r="H233" s="8">
        <v>1</v>
      </c>
      <c r="I233" s="8">
        <v>1</v>
      </c>
      <c r="J233" s="115">
        <f>Table224[[#This Row],[Qty]]-Table224[[#This Row],[Issue Qty]]</f>
        <v>0</v>
      </c>
      <c r="K233" s="195">
        <v>1</v>
      </c>
      <c r="L233" s="195" t="s">
        <v>3480</v>
      </c>
      <c r="M233" s="5">
        <v>7500</v>
      </c>
      <c r="N233" s="5">
        <f t="shared" si="9"/>
        <v>7500</v>
      </c>
      <c r="O233" s="82">
        <v>0.05</v>
      </c>
      <c r="P233" s="9">
        <f t="shared" si="10"/>
        <v>375</v>
      </c>
      <c r="Q233" s="5">
        <v>0</v>
      </c>
      <c r="R233" s="5"/>
      <c r="S233" s="5">
        <f t="shared" si="11"/>
        <v>7875</v>
      </c>
      <c r="T233" s="1" t="s">
        <v>260</v>
      </c>
      <c r="U233" s="1" t="s">
        <v>260</v>
      </c>
      <c r="V233" s="1" t="s">
        <v>290</v>
      </c>
      <c r="W233" s="1" t="s">
        <v>1938</v>
      </c>
      <c r="X233" s="6">
        <v>45575</v>
      </c>
      <c r="Y233" s="2"/>
      <c r="Z233" s="21" t="s">
        <v>3349</v>
      </c>
      <c r="AA233" s="21"/>
      <c r="AB233" s="21">
        <v>1</v>
      </c>
      <c r="AC233" s="12" t="s">
        <v>3475</v>
      </c>
      <c r="AD233" s="2"/>
      <c r="AE233" s="23"/>
      <c r="AF233" s="2"/>
      <c r="AG233" s="207"/>
    </row>
    <row r="234" spans="1:33" s="208" customFormat="1" ht="30" x14ac:dyDescent="0.25">
      <c r="A234" s="4"/>
      <c r="B234" s="4">
        <v>45579</v>
      </c>
      <c r="C234" s="6" t="s">
        <v>1683</v>
      </c>
      <c r="D234" s="224" t="s">
        <v>3439</v>
      </c>
      <c r="E234" s="6" t="s">
        <v>1837</v>
      </c>
      <c r="F234" s="234" t="s">
        <v>392</v>
      </c>
      <c r="G234" s="1" t="s">
        <v>591</v>
      </c>
      <c r="H234" s="8">
        <v>1</v>
      </c>
      <c r="I234" s="8"/>
      <c r="J234" s="115">
        <f>Table224[[#This Row],[Qty]]-Table224[[#This Row],[Issue Qty]]</f>
        <v>1</v>
      </c>
      <c r="K234" s="195"/>
      <c r="L234" s="195" t="s">
        <v>3480</v>
      </c>
      <c r="M234" s="5">
        <v>3299</v>
      </c>
      <c r="N234" s="5">
        <f t="shared" si="9"/>
        <v>3299</v>
      </c>
      <c r="O234" s="82">
        <v>0</v>
      </c>
      <c r="P234" s="9">
        <f t="shared" si="10"/>
        <v>0</v>
      </c>
      <c r="Q234" s="5">
        <v>125</v>
      </c>
      <c r="R234" s="5"/>
      <c r="S234" s="5">
        <f t="shared" si="11"/>
        <v>3424</v>
      </c>
      <c r="T234" s="1" t="s">
        <v>260</v>
      </c>
      <c r="U234" s="1" t="s">
        <v>260</v>
      </c>
      <c r="V234" s="1" t="s">
        <v>394</v>
      </c>
      <c r="W234" s="1"/>
      <c r="X234" s="6"/>
      <c r="Y234" s="2"/>
      <c r="Z234" s="21" t="s">
        <v>72</v>
      </c>
      <c r="AA234" s="21" t="s">
        <v>352</v>
      </c>
      <c r="AB234" s="21"/>
      <c r="AC234" s="12"/>
      <c r="AD234" s="2"/>
      <c r="AE234" s="23" t="s">
        <v>353</v>
      </c>
      <c r="AF234" s="2"/>
      <c r="AG234" s="207"/>
    </row>
    <row r="235" spans="1:33" s="208" customFormat="1" x14ac:dyDescent="0.25">
      <c r="A235" s="4"/>
      <c r="B235" s="4">
        <v>45587</v>
      </c>
      <c r="C235" s="6" t="s">
        <v>54</v>
      </c>
      <c r="D235" s="224" t="s">
        <v>1730</v>
      </c>
      <c r="E235" s="6" t="s">
        <v>1941</v>
      </c>
      <c r="F235" s="234" t="s">
        <v>595</v>
      </c>
      <c r="G235" s="1" t="s">
        <v>596</v>
      </c>
      <c r="H235" s="8">
        <v>4</v>
      </c>
      <c r="I235" s="8"/>
      <c r="J235" s="115">
        <f>Table224[[#This Row],[Qty]]-Table224[[#This Row],[Issue Qty]]</f>
        <v>4</v>
      </c>
      <c r="K235" s="195"/>
      <c r="L235" s="195" t="s">
        <v>3480</v>
      </c>
      <c r="M235" s="5">
        <v>950</v>
      </c>
      <c r="N235" s="5">
        <f t="shared" si="9"/>
        <v>3800</v>
      </c>
      <c r="O235" s="82">
        <v>0.18</v>
      </c>
      <c r="P235" s="9">
        <f t="shared" si="10"/>
        <v>684</v>
      </c>
      <c r="Q235" s="5">
        <v>0</v>
      </c>
      <c r="R235" s="5"/>
      <c r="S235" s="5">
        <f t="shared" si="11"/>
        <v>4484</v>
      </c>
      <c r="T235" s="1" t="s">
        <v>260</v>
      </c>
      <c r="U235" s="1" t="s">
        <v>260</v>
      </c>
      <c r="V235" s="1" t="s">
        <v>594</v>
      </c>
      <c r="W235" s="1" t="s">
        <v>1940</v>
      </c>
      <c r="X235" s="1"/>
      <c r="Y235" s="1"/>
      <c r="Z235" s="8" t="s">
        <v>505</v>
      </c>
      <c r="AA235" s="21" t="s">
        <v>506</v>
      </c>
      <c r="AB235" s="8"/>
      <c r="AC235" s="22"/>
      <c r="AD235" s="1"/>
      <c r="AE235" s="23"/>
      <c r="AF235" s="6">
        <v>45583</v>
      </c>
      <c r="AG235" s="207"/>
    </row>
    <row r="236" spans="1:33" s="208" customFormat="1" x14ac:dyDescent="0.25">
      <c r="A236" s="4"/>
      <c r="B236" s="4">
        <v>45587</v>
      </c>
      <c r="C236" s="6" t="s">
        <v>54</v>
      </c>
      <c r="D236" s="224" t="s">
        <v>1730</v>
      </c>
      <c r="E236" s="6" t="s">
        <v>1939</v>
      </c>
      <c r="F236" s="234" t="s">
        <v>592</v>
      </c>
      <c r="G236" s="1" t="s">
        <v>593</v>
      </c>
      <c r="H236" s="8">
        <v>4</v>
      </c>
      <c r="I236" s="8"/>
      <c r="J236" s="115">
        <f>Table224[[#This Row],[Qty]]-Table224[[#This Row],[Issue Qty]]</f>
        <v>4</v>
      </c>
      <c r="K236" s="195"/>
      <c r="L236" s="195" t="s">
        <v>3480</v>
      </c>
      <c r="M236" s="5">
        <v>950</v>
      </c>
      <c r="N236" s="5">
        <f t="shared" si="9"/>
        <v>3800</v>
      </c>
      <c r="O236" s="82">
        <v>0.18</v>
      </c>
      <c r="P236" s="9">
        <f t="shared" si="10"/>
        <v>684</v>
      </c>
      <c r="Q236" s="5">
        <v>0</v>
      </c>
      <c r="R236" s="5"/>
      <c r="S236" s="5">
        <f t="shared" si="11"/>
        <v>4484</v>
      </c>
      <c r="T236" s="1" t="s">
        <v>260</v>
      </c>
      <c r="U236" s="1" t="s">
        <v>260</v>
      </c>
      <c r="V236" s="1" t="s">
        <v>594</v>
      </c>
      <c r="W236" s="1" t="s">
        <v>1940</v>
      </c>
      <c r="X236" s="1"/>
      <c r="Y236" s="1"/>
      <c r="Z236" s="8" t="s">
        <v>505</v>
      </c>
      <c r="AA236" s="21" t="s">
        <v>506</v>
      </c>
      <c r="AB236" s="8"/>
      <c r="AC236" s="22"/>
      <c r="AD236" s="1"/>
      <c r="AE236" s="23"/>
      <c r="AF236" s="6">
        <v>45583</v>
      </c>
      <c r="AG236" s="2"/>
    </row>
    <row r="237" spans="1:33" s="24" customFormat="1" x14ac:dyDescent="0.25">
      <c r="A237" s="4"/>
      <c r="B237" s="4">
        <v>45591</v>
      </c>
      <c r="C237" s="6" t="s">
        <v>54</v>
      </c>
      <c r="D237" s="224" t="s">
        <v>3430</v>
      </c>
      <c r="E237" s="6" t="s">
        <v>1942</v>
      </c>
      <c r="F237" s="102" t="s">
        <v>597</v>
      </c>
      <c r="G237" s="1" t="s">
        <v>598</v>
      </c>
      <c r="H237" s="8">
        <v>1</v>
      </c>
      <c r="I237" s="8"/>
      <c r="J237" s="115">
        <f>Table224[[#This Row],[Qty]]-Table224[[#This Row],[Issue Qty]]</f>
        <v>1</v>
      </c>
      <c r="K237" s="195"/>
      <c r="L237" s="195" t="s">
        <v>3479</v>
      </c>
      <c r="M237" s="5">
        <v>5200</v>
      </c>
      <c r="N237" s="5">
        <v>5200</v>
      </c>
      <c r="O237" s="82">
        <v>0.18</v>
      </c>
      <c r="P237" s="9">
        <f t="shared" si="10"/>
        <v>936</v>
      </c>
      <c r="Q237" s="5">
        <v>0</v>
      </c>
      <c r="R237" s="5"/>
      <c r="S237" s="5">
        <f t="shared" si="11"/>
        <v>6136</v>
      </c>
      <c r="T237" s="1" t="s">
        <v>586</v>
      </c>
      <c r="U237" s="1" t="s">
        <v>1742</v>
      </c>
      <c r="V237" s="1" t="s">
        <v>599</v>
      </c>
      <c r="W237" s="1"/>
      <c r="X237" s="1"/>
      <c r="Y237" s="2"/>
      <c r="Z237" s="21" t="s">
        <v>156</v>
      </c>
      <c r="AA237" s="21" t="s">
        <v>157</v>
      </c>
      <c r="AB237" s="21"/>
      <c r="AC237" s="12"/>
      <c r="AD237" s="2"/>
      <c r="AE237" s="23"/>
      <c r="AF237" s="1"/>
      <c r="AG237" s="207"/>
    </row>
    <row r="238" spans="1:33" s="208" customFormat="1" x14ac:dyDescent="0.25">
      <c r="A238" s="4"/>
      <c r="B238" s="4">
        <v>45623</v>
      </c>
      <c r="C238" s="6" t="s">
        <v>54</v>
      </c>
      <c r="D238" s="224" t="s">
        <v>3497</v>
      </c>
      <c r="E238" s="6" t="s">
        <v>37</v>
      </c>
      <c r="F238" s="102" t="s">
        <v>600</v>
      </c>
      <c r="G238" s="1" t="s">
        <v>600</v>
      </c>
      <c r="H238" s="8">
        <v>1</v>
      </c>
      <c r="I238" s="8">
        <v>1</v>
      </c>
      <c r="J238" s="115">
        <f>Table224[[#This Row],[Qty]]-Table224[[#This Row],[Issue Qty]]</f>
        <v>0</v>
      </c>
      <c r="K238" s="195"/>
      <c r="L238" s="195" t="s">
        <v>3480</v>
      </c>
      <c r="M238" s="5">
        <v>384</v>
      </c>
      <c r="N238" s="5">
        <f t="shared" ref="N238:N269" si="13">H238*M238</f>
        <v>384</v>
      </c>
      <c r="O238" s="82">
        <v>0.12</v>
      </c>
      <c r="P238" s="9">
        <f t="shared" si="10"/>
        <v>46.08</v>
      </c>
      <c r="Q238" s="5">
        <v>0</v>
      </c>
      <c r="R238" s="5"/>
      <c r="S238" s="5">
        <f t="shared" si="11"/>
        <v>430.08</v>
      </c>
      <c r="T238" s="1" t="s">
        <v>586</v>
      </c>
      <c r="U238" s="1" t="s">
        <v>1742</v>
      </c>
      <c r="V238" s="1" t="s">
        <v>601</v>
      </c>
      <c r="W238" s="1">
        <v>40608</v>
      </c>
      <c r="X238" s="6">
        <v>45623</v>
      </c>
      <c r="Y238" s="2"/>
      <c r="Z238" s="21" t="s">
        <v>126</v>
      </c>
      <c r="AA238" s="21"/>
      <c r="AB238" s="21">
        <v>1</v>
      </c>
      <c r="AC238" s="42" t="s">
        <v>481</v>
      </c>
      <c r="AD238" s="2"/>
      <c r="AE238" s="23"/>
      <c r="AF238" s="2"/>
      <c r="AG238" s="207"/>
    </row>
    <row r="239" spans="1:33" s="208" customFormat="1" x14ac:dyDescent="0.25">
      <c r="A239" s="4"/>
      <c r="B239" s="4">
        <v>45623</v>
      </c>
      <c r="C239" s="6" t="s">
        <v>54</v>
      </c>
      <c r="D239" s="224" t="s">
        <v>3497</v>
      </c>
      <c r="E239" s="6" t="s">
        <v>37</v>
      </c>
      <c r="F239" s="102" t="s">
        <v>602</v>
      </c>
      <c r="G239" s="1" t="s">
        <v>602</v>
      </c>
      <c r="H239" s="8">
        <v>1</v>
      </c>
      <c r="I239" s="8">
        <v>1</v>
      </c>
      <c r="J239" s="115">
        <f>Table224[[#This Row],[Qty]]-Table224[[#This Row],[Issue Qty]]</f>
        <v>0</v>
      </c>
      <c r="K239" s="195"/>
      <c r="L239" s="195" t="s">
        <v>3480</v>
      </c>
      <c r="M239" s="5">
        <v>524</v>
      </c>
      <c r="N239" s="5">
        <f t="shared" si="13"/>
        <v>524</v>
      </c>
      <c r="O239" s="82">
        <v>0.12</v>
      </c>
      <c r="P239" s="9">
        <f t="shared" si="10"/>
        <v>62.879999999999995</v>
      </c>
      <c r="Q239" s="5">
        <v>0</v>
      </c>
      <c r="R239" s="5"/>
      <c r="S239" s="5">
        <f t="shared" si="11"/>
        <v>586.88</v>
      </c>
      <c r="T239" s="1" t="s">
        <v>586</v>
      </c>
      <c r="U239" s="1" t="s">
        <v>1742</v>
      </c>
      <c r="V239" s="1" t="s">
        <v>601</v>
      </c>
      <c r="W239" s="1">
        <v>40608</v>
      </c>
      <c r="X239" s="6">
        <v>45623</v>
      </c>
      <c r="Y239" s="2"/>
      <c r="Z239" s="21" t="s">
        <v>126</v>
      </c>
      <c r="AA239" s="21"/>
      <c r="AB239" s="21">
        <v>1</v>
      </c>
      <c r="AC239" s="42" t="s">
        <v>481</v>
      </c>
      <c r="AD239" s="2"/>
      <c r="AE239" s="23"/>
      <c r="AF239" s="2"/>
      <c r="AG239" s="50"/>
    </row>
    <row r="240" spans="1:33" s="208" customFormat="1" x14ac:dyDescent="0.25">
      <c r="A240" s="4"/>
      <c r="B240" s="4">
        <v>45625</v>
      </c>
      <c r="C240" s="6" t="s">
        <v>54</v>
      </c>
      <c r="D240" s="224" t="s">
        <v>3497</v>
      </c>
      <c r="E240" s="6" t="s">
        <v>37</v>
      </c>
      <c r="F240" s="102" t="s">
        <v>603</v>
      </c>
      <c r="G240" s="1" t="s">
        <v>603</v>
      </c>
      <c r="H240" s="8">
        <v>1</v>
      </c>
      <c r="I240" s="8">
        <v>1</v>
      </c>
      <c r="J240" s="115">
        <f>Table224[[#This Row],[Qty]]-Table224[[#This Row],[Issue Qty]]</f>
        <v>0</v>
      </c>
      <c r="K240" s="195"/>
      <c r="L240" s="195" t="s">
        <v>3480</v>
      </c>
      <c r="M240" s="5">
        <v>384</v>
      </c>
      <c r="N240" s="5">
        <f t="shared" si="13"/>
        <v>384</v>
      </c>
      <c r="O240" s="82">
        <v>0.12</v>
      </c>
      <c r="P240" s="9">
        <f t="shared" si="10"/>
        <v>46.08</v>
      </c>
      <c r="Q240" s="5">
        <v>0</v>
      </c>
      <c r="R240" s="5"/>
      <c r="S240" s="5">
        <f t="shared" si="11"/>
        <v>430.08</v>
      </c>
      <c r="T240" s="1" t="s">
        <v>586</v>
      </c>
      <c r="U240" s="1" t="s">
        <v>1742</v>
      </c>
      <c r="V240" s="1" t="s">
        <v>601</v>
      </c>
      <c r="W240" s="1">
        <v>40610</v>
      </c>
      <c r="X240" s="6">
        <v>45625</v>
      </c>
      <c r="Y240" s="2"/>
      <c r="Z240" s="21" t="s">
        <v>126</v>
      </c>
      <c r="AA240" s="21"/>
      <c r="AB240" s="21">
        <v>1</v>
      </c>
      <c r="AC240" s="42" t="s">
        <v>481</v>
      </c>
      <c r="AD240" s="2"/>
      <c r="AE240" s="23"/>
      <c r="AF240" s="2"/>
      <c r="AG240" s="50"/>
    </row>
    <row r="241" spans="1:33" s="51" customFormat="1" ht="30" x14ac:dyDescent="0.25">
      <c r="A241" s="4"/>
      <c r="B241" s="4">
        <v>45630</v>
      </c>
      <c r="C241" s="1" t="s">
        <v>1991</v>
      </c>
      <c r="D241" s="224" t="s">
        <v>3487</v>
      </c>
      <c r="E241" s="6" t="s">
        <v>1945</v>
      </c>
      <c r="F241" s="234" t="s">
        <v>608</v>
      </c>
      <c r="G241" s="1" t="s">
        <v>609</v>
      </c>
      <c r="H241" s="8">
        <v>7</v>
      </c>
      <c r="I241" s="8">
        <v>7</v>
      </c>
      <c r="J241" s="115">
        <f>Table224[[#This Row],[Qty]]-Table224[[#This Row],[Issue Qty]]</f>
        <v>0</v>
      </c>
      <c r="K241" s="195"/>
      <c r="L241" s="195" t="s">
        <v>3486</v>
      </c>
      <c r="M241" s="5">
        <v>15.254</v>
      </c>
      <c r="N241" s="5">
        <f t="shared" si="13"/>
        <v>106.77799999999999</v>
      </c>
      <c r="O241" s="82">
        <v>0.18</v>
      </c>
      <c r="P241" s="9">
        <f t="shared" si="10"/>
        <v>19.220039999999997</v>
      </c>
      <c r="Q241" s="5">
        <v>49.5</v>
      </c>
      <c r="R241" s="5"/>
      <c r="S241" s="5">
        <f t="shared" si="11"/>
        <v>175.49804</v>
      </c>
      <c r="T241" s="1" t="s">
        <v>606</v>
      </c>
      <c r="U241" s="1" t="s">
        <v>606</v>
      </c>
      <c r="V241" s="1" t="s">
        <v>243</v>
      </c>
      <c r="W241" s="1" t="s">
        <v>1944</v>
      </c>
      <c r="X241" s="6">
        <v>45628</v>
      </c>
      <c r="Y241" s="2"/>
      <c r="Z241" s="21" t="s">
        <v>573</v>
      </c>
      <c r="AA241" s="21" t="s">
        <v>1963</v>
      </c>
      <c r="AB241" s="21"/>
      <c r="AC241" s="12" t="s">
        <v>2899</v>
      </c>
      <c r="AD241" s="2"/>
      <c r="AE241" s="23"/>
      <c r="AF241" s="2"/>
      <c r="AG241" s="50"/>
    </row>
    <row r="242" spans="1:33" s="51" customFormat="1" x14ac:dyDescent="0.25">
      <c r="A242" s="4"/>
      <c r="B242" s="4">
        <v>45630</v>
      </c>
      <c r="C242" s="1" t="s">
        <v>1991</v>
      </c>
      <c r="D242" s="224" t="s">
        <v>3487</v>
      </c>
      <c r="E242" s="26" t="s">
        <v>1943</v>
      </c>
      <c r="F242" s="233" t="s">
        <v>604</v>
      </c>
      <c r="G242" s="1" t="s">
        <v>605</v>
      </c>
      <c r="H242" s="8">
        <v>9</v>
      </c>
      <c r="I242" s="8"/>
      <c r="J242" s="115">
        <f>Table224[[#This Row],[Qty]]-Table224[[#This Row],[Issue Qty]]</f>
        <v>9</v>
      </c>
      <c r="K242" s="195"/>
      <c r="L242" s="195" t="s">
        <v>3486</v>
      </c>
      <c r="M242" s="5">
        <v>11.864000000000001</v>
      </c>
      <c r="N242" s="5">
        <f t="shared" si="13"/>
        <v>106.77600000000001</v>
      </c>
      <c r="O242" s="82">
        <v>0.18</v>
      </c>
      <c r="P242" s="9">
        <f t="shared" si="10"/>
        <v>19.21968</v>
      </c>
      <c r="Q242" s="5">
        <v>49.5</v>
      </c>
      <c r="R242" s="5"/>
      <c r="S242" s="5">
        <f t="shared" si="11"/>
        <v>175.49567999999999</v>
      </c>
      <c r="T242" s="1" t="s">
        <v>606</v>
      </c>
      <c r="U242" s="1" t="s">
        <v>606</v>
      </c>
      <c r="V242" s="1" t="s">
        <v>243</v>
      </c>
      <c r="W242" s="1" t="s">
        <v>1944</v>
      </c>
      <c r="X242" s="6">
        <v>45628</v>
      </c>
      <c r="Y242" s="2"/>
      <c r="Z242" s="21" t="s">
        <v>573</v>
      </c>
      <c r="AA242" s="21" t="s">
        <v>1963</v>
      </c>
      <c r="AB242" s="21"/>
      <c r="AC242" s="12"/>
      <c r="AD242" s="2"/>
      <c r="AE242" s="23"/>
      <c r="AF242" s="2"/>
      <c r="AG242" s="50"/>
    </row>
    <row r="243" spans="1:33" s="51" customFormat="1" x14ac:dyDescent="0.25">
      <c r="A243" s="4"/>
      <c r="B243" s="4">
        <v>45640</v>
      </c>
      <c r="C243" s="6" t="s">
        <v>54</v>
      </c>
      <c r="D243" s="224" t="s">
        <v>3430</v>
      </c>
      <c r="E243" s="26" t="s">
        <v>1946</v>
      </c>
      <c r="F243" s="233" t="s">
        <v>610</v>
      </c>
      <c r="G243" s="1" t="s">
        <v>611</v>
      </c>
      <c r="H243" s="8">
        <v>3</v>
      </c>
      <c r="I243" s="8">
        <v>3</v>
      </c>
      <c r="J243" s="115">
        <f>Table224[[#This Row],[Qty]]-Table224[[#This Row],[Issue Qty]]</f>
        <v>0</v>
      </c>
      <c r="K243" s="195"/>
      <c r="L243" s="195" t="s">
        <v>3480</v>
      </c>
      <c r="M243" s="5">
        <v>2428</v>
      </c>
      <c r="N243" s="5">
        <f t="shared" si="13"/>
        <v>7284</v>
      </c>
      <c r="O243" s="82">
        <v>0.05</v>
      </c>
      <c r="P243" s="9">
        <f t="shared" si="10"/>
        <v>364.20000000000005</v>
      </c>
      <c r="Q243" s="5">
        <v>0</v>
      </c>
      <c r="R243" s="5"/>
      <c r="S243" s="5">
        <f t="shared" si="11"/>
        <v>7648.2</v>
      </c>
      <c r="T243" s="1" t="s">
        <v>554</v>
      </c>
      <c r="U243" s="1" t="s">
        <v>20</v>
      </c>
      <c r="V243" s="1" t="s">
        <v>444</v>
      </c>
      <c r="W243" s="1" t="s">
        <v>1947</v>
      </c>
      <c r="X243" s="6">
        <v>45640</v>
      </c>
      <c r="Y243" s="2"/>
      <c r="Z243" s="21" t="s">
        <v>33</v>
      </c>
      <c r="AA243" s="21"/>
      <c r="AB243" s="21">
        <v>3</v>
      </c>
      <c r="AC243" s="12" t="s">
        <v>612</v>
      </c>
      <c r="AD243" s="2"/>
      <c r="AE243" s="23"/>
      <c r="AF243" s="2"/>
      <c r="AG243" s="50"/>
    </row>
    <row r="244" spans="1:33" s="51" customFormat="1" x14ac:dyDescent="0.25">
      <c r="A244" s="4"/>
      <c r="B244" s="4">
        <v>45640</v>
      </c>
      <c r="C244" s="6" t="s">
        <v>54</v>
      </c>
      <c r="D244" s="224" t="s">
        <v>3430</v>
      </c>
      <c r="E244" s="26" t="s">
        <v>1948</v>
      </c>
      <c r="F244" s="233" t="s">
        <v>613</v>
      </c>
      <c r="G244" s="1" t="s">
        <v>614</v>
      </c>
      <c r="H244" s="8">
        <v>3</v>
      </c>
      <c r="I244" s="8">
        <v>3</v>
      </c>
      <c r="J244" s="115">
        <f>Table224[[#This Row],[Qty]]-Table224[[#This Row],[Issue Qty]]</f>
        <v>0</v>
      </c>
      <c r="K244" s="195"/>
      <c r="L244" s="195" t="s">
        <v>3480</v>
      </c>
      <c r="M244" s="5">
        <v>2428</v>
      </c>
      <c r="N244" s="5">
        <f t="shared" si="13"/>
        <v>7284</v>
      </c>
      <c r="O244" s="82">
        <v>0.05</v>
      </c>
      <c r="P244" s="9">
        <f t="shared" si="10"/>
        <v>364.20000000000005</v>
      </c>
      <c r="Q244" s="5">
        <v>0</v>
      </c>
      <c r="R244" s="5"/>
      <c r="S244" s="5">
        <f t="shared" si="11"/>
        <v>7648.2</v>
      </c>
      <c r="T244" s="1" t="s">
        <v>615</v>
      </c>
      <c r="U244" s="1" t="s">
        <v>331</v>
      </c>
      <c r="V244" s="1" t="s">
        <v>444</v>
      </c>
      <c r="W244" s="1" t="s">
        <v>1947</v>
      </c>
      <c r="X244" s="6">
        <v>45640</v>
      </c>
      <c r="Y244" s="2"/>
      <c r="Z244" s="21" t="s">
        <v>33</v>
      </c>
      <c r="AA244" s="21"/>
      <c r="AB244" s="21">
        <v>3</v>
      </c>
      <c r="AC244" s="12" t="s">
        <v>612</v>
      </c>
      <c r="AD244" s="2"/>
      <c r="AE244" s="23"/>
      <c r="AF244" s="2"/>
      <c r="AG244" s="50"/>
    </row>
    <row r="245" spans="1:33" s="51" customFormat="1" ht="30" x14ac:dyDescent="0.25">
      <c r="A245" s="4"/>
      <c r="B245" s="4">
        <v>45640</v>
      </c>
      <c r="C245" s="6" t="s">
        <v>54</v>
      </c>
      <c r="D245" s="224" t="s">
        <v>3500</v>
      </c>
      <c r="E245" s="6" t="s">
        <v>1949</v>
      </c>
      <c r="F245" s="234" t="s">
        <v>616</v>
      </c>
      <c r="G245" s="1" t="s">
        <v>617</v>
      </c>
      <c r="H245" s="8">
        <v>1</v>
      </c>
      <c r="I245" s="8"/>
      <c r="J245" s="115">
        <f>Table224[[#This Row],[Qty]]-Table224[[#This Row],[Issue Qty]]</f>
        <v>1</v>
      </c>
      <c r="K245" s="195"/>
      <c r="L245" s="195" t="s">
        <v>3480</v>
      </c>
      <c r="M245" s="5">
        <v>2736.44</v>
      </c>
      <c r="N245" s="5">
        <f t="shared" si="13"/>
        <v>2736.44</v>
      </c>
      <c r="O245" s="82">
        <v>0.18</v>
      </c>
      <c r="P245" s="9">
        <f t="shared" si="10"/>
        <v>492.55919999999998</v>
      </c>
      <c r="Q245" s="5">
        <v>0</v>
      </c>
      <c r="R245" s="5"/>
      <c r="S245" s="5">
        <f t="shared" si="11"/>
        <v>3228.9992000000002</v>
      </c>
      <c r="T245" s="1" t="s">
        <v>618</v>
      </c>
      <c r="U245" s="1" t="s">
        <v>20</v>
      </c>
      <c r="V245" s="1" t="s">
        <v>394</v>
      </c>
      <c r="W245" s="1" t="s">
        <v>1950</v>
      </c>
      <c r="X245" s="1"/>
      <c r="Y245" s="1"/>
      <c r="Z245" s="21" t="s">
        <v>252</v>
      </c>
      <c r="AA245" s="8"/>
      <c r="AB245" s="8"/>
      <c r="AC245" s="22"/>
      <c r="AD245" s="1"/>
      <c r="AE245" s="23" t="s">
        <v>619</v>
      </c>
      <c r="AF245" s="6">
        <v>45638</v>
      </c>
      <c r="AG245" s="50"/>
    </row>
    <row r="246" spans="1:33" s="51" customFormat="1" ht="30" x14ac:dyDescent="0.25">
      <c r="A246" s="4"/>
      <c r="B246" s="4">
        <v>45649</v>
      </c>
      <c r="C246" s="6" t="s">
        <v>54</v>
      </c>
      <c r="D246" s="224" t="s">
        <v>3500</v>
      </c>
      <c r="E246" s="6" t="s">
        <v>1951</v>
      </c>
      <c r="F246" s="234" t="s">
        <v>620</v>
      </c>
      <c r="G246" s="1" t="s">
        <v>621</v>
      </c>
      <c r="H246" s="8">
        <v>1</v>
      </c>
      <c r="I246" s="8"/>
      <c r="J246" s="115">
        <f>Table224[[#This Row],[Qty]]-Table224[[#This Row],[Issue Qty]]</f>
        <v>1</v>
      </c>
      <c r="K246" s="195"/>
      <c r="L246" s="195" t="s">
        <v>3480</v>
      </c>
      <c r="M246" s="5">
        <v>4999</v>
      </c>
      <c r="N246" s="5">
        <f t="shared" si="13"/>
        <v>4999</v>
      </c>
      <c r="O246" s="82">
        <v>0.18</v>
      </c>
      <c r="P246" s="9">
        <f t="shared" si="10"/>
        <v>899.81999999999994</v>
      </c>
      <c r="Q246" s="5">
        <v>0</v>
      </c>
      <c r="R246" s="5"/>
      <c r="S246" s="5">
        <f t="shared" si="11"/>
        <v>5898.82</v>
      </c>
      <c r="T246" s="1" t="s">
        <v>618</v>
      </c>
      <c r="U246" s="1" t="s">
        <v>20</v>
      </c>
      <c r="V246" s="1" t="s">
        <v>622</v>
      </c>
      <c r="W246" s="1">
        <v>1201</v>
      </c>
      <c r="X246" s="1"/>
      <c r="Y246" s="1"/>
      <c r="Z246" s="21" t="s">
        <v>252</v>
      </c>
      <c r="AA246" s="8"/>
      <c r="AB246" s="8"/>
      <c r="AC246" s="22"/>
      <c r="AD246" s="1"/>
      <c r="AE246" s="23" t="s">
        <v>621</v>
      </c>
      <c r="AF246" s="6">
        <v>45642</v>
      </c>
      <c r="AG246" s="50"/>
    </row>
    <row r="247" spans="1:33" s="51" customFormat="1" ht="30" x14ac:dyDescent="0.25">
      <c r="A247" s="4"/>
      <c r="B247" s="4">
        <v>45650</v>
      </c>
      <c r="C247" s="6" t="s">
        <v>54</v>
      </c>
      <c r="D247" s="224" t="s">
        <v>3500</v>
      </c>
      <c r="E247" s="6" t="s">
        <v>1952</v>
      </c>
      <c r="F247" s="234" t="s">
        <v>623</v>
      </c>
      <c r="G247" s="1" t="s">
        <v>624</v>
      </c>
      <c r="H247" s="8">
        <v>1</v>
      </c>
      <c r="I247" s="8"/>
      <c r="J247" s="115">
        <f>Table224[[#This Row],[Qty]]-Table224[[#This Row],[Issue Qty]]</f>
        <v>1</v>
      </c>
      <c r="K247" s="195"/>
      <c r="L247" s="195" t="s">
        <v>3480</v>
      </c>
      <c r="M247" s="5">
        <v>5931.36</v>
      </c>
      <c r="N247" s="5">
        <f t="shared" si="13"/>
        <v>5931.36</v>
      </c>
      <c r="O247" s="82">
        <v>0.18</v>
      </c>
      <c r="P247" s="9">
        <f t="shared" si="10"/>
        <v>1067.6447999999998</v>
      </c>
      <c r="Q247" s="5">
        <v>0</v>
      </c>
      <c r="R247" s="5"/>
      <c r="S247" s="5">
        <f t="shared" si="11"/>
        <v>6999.0047999999997</v>
      </c>
      <c r="T247" s="1" t="s">
        <v>618</v>
      </c>
      <c r="U247" s="1" t="s">
        <v>20</v>
      </c>
      <c r="V247" s="1" t="s">
        <v>625</v>
      </c>
      <c r="W247" s="1" t="s">
        <v>1953</v>
      </c>
      <c r="X247" s="1"/>
      <c r="Y247" s="1"/>
      <c r="Z247" s="21" t="s">
        <v>252</v>
      </c>
      <c r="AA247" s="8"/>
      <c r="AB247" s="8"/>
      <c r="AC247" s="22"/>
      <c r="AD247" s="1"/>
      <c r="AE247" s="23" t="s">
        <v>624</v>
      </c>
      <c r="AF247" s="6">
        <v>45650</v>
      </c>
      <c r="AG247" s="50"/>
    </row>
    <row r="248" spans="1:33" s="51" customFormat="1" ht="30" x14ac:dyDescent="0.25">
      <c r="A248" s="4"/>
      <c r="B248" s="4">
        <v>45650</v>
      </c>
      <c r="C248" s="6" t="s">
        <v>54</v>
      </c>
      <c r="D248" s="224" t="s">
        <v>3500</v>
      </c>
      <c r="E248" s="6" t="s">
        <v>1954</v>
      </c>
      <c r="F248" s="234" t="s">
        <v>626</v>
      </c>
      <c r="G248" s="1" t="s">
        <v>627</v>
      </c>
      <c r="H248" s="8">
        <v>1</v>
      </c>
      <c r="I248" s="8"/>
      <c r="J248" s="115">
        <f>Table224[[#This Row],[Qty]]-Table224[[#This Row],[Issue Qty]]</f>
        <v>1</v>
      </c>
      <c r="K248" s="195"/>
      <c r="L248" s="195" t="s">
        <v>3480</v>
      </c>
      <c r="M248" s="5">
        <v>11609.32</v>
      </c>
      <c r="N248" s="5">
        <f t="shared" si="13"/>
        <v>11609.32</v>
      </c>
      <c r="O248" s="82">
        <v>0.18</v>
      </c>
      <c r="P248" s="9">
        <f t="shared" si="10"/>
        <v>2089.6776</v>
      </c>
      <c r="Q248" s="5">
        <v>0</v>
      </c>
      <c r="R248" s="5"/>
      <c r="S248" s="5">
        <f t="shared" si="11"/>
        <v>13698.997599999999</v>
      </c>
      <c r="T248" s="1" t="s">
        <v>618</v>
      </c>
      <c r="U248" s="1" t="s">
        <v>20</v>
      </c>
      <c r="V248" s="1" t="s">
        <v>625</v>
      </c>
      <c r="W248" s="1" t="s">
        <v>1953</v>
      </c>
      <c r="X248" s="1"/>
      <c r="Y248" s="1"/>
      <c r="Z248" s="21" t="s">
        <v>252</v>
      </c>
      <c r="AA248" s="8"/>
      <c r="AB248" s="8"/>
      <c r="AC248" s="22"/>
      <c r="AD248" s="1"/>
      <c r="AE248" s="23" t="s">
        <v>627</v>
      </c>
      <c r="AF248" s="6">
        <v>45650</v>
      </c>
      <c r="AG248" s="50"/>
    </row>
    <row r="249" spans="1:33" s="51" customFormat="1" x14ac:dyDescent="0.25">
      <c r="A249" s="4"/>
      <c r="B249" s="4">
        <v>45653</v>
      </c>
      <c r="C249" s="1" t="s">
        <v>1991</v>
      </c>
      <c r="D249" s="224" t="s">
        <v>3463</v>
      </c>
      <c r="E249" s="26" t="s">
        <v>1955</v>
      </c>
      <c r="F249" s="233" t="s">
        <v>628</v>
      </c>
      <c r="G249" s="1" t="s">
        <v>629</v>
      </c>
      <c r="H249" s="8">
        <v>1</v>
      </c>
      <c r="I249" s="8">
        <v>1</v>
      </c>
      <c r="J249" s="115">
        <f>Table224[[#This Row],[Qty]]-Table224[[#This Row],[Issue Qty]]</f>
        <v>0</v>
      </c>
      <c r="K249" s="195"/>
      <c r="L249" s="195" t="s">
        <v>3480</v>
      </c>
      <c r="M249" s="5">
        <v>35939.14</v>
      </c>
      <c r="N249" s="5">
        <f t="shared" si="13"/>
        <v>35939.14</v>
      </c>
      <c r="O249" s="82">
        <v>0</v>
      </c>
      <c r="P249" s="9">
        <f t="shared" si="10"/>
        <v>0</v>
      </c>
      <c r="Q249" s="5">
        <v>0</v>
      </c>
      <c r="R249" s="5"/>
      <c r="S249" s="5">
        <f t="shared" si="11"/>
        <v>35939.14</v>
      </c>
      <c r="T249" s="1" t="s">
        <v>615</v>
      </c>
      <c r="U249" s="1" t="s">
        <v>331</v>
      </c>
      <c r="V249" s="1" t="s">
        <v>630</v>
      </c>
      <c r="W249" s="1" t="s">
        <v>1956</v>
      </c>
      <c r="X249" s="1"/>
      <c r="Y249" s="1"/>
      <c r="Z249" s="21" t="s">
        <v>89</v>
      </c>
      <c r="AA249" s="21" t="s">
        <v>631</v>
      </c>
      <c r="AB249" s="8">
        <v>1</v>
      </c>
      <c r="AC249" s="22" t="s">
        <v>3852</v>
      </c>
      <c r="AD249" s="1"/>
      <c r="AE249" s="23"/>
      <c r="AF249" s="6">
        <v>45593</v>
      </c>
      <c r="AG249" s="207"/>
    </row>
    <row r="250" spans="1:33" s="51" customFormat="1" x14ac:dyDescent="0.25">
      <c r="A250" s="4">
        <v>46022</v>
      </c>
      <c r="B250" s="4">
        <v>45659</v>
      </c>
      <c r="C250" s="1" t="s">
        <v>1991</v>
      </c>
      <c r="D250" s="224" t="s">
        <v>3509</v>
      </c>
      <c r="E250" s="6" t="s">
        <v>1957</v>
      </c>
      <c r="F250" s="102" t="s">
        <v>632</v>
      </c>
      <c r="G250" s="1" t="s">
        <v>632</v>
      </c>
      <c r="H250" s="8">
        <v>6</v>
      </c>
      <c r="I250" s="8">
        <v>0</v>
      </c>
      <c r="J250" s="115">
        <f>Table224[[#This Row],[Qty]]-Table224[[#This Row],[Issue Qty]]</f>
        <v>6</v>
      </c>
      <c r="K250" s="195"/>
      <c r="L250" s="195" t="s">
        <v>3480</v>
      </c>
      <c r="M250" s="5">
        <v>173.73</v>
      </c>
      <c r="N250" s="5">
        <f t="shared" si="13"/>
        <v>1042.3799999999999</v>
      </c>
      <c r="O250" s="82">
        <v>0.18</v>
      </c>
      <c r="P250" s="9">
        <f t="shared" si="10"/>
        <v>187.62839999999997</v>
      </c>
      <c r="Q250" s="5">
        <v>99</v>
      </c>
      <c r="R250" s="5"/>
      <c r="S250" s="5">
        <f t="shared" si="11"/>
        <v>1329.0083999999999</v>
      </c>
      <c r="T250" s="1" t="s">
        <v>2887</v>
      </c>
      <c r="U250" s="1" t="s">
        <v>633</v>
      </c>
      <c r="V250" s="1" t="s">
        <v>634</v>
      </c>
      <c r="W250" s="1" t="s">
        <v>1958</v>
      </c>
      <c r="X250" s="1">
        <v>85365090</v>
      </c>
      <c r="Y250" s="2"/>
      <c r="Z250" s="21" t="s">
        <v>78</v>
      </c>
      <c r="AA250" s="21"/>
      <c r="AB250" s="21"/>
      <c r="AC250" s="12"/>
      <c r="AD250" s="2" t="s">
        <v>3741</v>
      </c>
      <c r="AE250" s="23"/>
      <c r="AF250" s="1"/>
      <c r="AG250" s="207"/>
    </row>
    <row r="251" spans="1:33" s="208" customFormat="1" x14ac:dyDescent="0.25">
      <c r="A251" s="4"/>
      <c r="B251" s="4">
        <v>45664</v>
      </c>
      <c r="C251" s="6" t="s">
        <v>1683</v>
      </c>
      <c r="D251" s="224" t="s">
        <v>1663</v>
      </c>
      <c r="E251" s="6" t="s">
        <v>1959</v>
      </c>
      <c r="F251" s="234" t="s">
        <v>635</v>
      </c>
      <c r="G251" s="1" t="s">
        <v>636</v>
      </c>
      <c r="H251" s="8">
        <v>2</v>
      </c>
      <c r="I251" s="8">
        <v>2</v>
      </c>
      <c r="J251" s="115">
        <f>Table224[[#This Row],[Qty]]-Table224[[#This Row],[Issue Qty]]</f>
        <v>0</v>
      </c>
      <c r="K251" s="195"/>
      <c r="L251" s="195" t="s">
        <v>3480</v>
      </c>
      <c r="M251" s="5">
        <v>516.1</v>
      </c>
      <c r="N251" s="5">
        <f t="shared" si="13"/>
        <v>1032.2</v>
      </c>
      <c r="O251" s="82">
        <v>0.18</v>
      </c>
      <c r="P251" s="9">
        <f t="shared" si="10"/>
        <v>185.79599999999999</v>
      </c>
      <c r="Q251" s="5">
        <v>0</v>
      </c>
      <c r="R251" s="5"/>
      <c r="S251" s="5">
        <f t="shared" si="11"/>
        <v>1217.9960000000001</v>
      </c>
      <c r="T251" s="1" t="s">
        <v>637</v>
      </c>
      <c r="U251" s="1" t="s">
        <v>20</v>
      </c>
      <c r="V251" s="1" t="s">
        <v>243</v>
      </c>
      <c r="W251" s="1"/>
      <c r="X251" s="1"/>
      <c r="Y251" s="1"/>
      <c r="Z251" s="21" t="s">
        <v>638</v>
      </c>
      <c r="AA251" s="21" t="s">
        <v>1960</v>
      </c>
      <c r="AB251" s="8">
        <v>2</v>
      </c>
      <c r="AC251" s="22" t="s">
        <v>81</v>
      </c>
      <c r="AD251" s="1"/>
      <c r="AE251" s="23" t="s">
        <v>639</v>
      </c>
      <c r="AF251" s="6"/>
      <c r="AG251" s="207"/>
    </row>
    <row r="252" spans="1:33" s="208" customFormat="1" x14ac:dyDescent="0.25">
      <c r="A252" s="4"/>
      <c r="B252" s="4">
        <v>45675</v>
      </c>
      <c r="C252" s="6" t="s">
        <v>1730</v>
      </c>
      <c r="D252" s="224" t="s">
        <v>3487</v>
      </c>
      <c r="E252" s="26" t="s">
        <v>1961</v>
      </c>
      <c r="F252" s="233" t="s">
        <v>640</v>
      </c>
      <c r="G252" s="1" t="s">
        <v>641</v>
      </c>
      <c r="H252" s="8">
        <v>20</v>
      </c>
      <c r="I252" s="8">
        <v>20</v>
      </c>
      <c r="J252" s="115">
        <f>Table224[[#This Row],[Qty]]-Table224[[#This Row],[Issue Qty]]</f>
        <v>0</v>
      </c>
      <c r="K252" s="195"/>
      <c r="L252" s="195" t="s">
        <v>3480</v>
      </c>
      <c r="M252" s="5">
        <v>9.74</v>
      </c>
      <c r="N252" s="5">
        <f t="shared" si="13"/>
        <v>194.8</v>
      </c>
      <c r="O252" s="82">
        <v>0.18</v>
      </c>
      <c r="P252" s="9">
        <f t="shared" si="10"/>
        <v>35.064</v>
      </c>
      <c r="Q252" s="5">
        <v>0</v>
      </c>
      <c r="R252" s="5"/>
      <c r="S252" s="5">
        <f t="shared" si="11"/>
        <v>229.864</v>
      </c>
      <c r="T252" s="1" t="s">
        <v>637</v>
      </c>
      <c r="U252" s="1" t="s">
        <v>20</v>
      </c>
      <c r="V252" s="1" t="s">
        <v>642</v>
      </c>
      <c r="W252" s="1"/>
      <c r="X252" s="6"/>
      <c r="Y252" s="2"/>
      <c r="Z252" s="21" t="s">
        <v>22</v>
      </c>
      <c r="AA252" s="21"/>
      <c r="AB252" s="21">
        <v>20</v>
      </c>
      <c r="AC252" s="12" t="s">
        <v>81</v>
      </c>
      <c r="AD252" s="2"/>
      <c r="AE252" s="23"/>
      <c r="AF252" s="2"/>
      <c r="AG252" s="207"/>
    </row>
    <row r="253" spans="1:33" s="208" customFormat="1" x14ac:dyDescent="0.25">
      <c r="A253" s="4"/>
      <c r="B253" s="4">
        <v>45675</v>
      </c>
      <c r="C253" s="6" t="s">
        <v>1730</v>
      </c>
      <c r="D253" s="224" t="s">
        <v>3487</v>
      </c>
      <c r="E253" s="26" t="s">
        <v>1962</v>
      </c>
      <c r="F253" s="233" t="s">
        <v>643</v>
      </c>
      <c r="G253" s="1" t="s">
        <v>643</v>
      </c>
      <c r="H253" s="8">
        <f>100-12</f>
        <v>88</v>
      </c>
      <c r="I253" s="8">
        <v>40</v>
      </c>
      <c r="J253" s="115">
        <f>Table224[[#This Row],[Qty]]-Table224[[#This Row],[Issue Qty]]</f>
        <v>48</v>
      </c>
      <c r="K253" s="195"/>
      <c r="L253" s="195" t="s">
        <v>3480</v>
      </c>
      <c r="M253" s="5">
        <v>6.12</v>
      </c>
      <c r="N253" s="5">
        <f t="shared" si="13"/>
        <v>538.56000000000006</v>
      </c>
      <c r="O253" s="82">
        <v>0.18</v>
      </c>
      <c r="P253" s="9">
        <f t="shared" si="10"/>
        <v>96.94080000000001</v>
      </c>
      <c r="Q253" s="5">
        <v>0</v>
      </c>
      <c r="R253" s="5"/>
      <c r="S253" s="5">
        <f t="shared" si="11"/>
        <v>635.50080000000003</v>
      </c>
      <c r="T253" s="1" t="s">
        <v>637</v>
      </c>
      <c r="U253" s="1" t="s">
        <v>20</v>
      </c>
      <c r="V253" s="1" t="s">
        <v>642</v>
      </c>
      <c r="W253" s="1"/>
      <c r="X253" s="6"/>
      <c r="Y253" s="2"/>
      <c r="Z253" s="21" t="s">
        <v>573</v>
      </c>
      <c r="AA253" s="21" t="s">
        <v>1963</v>
      </c>
      <c r="AB253" s="21">
        <v>40</v>
      </c>
      <c r="AC253" s="12" t="s">
        <v>81</v>
      </c>
      <c r="AD253" s="2"/>
      <c r="AE253" s="23"/>
      <c r="AF253" s="2"/>
      <c r="AG253" s="207"/>
    </row>
    <row r="254" spans="1:33" s="208" customFormat="1" x14ac:dyDescent="0.25">
      <c r="A254" s="4"/>
      <c r="B254" s="4">
        <v>45679</v>
      </c>
      <c r="C254" s="1" t="s">
        <v>1991</v>
      </c>
      <c r="D254" s="224" t="s">
        <v>3502</v>
      </c>
      <c r="E254" s="26" t="s">
        <v>1969</v>
      </c>
      <c r="F254" s="233" t="s">
        <v>649</v>
      </c>
      <c r="G254" s="1" t="s">
        <v>649</v>
      </c>
      <c r="H254" s="8">
        <v>2</v>
      </c>
      <c r="I254" s="8"/>
      <c r="J254" s="115">
        <f>Table224[[#This Row],[Qty]]-Table224[[#This Row],[Issue Qty]]</f>
        <v>2</v>
      </c>
      <c r="K254" s="195"/>
      <c r="L254" s="195" t="s">
        <v>3480</v>
      </c>
      <c r="M254" s="5">
        <v>203.39</v>
      </c>
      <c r="N254" s="5">
        <f t="shared" si="13"/>
        <v>406.78</v>
      </c>
      <c r="O254" s="82">
        <v>0.18</v>
      </c>
      <c r="P254" s="9">
        <f t="shared" si="10"/>
        <v>73.220399999999998</v>
      </c>
      <c r="Q254" s="5">
        <v>8.56</v>
      </c>
      <c r="R254" s="5"/>
      <c r="S254" s="5">
        <f t="shared" si="11"/>
        <v>488.56039999999996</v>
      </c>
      <c r="T254" s="1" t="s">
        <v>637</v>
      </c>
      <c r="U254" s="1" t="s">
        <v>20</v>
      </c>
      <c r="V254" s="1" t="s">
        <v>243</v>
      </c>
      <c r="W254" s="1"/>
      <c r="X254" s="1"/>
      <c r="Y254" s="1"/>
      <c r="Z254" s="8" t="s">
        <v>650</v>
      </c>
      <c r="AA254" s="21" t="s">
        <v>3617</v>
      </c>
      <c r="AB254" s="8"/>
      <c r="AC254" s="12"/>
      <c r="AD254" s="1"/>
      <c r="AE254" s="23"/>
      <c r="AF254" s="6"/>
      <c r="AG254" s="50"/>
    </row>
    <row r="255" spans="1:33" s="208" customFormat="1" ht="30" x14ac:dyDescent="0.25">
      <c r="A255" s="4"/>
      <c r="B255" s="4">
        <v>45679</v>
      </c>
      <c r="C255" s="1" t="s">
        <v>1991</v>
      </c>
      <c r="D255" s="224" t="s">
        <v>3498</v>
      </c>
      <c r="E255" s="26" t="s">
        <v>1970</v>
      </c>
      <c r="F255" s="233" t="s">
        <v>652</v>
      </c>
      <c r="G255" s="1" t="s">
        <v>653</v>
      </c>
      <c r="H255" s="8">
        <v>2</v>
      </c>
      <c r="I255" s="8">
        <v>2</v>
      </c>
      <c r="J255" s="115">
        <f>Table224[[#This Row],[Qty]]-Table224[[#This Row],[Issue Qty]]</f>
        <v>0</v>
      </c>
      <c r="K255" s="195"/>
      <c r="L255" s="195" t="s">
        <v>3480</v>
      </c>
      <c r="M255" s="5">
        <v>114.405</v>
      </c>
      <c r="N255" s="5">
        <f t="shared" si="13"/>
        <v>228.81</v>
      </c>
      <c r="O255" s="82">
        <v>0.18</v>
      </c>
      <c r="P255" s="9">
        <f t="shared" si="10"/>
        <v>41.1858</v>
      </c>
      <c r="Q255" s="5">
        <v>8.56</v>
      </c>
      <c r="R255" s="5"/>
      <c r="S255" s="5">
        <f t="shared" si="11"/>
        <v>278.55580000000003</v>
      </c>
      <c r="T255" s="1" t="s">
        <v>637</v>
      </c>
      <c r="U255" s="1" t="s">
        <v>20</v>
      </c>
      <c r="V255" s="1" t="s">
        <v>243</v>
      </c>
      <c r="W255" s="1"/>
      <c r="X255" s="6"/>
      <c r="Y255" s="2"/>
      <c r="Z255" s="8" t="s">
        <v>650</v>
      </c>
      <c r="AA255" s="21" t="s">
        <v>3617</v>
      </c>
      <c r="AB255" s="21">
        <v>2</v>
      </c>
      <c r="AC255" s="12" t="s">
        <v>81</v>
      </c>
      <c r="AD255" s="2"/>
      <c r="AE255" s="23"/>
      <c r="AF255" s="2"/>
      <c r="AG255" s="50"/>
    </row>
    <row r="256" spans="1:33" s="208" customFormat="1" ht="30" x14ac:dyDescent="0.25">
      <c r="A256" s="4"/>
      <c r="B256" s="4">
        <v>45679</v>
      </c>
      <c r="C256" s="1" t="s">
        <v>1991</v>
      </c>
      <c r="D256" s="224" t="s">
        <v>3687</v>
      </c>
      <c r="E256" s="26" t="s">
        <v>1971</v>
      </c>
      <c r="F256" s="236" t="s">
        <v>654</v>
      </c>
      <c r="G256" s="1" t="s">
        <v>655</v>
      </c>
      <c r="H256" s="8">
        <v>2</v>
      </c>
      <c r="I256" s="8">
        <v>2</v>
      </c>
      <c r="J256" s="115">
        <f>Table224[[#This Row],[Qty]]-Table224[[#This Row],[Issue Qty]]</f>
        <v>0</v>
      </c>
      <c r="K256" s="332">
        <v>2</v>
      </c>
      <c r="L256" s="195" t="s">
        <v>3479</v>
      </c>
      <c r="M256" s="5">
        <v>57.145000000000003</v>
      </c>
      <c r="N256" s="5">
        <f t="shared" si="13"/>
        <v>114.29</v>
      </c>
      <c r="O256" s="82">
        <v>0.05</v>
      </c>
      <c r="P256" s="9">
        <f t="shared" si="10"/>
        <v>5.714500000000001</v>
      </c>
      <c r="Q256" s="5">
        <v>8.56</v>
      </c>
      <c r="R256" s="5"/>
      <c r="S256" s="5">
        <f t="shared" si="11"/>
        <v>128.56450000000001</v>
      </c>
      <c r="T256" s="1" t="s">
        <v>637</v>
      </c>
      <c r="U256" s="1" t="s">
        <v>20</v>
      </c>
      <c r="V256" s="1" t="s">
        <v>243</v>
      </c>
      <c r="W256" s="1"/>
      <c r="X256" s="6"/>
      <c r="Y256" s="2"/>
      <c r="Z256" s="21"/>
      <c r="AA256" s="21"/>
      <c r="AB256" s="21">
        <v>2</v>
      </c>
      <c r="AC256" s="22" t="s">
        <v>3743</v>
      </c>
      <c r="AD256" s="2"/>
      <c r="AE256" s="23"/>
      <c r="AF256" s="2"/>
      <c r="AG256" s="50"/>
    </row>
    <row r="257" spans="1:33" s="51" customFormat="1" ht="30" x14ac:dyDescent="0.25">
      <c r="A257" s="4"/>
      <c r="B257" s="4">
        <v>45679</v>
      </c>
      <c r="C257" s="6" t="s">
        <v>1683</v>
      </c>
      <c r="D257" s="224" t="s">
        <v>3429</v>
      </c>
      <c r="E257" s="26" t="s">
        <v>1972</v>
      </c>
      <c r="F257" s="233" t="s">
        <v>657</v>
      </c>
      <c r="G257" s="1" t="s">
        <v>658</v>
      </c>
      <c r="H257" s="8">
        <v>2</v>
      </c>
      <c r="I257" s="8">
        <v>0</v>
      </c>
      <c r="J257" s="115">
        <f>Table224[[#This Row],[Qty]]-Table224[[#This Row],[Issue Qty]]</f>
        <v>2</v>
      </c>
      <c r="K257" s="195"/>
      <c r="L257" s="195" t="s">
        <v>3486</v>
      </c>
      <c r="M257" s="5">
        <v>195.24</v>
      </c>
      <c r="N257" s="5">
        <f t="shared" si="13"/>
        <v>390.48</v>
      </c>
      <c r="O257" s="82">
        <v>0.05</v>
      </c>
      <c r="P257" s="9">
        <f t="shared" si="10"/>
        <v>19.524000000000001</v>
      </c>
      <c r="Q257" s="5">
        <v>8.56</v>
      </c>
      <c r="R257" s="5"/>
      <c r="S257" s="5">
        <f t="shared" si="11"/>
        <v>418.56400000000002</v>
      </c>
      <c r="T257" s="1" t="s">
        <v>637</v>
      </c>
      <c r="U257" s="1" t="s">
        <v>20</v>
      </c>
      <c r="V257" s="1" t="s">
        <v>243</v>
      </c>
      <c r="W257" s="1"/>
      <c r="X257" s="1"/>
      <c r="Y257" s="1"/>
      <c r="Z257" s="8" t="s">
        <v>573</v>
      </c>
      <c r="AA257" s="8" t="s">
        <v>1963</v>
      </c>
      <c r="AB257" s="8">
        <v>2</v>
      </c>
      <c r="AC257" s="22" t="s">
        <v>656</v>
      </c>
      <c r="AD257" s="1"/>
      <c r="AE257" s="23"/>
      <c r="AF257" s="6"/>
      <c r="AG257" s="50"/>
    </row>
    <row r="258" spans="1:33" s="51" customFormat="1" x14ac:dyDescent="0.25">
      <c r="A258" s="4"/>
      <c r="B258" s="4">
        <v>45679</v>
      </c>
      <c r="C258" s="1" t="s">
        <v>1991</v>
      </c>
      <c r="D258" s="224" t="s">
        <v>3502</v>
      </c>
      <c r="E258" s="26" t="s">
        <v>1973</v>
      </c>
      <c r="F258" s="233" t="s">
        <v>659</v>
      </c>
      <c r="G258" s="1" t="s">
        <v>659</v>
      </c>
      <c r="H258" s="8">
        <v>2</v>
      </c>
      <c r="I258" s="8">
        <v>2</v>
      </c>
      <c r="J258" s="115">
        <f>Table224[[#This Row],[Qty]]-Table224[[#This Row],[Issue Qty]]</f>
        <v>0</v>
      </c>
      <c r="K258" s="195"/>
      <c r="L258" s="195" t="s">
        <v>3480</v>
      </c>
      <c r="M258" s="5">
        <v>83.9</v>
      </c>
      <c r="N258" s="5">
        <f t="shared" si="13"/>
        <v>167.8</v>
      </c>
      <c r="O258" s="82">
        <v>0.18</v>
      </c>
      <c r="P258" s="9">
        <f t="shared" si="10"/>
        <v>30.204000000000001</v>
      </c>
      <c r="Q258" s="5">
        <v>8.56</v>
      </c>
      <c r="R258" s="5"/>
      <c r="S258" s="5">
        <f t="shared" si="11"/>
        <v>206.56400000000002</v>
      </c>
      <c r="T258" s="1" t="s">
        <v>637</v>
      </c>
      <c r="U258" s="1" t="s">
        <v>20</v>
      </c>
      <c r="V258" s="1" t="s">
        <v>243</v>
      </c>
      <c r="W258" s="1"/>
      <c r="X258" s="1"/>
      <c r="Y258" s="1"/>
      <c r="Z258" s="8"/>
      <c r="AA258" s="21"/>
      <c r="AB258" s="8">
        <v>2</v>
      </c>
      <c r="AC258" s="12" t="s">
        <v>81</v>
      </c>
      <c r="AD258" s="1"/>
      <c r="AE258" s="23"/>
      <c r="AF258" s="6"/>
      <c r="AG258" s="50"/>
    </row>
    <row r="259" spans="1:33" s="51" customFormat="1" ht="30" x14ac:dyDescent="0.25">
      <c r="A259" s="4"/>
      <c r="B259" s="4">
        <v>45679</v>
      </c>
      <c r="C259" s="1" t="s">
        <v>1991</v>
      </c>
      <c r="D259" s="224" t="s">
        <v>3463</v>
      </c>
      <c r="E259" s="6" t="s">
        <v>1974</v>
      </c>
      <c r="F259" s="234" t="s">
        <v>660</v>
      </c>
      <c r="G259" s="1" t="s">
        <v>661</v>
      </c>
      <c r="H259" s="8">
        <v>2</v>
      </c>
      <c r="I259" s="8"/>
      <c r="J259" s="115">
        <f>Table224[[#This Row],[Qty]]-Table224[[#This Row],[Issue Qty]]</f>
        <v>2</v>
      </c>
      <c r="K259" s="195"/>
      <c r="L259" s="195" t="s">
        <v>3480</v>
      </c>
      <c r="M259" s="5">
        <v>21.184999999999999</v>
      </c>
      <c r="N259" s="5">
        <f t="shared" si="13"/>
        <v>42.37</v>
      </c>
      <c r="O259" s="82">
        <v>0.18</v>
      </c>
      <c r="P259" s="9">
        <f t="shared" ref="P259:P292" si="14">N259*O259</f>
        <v>7.6265999999999989</v>
      </c>
      <c r="Q259" s="5">
        <v>8.56</v>
      </c>
      <c r="R259" s="5"/>
      <c r="S259" s="5">
        <f t="shared" ref="S259:S292" si="15">N259+P259+Q259+R259</f>
        <v>58.556599999999996</v>
      </c>
      <c r="T259" s="1" t="s">
        <v>637</v>
      </c>
      <c r="U259" s="1" t="s">
        <v>20</v>
      </c>
      <c r="V259" s="1" t="s">
        <v>243</v>
      </c>
      <c r="W259" s="1"/>
      <c r="X259" s="1"/>
      <c r="Y259" s="1"/>
      <c r="Z259" s="8" t="s">
        <v>650</v>
      </c>
      <c r="AA259" s="21" t="s">
        <v>3617</v>
      </c>
      <c r="AB259" s="8"/>
      <c r="AC259" s="22"/>
      <c r="AD259" s="1" t="s">
        <v>3621</v>
      </c>
      <c r="AE259" s="23" t="s">
        <v>662</v>
      </c>
      <c r="AF259" s="6"/>
      <c r="AG259" s="50"/>
    </row>
    <row r="260" spans="1:33" s="51" customFormat="1" x14ac:dyDescent="0.25">
      <c r="A260" s="4"/>
      <c r="B260" s="4">
        <v>45679</v>
      </c>
      <c r="C260" s="6" t="s">
        <v>1683</v>
      </c>
      <c r="D260" s="224" t="s">
        <v>1663</v>
      </c>
      <c r="E260" s="6" t="s">
        <v>1959</v>
      </c>
      <c r="F260" s="234" t="s">
        <v>635</v>
      </c>
      <c r="G260" s="1" t="s">
        <v>636</v>
      </c>
      <c r="H260" s="8">
        <v>2</v>
      </c>
      <c r="I260" s="8"/>
      <c r="J260" s="115">
        <f>Table224[[#This Row],[Qty]]-Table224[[#This Row],[Issue Qty]]</f>
        <v>2</v>
      </c>
      <c r="K260" s="195"/>
      <c r="L260" s="195" t="s">
        <v>3480</v>
      </c>
      <c r="M260" s="5">
        <v>500</v>
      </c>
      <c r="N260" s="5">
        <f t="shared" si="13"/>
        <v>1000</v>
      </c>
      <c r="O260" s="82">
        <v>0.18</v>
      </c>
      <c r="P260" s="9">
        <f t="shared" si="14"/>
        <v>180</v>
      </c>
      <c r="Q260" s="5">
        <v>8.56</v>
      </c>
      <c r="R260" s="5"/>
      <c r="S260" s="5">
        <f t="shared" si="15"/>
        <v>1188.56</v>
      </c>
      <c r="T260" s="1" t="s">
        <v>637</v>
      </c>
      <c r="U260" s="1" t="s">
        <v>20</v>
      </c>
      <c r="V260" s="1" t="s">
        <v>243</v>
      </c>
      <c r="W260" s="1"/>
      <c r="X260" s="1"/>
      <c r="Y260" s="1"/>
      <c r="Z260" s="21" t="s">
        <v>638</v>
      </c>
      <c r="AA260" s="21" t="s">
        <v>1960</v>
      </c>
      <c r="AB260" s="8"/>
      <c r="AC260" s="22"/>
      <c r="AD260" s="1"/>
      <c r="AE260" s="23" t="s">
        <v>639</v>
      </c>
      <c r="AF260" s="6"/>
      <c r="AG260" s="50"/>
    </row>
    <row r="261" spans="1:33" s="51" customFormat="1" x14ac:dyDescent="0.25">
      <c r="A261" s="4"/>
      <c r="B261" s="4">
        <v>45679</v>
      </c>
      <c r="C261" s="1" t="s">
        <v>1991</v>
      </c>
      <c r="D261" s="224" t="s">
        <v>3555</v>
      </c>
      <c r="E261" s="26" t="s">
        <v>1975</v>
      </c>
      <c r="F261" s="233" t="s">
        <v>663</v>
      </c>
      <c r="G261" s="1" t="s">
        <v>664</v>
      </c>
      <c r="H261" s="8">
        <v>2</v>
      </c>
      <c r="I261" s="8"/>
      <c r="J261" s="115">
        <f>Table224[[#This Row],[Qty]]-Table224[[#This Row],[Issue Qty]]</f>
        <v>2</v>
      </c>
      <c r="K261" s="195"/>
      <c r="L261" s="195" t="s">
        <v>3480</v>
      </c>
      <c r="M261" s="5">
        <v>283.89999999999998</v>
      </c>
      <c r="N261" s="5">
        <f t="shared" si="13"/>
        <v>567.79999999999995</v>
      </c>
      <c r="O261" s="82">
        <v>0.18</v>
      </c>
      <c r="P261" s="9">
        <f t="shared" si="14"/>
        <v>102.20399999999999</v>
      </c>
      <c r="Q261" s="5">
        <v>8.56</v>
      </c>
      <c r="R261" s="5"/>
      <c r="S261" s="5">
        <f t="shared" si="15"/>
        <v>678.56399999999985</v>
      </c>
      <c r="T261" s="1" t="s">
        <v>637</v>
      </c>
      <c r="U261" s="1" t="s">
        <v>20</v>
      </c>
      <c r="V261" s="1" t="s">
        <v>243</v>
      </c>
      <c r="W261" s="1"/>
      <c r="X261" s="6"/>
      <c r="Y261" s="2"/>
      <c r="Z261" s="8" t="s">
        <v>650</v>
      </c>
      <c r="AA261" s="21" t="s">
        <v>3617</v>
      </c>
      <c r="AB261" s="21"/>
      <c r="AC261" s="12"/>
      <c r="AD261" s="2" t="s">
        <v>3621</v>
      </c>
      <c r="AE261" s="23"/>
      <c r="AF261" s="2"/>
      <c r="AG261" s="50"/>
    </row>
    <row r="262" spans="1:33" s="51" customFormat="1" x14ac:dyDescent="0.25">
      <c r="A262" s="4"/>
      <c r="B262" s="4">
        <v>45679</v>
      </c>
      <c r="C262" s="1" t="s">
        <v>1991</v>
      </c>
      <c r="D262" s="224" t="s">
        <v>3555</v>
      </c>
      <c r="E262" s="26" t="s">
        <v>1976</v>
      </c>
      <c r="F262" s="236" t="s">
        <v>665</v>
      </c>
      <c r="G262" s="1" t="s">
        <v>665</v>
      </c>
      <c r="H262" s="8">
        <v>2</v>
      </c>
      <c r="I262" s="8">
        <v>1</v>
      </c>
      <c r="J262" s="115">
        <f>Table224[[#This Row],[Qty]]-Table224[[#This Row],[Issue Qty]]</f>
        <v>1</v>
      </c>
      <c r="K262" s="332">
        <v>1</v>
      </c>
      <c r="L262" s="195" t="s">
        <v>3480</v>
      </c>
      <c r="M262" s="5">
        <v>78.814999999999998</v>
      </c>
      <c r="N262" s="5">
        <f t="shared" si="13"/>
        <v>157.63</v>
      </c>
      <c r="O262" s="82">
        <v>0.18</v>
      </c>
      <c r="P262" s="9">
        <f t="shared" si="14"/>
        <v>28.373399999999997</v>
      </c>
      <c r="Q262" s="5">
        <v>8.56</v>
      </c>
      <c r="R262" s="5"/>
      <c r="S262" s="5">
        <f t="shared" si="15"/>
        <v>194.5634</v>
      </c>
      <c r="T262" s="1" t="s">
        <v>637</v>
      </c>
      <c r="U262" s="1" t="s">
        <v>20</v>
      </c>
      <c r="V262" s="1" t="s">
        <v>243</v>
      </c>
      <c r="W262" s="1"/>
      <c r="X262" s="6"/>
      <c r="Y262" s="26"/>
      <c r="Z262" s="8" t="s">
        <v>650</v>
      </c>
      <c r="AA262" s="21" t="s">
        <v>3617</v>
      </c>
      <c r="AB262" s="21">
        <v>1</v>
      </c>
      <c r="AC262" s="12" t="s">
        <v>481</v>
      </c>
      <c r="AD262" s="26"/>
      <c r="AE262" s="23"/>
      <c r="AF262" s="26"/>
      <c r="AG262" s="50"/>
    </row>
    <row r="263" spans="1:33" s="51" customFormat="1" ht="30" x14ac:dyDescent="0.25">
      <c r="A263" s="4"/>
      <c r="B263" s="4">
        <v>45679</v>
      </c>
      <c r="C263" s="1" t="s">
        <v>1991</v>
      </c>
      <c r="D263" s="224" t="s">
        <v>3463</v>
      </c>
      <c r="E263" s="6" t="s">
        <v>1977</v>
      </c>
      <c r="F263" s="234" t="s">
        <v>666</v>
      </c>
      <c r="G263" s="1" t="s">
        <v>667</v>
      </c>
      <c r="H263" s="8">
        <v>2</v>
      </c>
      <c r="I263" s="8"/>
      <c r="J263" s="115">
        <f>Table224[[#This Row],[Qty]]-Table224[[#This Row],[Issue Qty]]</f>
        <v>2</v>
      </c>
      <c r="K263" s="195"/>
      <c r="L263" s="195" t="s">
        <v>3480</v>
      </c>
      <c r="M263" s="5">
        <v>109.32</v>
      </c>
      <c r="N263" s="5">
        <f t="shared" si="13"/>
        <v>218.64</v>
      </c>
      <c r="O263" s="82">
        <v>0.18</v>
      </c>
      <c r="P263" s="9">
        <f t="shared" si="14"/>
        <v>39.355199999999996</v>
      </c>
      <c r="Q263" s="5">
        <v>8.56</v>
      </c>
      <c r="R263" s="5"/>
      <c r="S263" s="5">
        <f t="shared" si="15"/>
        <v>266.55519999999996</v>
      </c>
      <c r="T263" s="1" t="s">
        <v>637</v>
      </c>
      <c r="U263" s="1" t="s">
        <v>20</v>
      </c>
      <c r="V263" s="1" t="s">
        <v>243</v>
      </c>
      <c r="W263" s="1"/>
      <c r="X263" s="6"/>
      <c r="Y263" s="2"/>
      <c r="Z263" s="8" t="s">
        <v>650</v>
      </c>
      <c r="AA263" s="21" t="s">
        <v>3617</v>
      </c>
      <c r="AB263" s="21"/>
      <c r="AC263" s="12" t="s">
        <v>3621</v>
      </c>
      <c r="AD263" s="2"/>
      <c r="AE263" s="23" t="s">
        <v>668</v>
      </c>
      <c r="AF263" s="2"/>
      <c r="AG263" s="50"/>
    </row>
    <row r="264" spans="1:33" s="51" customFormat="1" ht="30" x14ac:dyDescent="0.25">
      <c r="A264" s="4"/>
      <c r="B264" s="4">
        <v>45679</v>
      </c>
      <c r="C264" s="1" t="s">
        <v>1991</v>
      </c>
      <c r="D264" s="224" t="s">
        <v>3463</v>
      </c>
      <c r="E264" s="26" t="s">
        <v>1978</v>
      </c>
      <c r="F264" s="233" t="s">
        <v>669</v>
      </c>
      <c r="G264" s="1" t="s">
        <v>669</v>
      </c>
      <c r="H264" s="8">
        <v>2</v>
      </c>
      <c r="I264" s="8"/>
      <c r="J264" s="115">
        <f>Table224[[#This Row],[Qty]]-Table224[[#This Row],[Issue Qty]]</f>
        <v>2</v>
      </c>
      <c r="K264" s="195"/>
      <c r="L264" s="195" t="s">
        <v>3480</v>
      </c>
      <c r="M264" s="5">
        <v>354.23500000000001</v>
      </c>
      <c r="N264" s="5">
        <f t="shared" si="13"/>
        <v>708.47</v>
      </c>
      <c r="O264" s="82">
        <v>0.18</v>
      </c>
      <c r="P264" s="9">
        <f t="shared" si="14"/>
        <v>127.52460000000001</v>
      </c>
      <c r="Q264" s="5">
        <v>8.56</v>
      </c>
      <c r="R264" s="5"/>
      <c r="S264" s="5">
        <f t="shared" si="15"/>
        <v>844.55459999999994</v>
      </c>
      <c r="T264" s="1" t="s">
        <v>637</v>
      </c>
      <c r="U264" s="1" t="s">
        <v>20</v>
      </c>
      <c r="V264" s="1" t="s">
        <v>243</v>
      </c>
      <c r="W264" s="1"/>
      <c r="X264" s="6"/>
      <c r="Y264" s="2"/>
      <c r="Z264" s="8" t="s">
        <v>650</v>
      </c>
      <c r="AA264" s="21" t="s">
        <v>3617</v>
      </c>
      <c r="AB264" s="21"/>
      <c r="AC264" s="12" t="s">
        <v>3621</v>
      </c>
      <c r="AD264" s="2"/>
      <c r="AE264" s="23"/>
      <c r="AF264" s="2"/>
      <c r="AG264" s="207"/>
    </row>
    <row r="265" spans="1:33" s="51" customFormat="1" x14ac:dyDescent="0.25">
      <c r="A265" s="4"/>
      <c r="B265" s="4">
        <v>45679</v>
      </c>
      <c r="C265" s="6" t="s">
        <v>1730</v>
      </c>
      <c r="D265" s="224" t="s">
        <v>3493</v>
      </c>
      <c r="E265" s="6" t="s">
        <v>1964</v>
      </c>
      <c r="F265" s="234" t="s">
        <v>644</v>
      </c>
      <c r="G265" s="1" t="s">
        <v>644</v>
      </c>
      <c r="H265" s="8">
        <v>2</v>
      </c>
      <c r="I265" s="8">
        <v>2</v>
      </c>
      <c r="J265" s="115">
        <f>Table224[[#This Row],[Qty]]-Table224[[#This Row],[Issue Qty]]</f>
        <v>0</v>
      </c>
      <c r="K265" s="195"/>
      <c r="L265" s="195" t="s">
        <v>3514</v>
      </c>
      <c r="M265" s="5">
        <v>5.085</v>
      </c>
      <c r="N265" s="5">
        <f t="shared" si="13"/>
        <v>10.17</v>
      </c>
      <c r="O265" s="82">
        <v>0.18</v>
      </c>
      <c r="P265" s="9">
        <f t="shared" si="14"/>
        <v>1.8306</v>
      </c>
      <c r="Q265" s="5">
        <v>8.56</v>
      </c>
      <c r="R265" s="5"/>
      <c r="S265" s="5">
        <f t="shared" si="15"/>
        <v>20.560600000000001</v>
      </c>
      <c r="T265" s="1" t="s">
        <v>637</v>
      </c>
      <c r="U265" s="1" t="s">
        <v>20</v>
      </c>
      <c r="V265" s="1" t="s">
        <v>243</v>
      </c>
      <c r="W265" s="1"/>
      <c r="X265" s="6"/>
      <c r="Y265" s="2"/>
      <c r="Z265" s="21" t="s">
        <v>833</v>
      </c>
      <c r="AA265" s="21"/>
      <c r="AB265" s="8">
        <v>2</v>
      </c>
      <c r="AC265" s="12" t="s">
        <v>81</v>
      </c>
      <c r="AD265" s="2"/>
      <c r="AE265" s="23"/>
      <c r="AF265" s="2"/>
      <c r="AG265" s="207"/>
    </row>
    <row r="266" spans="1:33" s="51" customFormat="1" x14ac:dyDescent="0.25">
      <c r="A266" s="4"/>
      <c r="B266" s="4">
        <v>45679</v>
      </c>
      <c r="C266" s="6" t="s">
        <v>1730</v>
      </c>
      <c r="D266" s="224" t="s">
        <v>3493</v>
      </c>
      <c r="E266" s="6" t="s">
        <v>1965</v>
      </c>
      <c r="F266" s="234" t="s">
        <v>645</v>
      </c>
      <c r="G266" s="1" t="s">
        <v>645</v>
      </c>
      <c r="H266" s="8">
        <v>2</v>
      </c>
      <c r="I266" s="8">
        <v>2</v>
      </c>
      <c r="J266" s="115">
        <f>Table224[[#This Row],[Qty]]-Table224[[#This Row],[Issue Qty]]</f>
        <v>0</v>
      </c>
      <c r="K266" s="195"/>
      <c r="L266" s="195" t="s">
        <v>3514</v>
      </c>
      <c r="M266" s="5">
        <v>5.085</v>
      </c>
      <c r="N266" s="5">
        <f t="shared" si="13"/>
        <v>10.17</v>
      </c>
      <c r="O266" s="82">
        <v>0.18</v>
      </c>
      <c r="P266" s="9">
        <f t="shared" si="14"/>
        <v>1.8306</v>
      </c>
      <c r="Q266" s="5">
        <v>8.56</v>
      </c>
      <c r="R266" s="5"/>
      <c r="S266" s="5">
        <f t="shared" si="15"/>
        <v>20.560600000000001</v>
      </c>
      <c r="T266" s="1" t="s">
        <v>637</v>
      </c>
      <c r="U266" s="1" t="s">
        <v>20</v>
      </c>
      <c r="V266" s="1" t="s">
        <v>243</v>
      </c>
      <c r="W266" s="1"/>
      <c r="X266" s="6"/>
      <c r="Y266" s="2"/>
      <c r="Z266" s="21" t="s">
        <v>1345</v>
      </c>
      <c r="AA266" s="21"/>
      <c r="AB266" s="8">
        <v>2</v>
      </c>
      <c r="AC266" s="12" t="s">
        <v>81</v>
      </c>
      <c r="AD266" s="2"/>
      <c r="AE266" s="23"/>
      <c r="AF266" s="2"/>
      <c r="AG266" s="50"/>
    </row>
    <row r="267" spans="1:33" s="51" customFormat="1" x14ac:dyDescent="0.25">
      <c r="A267" s="4"/>
      <c r="B267" s="4">
        <v>45679</v>
      </c>
      <c r="C267" s="6" t="s">
        <v>1730</v>
      </c>
      <c r="D267" s="224" t="s">
        <v>3493</v>
      </c>
      <c r="E267" s="6" t="s">
        <v>1966</v>
      </c>
      <c r="F267" s="234" t="s">
        <v>646</v>
      </c>
      <c r="G267" s="1" t="s">
        <v>646</v>
      </c>
      <c r="H267" s="8">
        <v>2</v>
      </c>
      <c r="I267" s="8">
        <v>2</v>
      </c>
      <c r="J267" s="115">
        <f>Table224[[#This Row],[Qty]]-Table224[[#This Row],[Issue Qty]]</f>
        <v>0</v>
      </c>
      <c r="K267" s="195"/>
      <c r="L267" s="195" t="s">
        <v>3514</v>
      </c>
      <c r="M267" s="5">
        <v>5.085</v>
      </c>
      <c r="N267" s="5">
        <f t="shared" si="13"/>
        <v>10.17</v>
      </c>
      <c r="O267" s="82">
        <v>0.18</v>
      </c>
      <c r="P267" s="9">
        <f t="shared" si="14"/>
        <v>1.8306</v>
      </c>
      <c r="Q267" s="5">
        <v>8.56</v>
      </c>
      <c r="R267" s="5"/>
      <c r="S267" s="5">
        <f t="shared" si="15"/>
        <v>20.560600000000001</v>
      </c>
      <c r="T267" s="1" t="s">
        <v>637</v>
      </c>
      <c r="U267" s="1" t="s">
        <v>20</v>
      </c>
      <c r="V267" s="1" t="s">
        <v>243</v>
      </c>
      <c r="W267" s="1"/>
      <c r="X267" s="6"/>
      <c r="Y267" s="2"/>
      <c r="Z267" s="21" t="s">
        <v>1345</v>
      </c>
      <c r="AA267" s="21"/>
      <c r="AB267" s="8">
        <v>2</v>
      </c>
      <c r="AC267" s="12" t="s">
        <v>81</v>
      </c>
      <c r="AD267" s="2"/>
      <c r="AE267" s="23"/>
      <c r="AF267" s="2"/>
      <c r="AG267" s="50"/>
    </row>
    <row r="268" spans="1:33" s="51" customFormat="1" x14ac:dyDescent="0.25">
      <c r="A268" s="4"/>
      <c r="B268" s="4">
        <v>45679</v>
      </c>
      <c r="C268" s="6" t="s">
        <v>1730</v>
      </c>
      <c r="D268" s="224" t="s">
        <v>3493</v>
      </c>
      <c r="E268" s="6" t="s">
        <v>1967</v>
      </c>
      <c r="F268" s="234" t="s">
        <v>647</v>
      </c>
      <c r="G268" s="1" t="s">
        <v>647</v>
      </c>
      <c r="H268" s="8">
        <v>2</v>
      </c>
      <c r="I268" s="8">
        <v>2</v>
      </c>
      <c r="J268" s="115">
        <f>Table224[[#This Row],[Qty]]-Table224[[#This Row],[Issue Qty]]</f>
        <v>0</v>
      </c>
      <c r="K268" s="195"/>
      <c r="L268" s="195" t="s">
        <v>3514</v>
      </c>
      <c r="M268" s="5">
        <v>5.09</v>
      </c>
      <c r="N268" s="5">
        <f t="shared" si="13"/>
        <v>10.18</v>
      </c>
      <c r="O268" s="82">
        <v>0.18</v>
      </c>
      <c r="P268" s="9">
        <f t="shared" si="14"/>
        <v>1.8323999999999998</v>
      </c>
      <c r="Q268" s="5">
        <v>8.56</v>
      </c>
      <c r="R268" s="5"/>
      <c r="S268" s="5">
        <f t="shared" si="15"/>
        <v>20.572400000000002</v>
      </c>
      <c r="T268" s="1" t="s">
        <v>637</v>
      </c>
      <c r="U268" s="1" t="s">
        <v>20</v>
      </c>
      <c r="V268" s="1" t="s">
        <v>243</v>
      </c>
      <c r="W268" s="1"/>
      <c r="X268" s="6"/>
      <c r="Y268" s="2"/>
      <c r="Z268" s="21" t="s">
        <v>1345</v>
      </c>
      <c r="AA268" s="21"/>
      <c r="AB268" s="8">
        <v>2</v>
      </c>
      <c r="AC268" s="12" t="s">
        <v>81</v>
      </c>
      <c r="AD268" s="2"/>
      <c r="AE268" s="23"/>
      <c r="AF268" s="2"/>
      <c r="AG268" s="50"/>
    </row>
    <row r="269" spans="1:33" s="51" customFormat="1" x14ac:dyDescent="0.25">
      <c r="A269" s="4"/>
      <c r="B269" s="4">
        <v>45679</v>
      </c>
      <c r="C269" s="6" t="s">
        <v>1730</v>
      </c>
      <c r="D269" s="224" t="s">
        <v>3493</v>
      </c>
      <c r="E269" s="6" t="s">
        <v>1968</v>
      </c>
      <c r="F269" s="234" t="s">
        <v>648</v>
      </c>
      <c r="G269" s="1" t="s">
        <v>648</v>
      </c>
      <c r="H269" s="8">
        <v>2</v>
      </c>
      <c r="I269" s="8">
        <v>2</v>
      </c>
      <c r="J269" s="115">
        <f>Table224[[#This Row],[Qty]]-Table224[[#This Row],[Issue Qty]]</f>
        <v>0</v>
      </c>
      <c r="K269" s="195"/>
      <c r="L269" s="195" t="s">
        <v>3514</v>
      </c>
      <c r="M269" s="5">
        <v>5.085</v>
      </c>
      <c r="N269" s="5">
        <f t="shared" si="13"/>
        <v>10.17</v>
      </c>
      <c r="O269" s="82">
        <v>0.18</v>
      </c>
      <c r="P269" s="9">
        <f t="shared" si="14"/>
        <v>1.8306</v>
      </c>
      <c r="Q269" s="5">
        <v>8.56</v>
      </c>
      <c r="R269" s="5"/>
      <c r="S269" s="5">
        <f t="shared" si="15"/>
        <v>20.560600000000001</v>
      </c>
      <c r="T269" s="1" t="s">
        <v>637</v>
      </c>
      <c r="U269" s="1" t="s">
        <v>20</v>
      </c>
      <c r="V269" s="1" t="s">
        <v>243</v>
      </c>
      <c r="W269" s="1"/>
      <c r="X269" s="6"/>
      <c r="Y269" s="2"/>
      <c r="Z269" s="21" t="s">
        <v>1345</v>
      </c>
      <c r="AA269" s="21"/>
      <c r="AB269" s="8">
        <v>2</v>
      </c>
      <c r="AC269" s="12" t="s">
        <v>81</v>
      </c>
      <c r="AD269" s="2"/>
      <c r="AE269" s="23"/>
      <c r="AF269" s="2"/>
      <c r="AG269" s="50"/>
    </row>
    <row r="270" spans="1:33" s="51" customFormat="1" ht="30" x14ac:dyDescent="0.25">
      <c r="A270" s="4"/>
      <c r="B270" s="4">
        <v>45679</v>
      </c>
      <c r="C270" s="1" t="s">
        <v>1991</v>
      </c>
      <c r="D270" s="224" t="s">
        <v>1730</v>
      </c>
      <c r="E270" s="6" t="s">
        <v>1979</v>
      </c>
      <c r="F270" s="234" t="s">
        <v>670</v>
      </c>
      <c r="G270" s="1" t="s">
        <v>670</v>
      </c>
      <c r="H270" s="8">
        <v>2</v>
      </c>
      <c r="I270" s="8"/>
      <c r="J270" s="115">
        <f>Table224[[#This Row],[Qty]]-Table224[[#This Row],[Issue Qty]]</f>
        <v>2</v>
      </c>
      <c r="K270" s="195"/>
      <c r="L270" s="195" t="s">
        <v>3480</v>
      </c>
      <c r="M270" s="5">
        <v>237.29</v>
      </c>
      <c r="N270" s="5">
        <f t="shared" ref="N270:N292" si="16">H270*M270</f>
        <v>474.58</v>
      </c>
      <c r="O270" s="82">
        <v>0.18</v>
      </c>
      <c r="P270" s="9">
        <f t="shared" si="14"/>
        <v>85.424399999999991</v>
      </c>
      <c r="Q270" s="5">
        <v>8.56</v>
      </c>
      <c r="R270" s="5"/>
      <c r="S270" s="5">
        <f t="shared" si="15"/>
        <v>568.56439999999998</v>
      </c>
      <c r="T270" s="1" t="s">
        <v>637</v>
      </c>
      <c r="U270" s="1" t="s">
        <v>20</v>
      </c>
      <c r="V270" s="1" t="s">
        <v>243</v>
      </c>
      <c r="W270" s="1"/>
      <c r="X270" s="1"/>
      <c r="Y270" s="1"/>
      <c r="Z270" s="8" t="s">
        <v>38</v>
      </c>
      <c r="AA270" s="21" t="s">
        <v>108</v>
      </c>
      <c r="AB270" s="8"/>
      <c r="AC270" s="22"/>
      <c r="AD270" s="1"/>
      <c r="AE270" s="23" t="s">
        <v>671</v>
      </c>
      <c r="AF270" s="6"/>
      <c r="AG270" s="50"/>
    </row>
    <row r="271" spans="1:33" s="208" customFormat="1" x14ac:dyDescent="0.25">
      <c r="A271" s="4"/>
      <c r="B271" s="4">
        <v>45679</v>
      </c>
      <c r="C271" s="1" t="s">
        <v>1991</v>
      </c>
      <c r="D271" s="224" t="s">
        <v>3555</v>
      </c>
      <c r="E271" s="26" t="s">
        <v>1980</v>
      </c>
      <c r="F271" s="233" t="s">
        <v>672</v>
      </c>
      <c r="G271" s="1" t="s">
        <v>672</v>
      </c>
      <c r="H271" s="8">
        <v>1</v>
      </c>
      <c r="I271" s="8"/>
      <c r="J271" s="115">
        <f>Table224[[#This Row],[Qty]]-Table224[[#This Row],[Issue Qty]]</f>
        <v>1</v>
      </c>
      <c r="K271" s="195"/>
      <c r="L271" s="195" t="s">
        <v>3480</v>
      </c>
      <c r="M271" s="5">
        <v>1737.29</v>
      </c>
      <c r="N271" s="5">
        <f t="shared" si="16"/>
        <v>1737.29</v>
      </c>
      <c r="O271" s="82">
        <v>0.18</v>
      </c>
      <c r="P271" s="9">
        <f t="shared" si="14"/>
        <v>312.7122</v>
      </c>
      <c r="Q271" s="5">
        <v>8.56</v>
      </c>
      <c r="R271" s="5"/>
      <c r="S271" s="5">
        <f t="shared" si="15"/>
        <v>2058.5621999999998</v>
      </c>
      <c r="T271" s="1" t="s">
        <v>637</v>
      </c>
      <c r="U271" s="1" t="s">
        <v>20</v>
      </c>
      <c r="V271" s="1" t="s">
        <v>243</v>
      </c>
      <c r="W271" s="1"/>
      <c r="X271" s="1"/>
      <c r="Y271" s="1"/>
      <c r="Z271" s="8" t="s">
        <v>650</v>
      </c>
      <c r="AA271" s="21" t="s">
        <v>3617</v>
      </c>
      <c r="AB271" s="8"/>
      <c r="AC271" s="22"/>
      <c r="AD271" s="1"/>
      <c r="AE271" s="23"/>
      <c r="AF271" s="6"/>
      <c r="AG271" s="50"/>
    </row>
    <row r="272" spans="1:33" s="51" customFormat="1" ht="30" x14ac:dyDescent="0.25">
      <c r="A272" s="4"/>
      <c r="B272" s="4">
        <v>45681</v>
      </c>
      <c r="C272" s="1" t="s">
        <v>1991</v>
      </c>
      <c r="D272" s="224" t="s">
        <v>3487</v>
      </c>
      <c r="E272" s="6" t="s">
        <v>1984</v>
      </c>
      <c r="F272" s="234" t="s">
        <v>678</v>
      </c>
      <c r="G272" s="1" t="s">
        <v>678</v>
      </c>
      <c r="H272" s="8">
        <v>1</v>
      </c>
      <c r="I272" s="8">
        <v>1</v>
      </c>
      <c r="J272" s="115">
        <f>Table224[[#This Row],[Qty]]-Table224[[#This Row],[Issue Qty]]</f>
        <v>0</v>
      </c>
      <c r="K272" s="195"/>
      <c r="L272" s="195" t="s">
        <v>3486</v>
      </c>
      <c r="M272" s="5">
        <v>14</v>
      </c>
      <c r="N272" s="5">
        <f t="shared" si="16"/>
        <v>14</v>
      </c>
      <c r="O272" s="82">
        <v>0.18</v>
      </c>
      <c r="P272" s="9">
        <f t="shared" si="14"/>
        <v>2.52</v>
      </c>
      <c r="Q272" s="5">
        <v>38.35</v>
      </c>
      <c r="R272" s="5"/>
      <c r="S272" s="5">
        <f t="shared" si="15"/>
        <v>54.870000000000005</v>
      </c>
      <c r="T272" s="1" t="s">
        <v>637</v>
      </c>
      <c r="U272" s="1" t="s">
        <v>20</v>
      </c>
      <c r="V272" s="1" t="s">
        <v>564</v>
      </c>
      <c r="W272" s="1"/>
      <c r="X272" s="6"/>
      <c r="Y272" s="2"/>
      <c r="Z272" s="21" t="s">
        <v>650</v>
      </c>
      <c r="AA272" s="21" t="s">
        <v>3617</v>
      </c>
      <c r="AB272" s="21">
        <v>1</v>
      </c>
      <c r="AC272" s="12" t="s">
        <v>81</v>
      </c>
      <c r="AD272" s="2"/>
      <c r="AE272" s="23"/>
      <c r="AF272" s="2"/>
      <c r="AG272" s="50"/>
    </row>
    <row r="273" spans="1:33" s="51" customFormat="1" x14ac:dyDescent="0.25">
      <c r="A273" s="4"/>
      <c r="B273" s="4">
        <v>45681</v>
      </c>
      <c r="C273" s="1" t="s">
        <v>1991</v>
      </c>
      <c r="D273" s="224" t="s">
        <v>3487</v>
      </c>
      <c r="E273" s="6" t="s">
        <v>1985</v>
      </c>
      <c r="F273" s="234" t="s">
        <v>679</v>
      </c>
      <c r="G273" s="1" t="s">
        <v>679</v>
      </c>
      <c r="H273" s="8">
        <v>1</v>
      </c>
      <c r="I273" s="8"/>
      <c r="J273" s="115">
        <f>Table224[[#This Row],[Qty]]-Table224[[#This Row],[Issue Qty]]</f>
        <v>1</v>
      </c>
      <c r="K273" s="195"/>
      <c r="L273" s="195" t="s">
        <v>3486</v>
      </c>
      <c r="M273" s="5">
        <v>5.5</v>
      </c>
      <c r="N273" s="5">
        <f t="shared" si="16"/>
        <v>5.5</v>
      </c>
      <c r="O273" s="82">
        <v>0.18</v>
      </c>
      <c r="P273" s="9">
        <f t="shared" si="14"/>
        <v>0.99</v>
      </c>
      <c r="Q273" s="5">
        <v>38.35</v>
      </c>
      <c r="R273" s="5"/>
      <c r="S273" s="5">
        <f t="shared" si="15"/>
        <v>44.84</v>
      </c>
      <c r="T273" s="1" t="s">
        <v>637</v>
      </c>
      <c r="U273" s="1" t="s">
        <v>20</v>
      </c>
      <c r="V273" s="1" t="s">
        <v>564</v>
      </c>
      <c r="W273" s="1"/>
      <c r="X273" s="6"/>
      <c r="Y273" s="2"/>
      <c r="Z273" s="21" t="s">
        <v>650</v>
      </c>
      <c r="AA273" s="21" t="s">
        <v>3617</v>
      </c>
      <c r="AB273" s="21">
        <v>1</v>
      </c>
      <c r="AC273" s="12" t="s">
        <v>81</v>
      </c>
      <c r="AD273" s="2"/>
      <c r="AE273" s="23"/>
      <c r="AF273" s="2"/>
      <c r="AG273" s="50"/>
    </row>
    <row r="274" spans="1:33" s="51" customFormat="1" x14ac:dyDescent="0.25">
      <c r="A274" s="4"/>
      <c r="B274" s="4">
        <v>45681</v>
      </c>
      <c r="C274" s="1" t="s">
        <v>1991</v>
      </c>
      <c r="D274" s="224" t="s">
        <v>3463</v>
      </c>
      <c r="E274" s="26" t="s">
        <v>1981</v>
      </c>
      <c r="F274" s="233" t="s">
        <v>673</v>
      </c>
      <c r="G274" s="1" t="s">
        <v>673</v>
      </c>
      <c r="H274" s="8">
        <v>2</v>
      </c>
      <c r="I274" s="8"/>
      <c r="J274" s="115">
        <f>Table224[[#This Row],[Qty]]-Table224[[#This Row],[Issue Qty]]</f>
        <v>2</v>
      </c>
      <c r="K274" s="195"/>
      <c r="L274" s="195" t="s">
        <v>3480</v>
      </c>
      <c r="M274" s="5">
        <v>2990</v>
      </c>
      <c r="N274" s="5">
        <f t="shared" si="16"/>
        <v>5980</v>
      </c>
      <c r="O274" s="82">
        <v>0.18</v>
      </c>
      <c r="P274" s="9">
        <f t="shared" si="14"/>
        <v>1076.3999999999999</v>
      </c>
      <c r="Q274" s="5">
        <v>38.35</v>
      </c>
      <c r="R274" s="5"/>
      <c r="S274" s="5">
        <f t="shared" si="15"/>
        <v>7094.75</v>
      </c>
      <c r="T274" s="1" t="s">
        <v>637</v>
      </c>
      <c r="U274" s="1" t="s">
        <v>20</v>
      </c>
      <c r="V274" s="1" t="s">
        <v>564</v>
      </c>
      <c r="W274" s="1"/>
      <c r="X274" s="1"/>
      <c r="Y274" s="1"/>
      <c r="Z274" s="21" t="s">
        <v>89</v>
      </c>
      <c r="AA274" s="21" t="s">
        <v>114</v>
      </c>
      <c r="AB274" s="8"/>
      <c r="AC274" s="22"/>
      <c r="AD274" s="1"/>
      <c r="AE274" s="23"/>
      <c r="AF274" s="6"/>
      <c r="AG274" s="50"/>
    </row>
    <row r="275" spans="1:33" s="51" customFormat="1" x14ac:dyDescent="0.25">
      <c r="A275" s="4"/>
      <c r="B275" s="4">
        <v>45681</v>
      </c>
      <c r="C275" s="1" t="s">
        <v>1991</v>
      </c>
      <c r="D275" s="224" t="s">
        <v>3463</v>
      </c>
      <c r="E275" s="6" t="s">
        <v>1982</v>
      </c>
      <c r="F275" s="234" t="s">
        <v>675</v>
      </c>
      <c r="G275" s="1" t="s">
        <v>675</v>
      </c>
      <c r="H275" s="8">
        <v>2</v>
      </c>
      <c r="I275" s="8"/>
      <c r="J275" s="115">
        <f>Table224[[#This Row],[Qty]]-Table224[[#This Row],[Issue Qty]]</f>
        <v>2</v>
      </c>
      <c r="K275" s="195"/>
      <c r="L275" s="195" t="s">
        <v>3480</v>
      </c>
      <c r="M275" s="5">
        <v>168.65</v>
      </c>
      <c r="N275" s="5">
        <f t="shared" si="16"/>
        <v>337.3</v>
      </c>
      <c r="O275" s="82">
        <v>0.18</v>
      </c>
      <c r="P275" s="9">
        <f t="shared" si="14"/>
        <v>60.713999999999999</v>
      </c>
      <c r="Q275" s="5">
        <v>125</v>
      </c>
      <c r="R275" s="5"/>
      <c r="S275" s="5">
        <f t="shared" si="15"/>
        <v>523.01400000000001</v>
      </c>
      <c r="T275" s="1" t="s">
        <v>637</v>
      </c>
      <c r="U275" s="1" t="s">
        <v>20</v>
      </c>
      <c r="V275" s="1" t="s">
        <v>394</v>
      </c>
      <c r="W275" s="1"/>
      <c r="X275" s="6"/>
      <c r="Y275" s="2"/>
      <c r="Z275" s="21" t="s">
        <v>650</v>
      </c>
      <c r="AA275" s="21" t="s">
        <v>3617</v>
      </c>
      <c r="AB275" s="21"/>
      <c r="AC275" s="12"/>
      <c r="AD275" s="2" t="s">
        <v>3621</v>
      </c>
      <c r="AE275" s="23" t="s">
        <v>676</v>
      </c>
      <c r="AF275" s="2"/>
      <c r="AG275" s="50"/>
    </row>
    <row r="276" spans="1:33" s="51" customFormat="1" ht="30" x14ac:dyDescent="0.25">
      <c r="A276" s="4"/>
      <c r="B276" s="4">
        <v>45681</v>
      </c>
      <c r="C276" s="1" t="s">
        <v>1991</v>
      </c>
      <c r="D276" s="224" t="s">
        <v>3463</v>
      </c>
      <c r="E276" s="26" t="s">
        <v>1983</v>
      </c>
      <c r="F276" s="233" t="s">
        <v>677</v>
      </c>
      <c r="G276" s="1" t="s">
        <v>677</v>
      </c>
      <c r="H276" s="8">
        <v>1</v>
      </c>
      <c r="I276" s="8"/>
      <c r="J276" s="115">
        <f>Table224[[#This Row],[Qty]]-Table224[[#This Row],[Issue Qty]]</f>
        <v>1</v>
      </c>
      <c r="K276" s="195"/>
      <c r="L276" s="195" t="s">
        <v>3480</v>
      </c>
      <c r="M276" s="5">
        <v>340</v>
      </c>
      <c r="N276" s="5">
        <f t="shared" si="16"/>
        <v>340</v>
      </c>
      <c r="O276" s="82">
        <v>0.18</v>
      </c>
      <c r="P276" s="9">
        <f t="shared" si="14"/>
        <v>61.199999999999996</v>
      </c>
      <c r="Q276" s="5">
        <v>38.35</v>
      </c>
      <c r="R276" s="5"/>
      <c r="S276" s="5">
        <f t="shared" si="15"/>
        <v>439.55</v>
      </c>
      <c r="T276" s="1" t="s">
        <v>637</v>
      </c>
      <c r="U276" s="1" t="s">
        <v>20</v>
      </c>
      <c r="V276" s="1" t="s">
        <v>564</v>
      </c>
      <c r="W276" s="1"/>
      <c r="X276" s="1"/>
      <c r="Y276" s="1"/>
      <c r="Z276" s="21" t="s">
        <v>650</v>
      </c>
      <c r="AA276" s="21" t="s">
        <v>3617</v>
      </c>
      <c r="AB276" s="8"/>
      <c r="AC276" s="12"/>
      <c r="AD276" s="1" t="s">
        <v>3621</v>
      </c>
      <c r="AE276" s="23"/>
      <c r="AF276" s="6"/>
      <c r="AG276" s="50"/>
    </row>
    <row r="277" spans="1:33" s="51" customFormat="1" x14ac:dyDescent="0.25">
      <c r="A277" s="4"/>
      <c r="B277" s="4">
        <v>45686</v>
      </c>
      <c r="C277" s="1" t="s">
        <v>1991</v>
      </c>
      <c r="D277" s="224" t="s">
        <v>3588</v>
      </c>
      <c r="E277" s="26" t="s">
        <v>1986</v>
      </c>
      <c r="F277" s="316" t="s">
        <v>680</v>
      </c>
      <c r="G277" s="1" t="s">
        <v>681</v>
      </c>
      <c r="H277" s="8">
        <v>12</v>
      </c>
      <c r="I277" s="8">
        <v>12</v>
      </c>
      <c r="J277" s="115">
        <f>Table224[[#This Row],[Qty]]-Table224[[#This Row],[Issue Qty]]</f>
        <v>0</v>
      </c>
      <c r="K277" s="195"/>
      <c r="L277" s="195" t="s">
        <v>3480</v>
      </c>
      <c r="M277" s="5">
        <v>73.900000000000006</v>
      </c>
      <c r="N277" s="5">
        <f t="shared" si="16"/>
        <v>886.80000000000007</v>
      </c>
      <c r="O277" s="82">
        <v>0.18</v>
      </c>
      <c r="P277" s="9">
        <f t="shared" si="14"/>
        <v>159.624</v>
      </c>
      <c r="Q277" s="5">
        <v>0</v>
      </c>
      <c r="R277" s="5"/>
      <c r="S277" s="5">
        <f t="shared" si="15"/>
        <v>1046.424</v>
      </c>
      <c r="T277" s="1" t="s">
        <v>637</v>
      </c>
      <c r="U277" s="1" t="s">
        <v>20</v>
      </c>
      <c r="V277" s="1" t="s">
        <v>682</v>
      </c>
      <c r="W277" s="1"/>
      <c r="X277" s="1"/>
      <c r="Y277" s="1"/>
      <c r="Z277" s="8"/>
      <c r="AA277" s="8"/>
      <c r="AB277" s="8">
        <v>12</v>
      </c>
      <c r="AC277" s="22" t="s">
        <v>81</v>
      </c>
      <c r="AD277" s="1"/>
      <c r="AE277" s="23"/>
      <c r="AF277" s="6"/>
      <c r="AG277" s="50"/>
    </row>
    <row r="278" spans="1:33" s="51" customFormat="1" x14ac:dyDescent="0.25">
      <c r="A278" s="4"/>
      <c r="B278" s="4">
        <v>45686</v>
      </c>
      <c r="C278" s="1" t="s">
        <v>1991</v>
      </c>
      <c r="D278" s="224" t="s">
        <v>3491</v>
      </c>
      <c r="E278" s="6" t="s">
        <v>1987</v>
      </c>
      <c r="F278" s="234" t="s">
        <v>683</v>
      </c>
      <c r="G278" s="1" t="s">
        <v>683</v>
      </c>
      <c r="H278" s="8">
        <v>20</v>
      </c>
      <c r="I278" s="8">
        <v>0</v>
      </c>
      <c r="J278" s="115">
        <f>Table224[[#This Row],[Qty]]-Table224[[#This Row],[Issue Qty]]</f>
        <v>20</v>
      </c>
      <c r="K278" s="195"/>
      <c r="L278" s="195" t="s">
        <v>3480</v>
      </c>
      <c r="M278" s="5">
        <v>60.99</v>
      </c>
      <c r="N278" s="5">
        <f t="shared" si="16"/>
        <v>1219.8</v>
      </c>
      <c r="O278" s="82">
        <v>0.18</v>
      </c>
      <c r="P278" s="9">
        <f t="shared" si="14"/>
        <v>219.56399999999999</v>
      </c>
      <c r="Q278" s="5">
        <v>0</v>
      </c>
      <c r="R278" s="5"/>
      <c r="S278" s="5">
        <f t="shared" si="15"/>
        <v>1439.364</v>
      </c>
      <c r="T278" s="1" t="s">
        <v>637</v>
      </c>
      <c r="U278" s="1" t="s">
        <v>20</v>
      </c>
      <c r="V278" s="1" t="s">
        <v>682</v>
      </c>
      <c r="W278" s="1"/>
      <c r="X278" s="1"/>
      <c r="Y278" s="1"/>
      <c r="Z278" s="8" t="s">
        <v>650</v>
      </c>
      <c r="AA278" s="8" t="s">
        <v>3611</v>
      </c>
      <c r="AB278" s="8"/>
      <c r="AC278" s="22"/>
      <c r="AD278" s="1"/>
      <c r="AE278" s="23" t="s">
        <v>684</v>
      </c>
      <c r="AF278" s="6"/>
      <c r="AG278" s="50"/>
    </row>
    <row r="279" spans="1:33" s="51" customFormat="1" ht="30" x14ac:dyDescent="0.25">
      <c r="A279" s="4"/>
      <c r="B279" s="4">
        <v>45687</v>
      </c>
      <c r="C279" s="1" t="s">
        <v>1991</v>
      </c>
      <c r="D279" s="224" t="s">
        <v>3500</v>
      </c>
      <c r="E279" s="6" t="s">
        <v>1988</v>
      </c>
      <c r="F279" s="234" t="s">
        <v>685</v>
      </c>
      <c r="G279" s="1" t="s">
        <v>686</v>
      </c>
      <c r="H279" s="8">
        <v>1</v>
      </c>
      <c r="I279" s="8"/>
      <c r="J279" s="115">
        <f>Table224[[#This Row],[Qty]]-Table224[[#This Row],[Issue Qty]]</f>
        <v>1</v>
      </c>
      <c r="K279" s="195"/>
      <c r="L279" s="195" t="s">
        <v>3480</v>
      </c>
      <c r="M279" s="5">
        <v>2900</v>
      </c>
      <c r="N279" s="5">
        <f t="shared" si="16"/>
        <v>2900</v>
      </c>
      <c r="O279" s="82">
        <v>0</v>
      </c>
      <c r="P279" s="9">
        <f t="shared" si="14"/>
        <v>0</v>
      </c>
      <c r="Q279" s="5">
        <v>0</v>
      </c>
      <c r="R279" s="5"/>
      <c r="S279" s="5">
        <f t="shared" si="15"/>
        <v>2900</v>
      </c>
      <c r="T279" s="1" t="s">
        <v>637</v>
      </c>
      <c r="U279" s="1" t="s">
        <v>20</v>
      </c>
      <c r="V279" s="1" t="s">
        <v>687</v>
      </c>
      <c r="W279" s="1"/>
      <c r="X279" s="6"/>
      <c r="Y279" s="2"/>
      <c r="Z279" s="8" t="s">
        <v>965</v>
      </c>
      <c r="AA279" s="21" t="s">
        <v>3627</v>
      </c>
      <c r="AB279" s="21"/>
      <c r="AC279" s="12"/>
      <c r="AD279" s="2"/>
      <c r="AE279" s="23" t="s">
        <v>689</v>
      </c>
      <c r="AF279" s="2"/>
      <c r="AG279" s="50"/>
    </row>
    <row r="280" spans="1:33" s="51" customFormat="1" ht="30" x14ac:dyDescent="0.25">
      <c r="A280" s="4"/>
      <c r="B280" s="4">
        <v>45695</v>
      </c>
      <c r="C280" s="6" t="s">
        <v>1683</v>
      </c>
      <c r="D280" s="224" t="s">
        <v>3487</v>
      </c>
      <c r="E280" s="1" t="s">
        <v>1996</v>
      </c>
      <c r="F280" s="102" t="s">
        <v>705</v>
      </c>
      <c r="G280" s="1" t="s">
        <v>706</v>
      </c>
      <c r="H280" s="8">
        <v>92</v>
      </c>
      <c r="I280" s="8">
        <v>48</v>
      </c>
      <c r="J280" s="115">
        <f>Table224[[#This Row],[Qty]]-Table224[[#This Row],[Issue Qty]]</f>
        <v>44</v>
      </c>
      <c r="K280" s="195"/>
      <c r="L280" s="195" t="s">
        <v>3480</v>
      </c>
      <c r="M280" s="5">
        <v>27.118649999999999</v>
      </c>
      <c r="N280" s="5">
        <f t="shared" si="16"/>
        <v>2494.9157999999998</v>
      </c>
      <c r="O280" s="82">
        <v>0.18</v>
      </c>
      <c r="P280" s="9">
        <f t="shared" si="14"/>
        <v>449.08484399999992</v>
      </c>
      <c r="Q280" s="5">
        <f t="shared" ref="Q280:Q287" si="17">469.5/9</f>
        <v>52.166666666666664</v>
      </c>
      <c r="R280" s="5"/>
      <c r="S280" s="5">
        <f t="shared" si="15"/>
        <v>2996.1673106666663</v>
      </c>
      <c r="T280" s="1" t="s">
        <v>606</v>
      </c>
      <c r="U280" s="1" t="s">
        <v>606</v>
      </c>
      <c r="V280" s="1" t="s">
        <v>691</v>
      </c>
      <c r="W280" s="1" t="s">
        <v>1990</v>
      </c>
      <c r="X280" s="1"/>
      <c r="Y280" s="2"/>
      <c r="Z280" s="21" t="s">
        <v>78</v>
      </c>
      <c r="AA280" s="21" t="s">
        <v>1084</v>
      </c>
      <c r="AB280" s="21">
        <v>92</v>
      </c>
      <c r="AC280" s="12" t="s">
        <v>3901</v>
      </c>
      <c r="AD280" s="2"/>
      <c r="AE280" s="29" t="s">
        <v>707</v>
      </c>
      <c r="AF280" s="2"/>
      <c r="AG280" s="207"/>
    </row>
    <row r="281" spans="1:33" s="51" customFormat="1" ht="45" x14ac:dyDescent="0.25">
      <c r="A281" s="4"/>
      <c r="B281" s="4">
        <v>45695</v>
      </c>
      <c r="C281" s="6" t="s">
        <v>1730</v>
      </c>
      <c r="D281" s="224" t="s">
        <v>3535</v>
      </c>
      <c r="E281" s="1" t="s">
        <v>1995</v>
      </c>
      <c r="F281" s="233" t="s">
        <v>703</v>
      </c>
      <c r="G281" s="1" t="s">
        <v>703</v>
      </c>
      <c r="H281" s="8">
        <v>6</v>
      </c>
      <c r="I281" s="8">
        <v>5</v>
      </c>
      <c r="J281" s="115">
        <f>Table224[[#This Row],[Qty]]-Table224[[#This Row],[Issue Qty]]</f>
        <v>1</v>
      </c>
      <c r="K281" s="195"/>
      <c r="L281" s="195" t="s">
        <v>3480</v>
      </c>
      <c r="M281" s="5">
        <v>153.7456</v>
      </c>
      <c r="N281" s="5">
        <f t="shared" si="16"/>
        <v>922.47360000000003</v>
      </c>
      <c r="O281" s="82">
        <v>0.18</v>
      </c>
      <c r="P281" s="9">
        <f t="shared" si="14"/>
        <v>166.04524799999999</v>
      </c>
      <c r="Q281" s="5">
        <f t="shared" si="17"/>
        <v>52.166666666666664</v>
      </c>
      <c r="R281" s="5"/>
      <c r="S281" s="5">
        <f t="shared" si="15"/>
        <v>1140.6855146666667</v>
      </c>
      <c r="T281" s="1" t="s">
        <v>606</v>
      </c>
      <c r="U281" s="1" t="s">
        <v>606</v>
      </c>
      <c r="V281" s="1" t="s">
        <v>691</v>
      </c>
      <c r="W281" s="1" t="s">
        <v>1990</v>
      </c>
      <c r="X281" s="1"/>
      <c r="Y281" s="2"/>
      <c r="Z281" s="21" t="s">
        <v>2754</v>
      </c>
      <c r="AA281" s="21"/>
      <c r="AB281" s="21">
        <v>5</v>
      </c>
      <c r="AC281" s="12" t="s">
        <v>3854</v>
      </c>
      <c r="AD281" s="2"/>
      <c r="AE281" s="29" t="s">
        <v>704</v>
      </c>
      <c r="AF281" s="2"/>
      <c r="AG281" s="207"/>
    </row>
    <row r="282" spans="1:33" s="51" customFormat="1" x14ac:dyDescent="0.25">
      <c r="A282" s="4"/>
      <c r="B282" s="4">
        <v>45695</v>
      </c>
      <c r="C282" s="6" t="s">
        <v>1683</v>
      </c>
      <c r="D282" s="224" t="s">
        <v>3487</v>
      </c>
      <c r="E282" s="1" t="s">
        <v>1945</v>
      </c>
      <c r="F282" s="102" t="s">
        <v>608</v>
      </c>
      <c r="G282" s="1" t="s">
        <v>690</v>
      </c>
      <c r="H282" s="8">
        <v>28</v>
      </c>
      <c r="I282" s="8">
        <f>28-24</f>
        <v>4</v>
      </c>
      <c r="J282" s="115">
        <f>Table224[[#This Row],[Qty]]-Table224[[#This Row],[Issue Qty]]</f>
        <v>24</v>
      </c>
      <c r="K282" s="195"/>
      <c r="L282" s="195" t="s">
        <v>3486</v>
      </c>
      <c r="M282" s="5">
        <v>7.627129</v>
      </c>
      <c r="N282" s="5">
        <f t="shared" si="16"/>
        <v>213.55961200000002</v>
      </c>
      <c r="O282" s="82">
        <v>0.18</v>
      </c>
      <c r="P282" s="9">
        <f t="shared" si="14"/>
        <v>38.440730160000001</v>
      </c>
      <c r="Q282" s="5">
        <f t="shared" si="17"/>
        <v>52.166666666666664</v>
      </c>
      <c r="R282" s="5"/>
      <c r="S282" s="5">
        <f t="shared" si="15"/>
        <v>304.16700882666669</v>
      </c>
      <c r="T282" s="1" t="s">
        <v>606</v>
      </c>
      <c r="U282" s="1" t="s">
        <v>606</v>
      </c>
      <c r="V282" s="1" t="s">
        <v>691</v>
      </c>
      <c r="W282" s="1" t="s">
        <v>1990</v>
      </c>
      <c r="X282" s="1"/>
      <c r="Y282" s="2"/>
      <c r="Z282" s="21" t="s">
        <v>573</v>
      </c>
      <c r="AA282" s="21" t="s">
        <v>1963</v>
      </c>
      <c r="AB282" s="21"/>
      <c r="AC282" s="12" t="s">
        <v>2960</v>
      </c>
      <c r="AD282" s="2"/>
      <c r="AE282" s="29"/>
      <c r="AF282" s="2"/>
      <c r="AG282" s="50"/>
    </row>
    <row r="283" spans="1:33" s="51" customFormat="1" x14ac:dyDescent="0.25">
      <c r="A283" s="4"/>
      <c r="B283" s="4">
        <v>45695</v>
      </c>
      <c r="C283" s="6" t="s">
        <v>1683</v>
      </c>
      <c r="D283" s="224" t="s">
        <v>3487</v>
      </c>
      <c r="E283" s="26" t="s">
        <v>1943</v>
      </c>
      <c r="F283" s="233" t="s">
        <v>604</v>
      </c>
      <c r="G283" s="1" t="s">
        <v>702</v>
      </c>
      <c r="H283" s="8">
        <v>97</v>
      </c>
      <c r="I283" s="8"/>
      <c r="J283" s="115">
        <f>Table224[[#This Row],[Qty]]-Table224[[#This Row],[Issue Qty]]</f>
        <v>97</v>
      </c>
      <c r="K283" s="195"/>
      <c r="L283" s="195" t="s">
        <v>3486</v>
      </c>
      <c r="M283" s="5">
        <v>7.627154</v>
      </c>
      <c r="N283" s="5">
        <f t="shared" si="16"/>
        <v>739.83393799999999</v>
      </c>
      <c r="O283" s="82">
        <v>0.18</v>
      </c>
      <c r="P283" s="9">
        <f t="shared" si="14"/>
        <v>133.17010883999998</v>
      </c>
      <c r="Q283" s="5">
        <f t="shared" si="17"/>
        <v>52.166666666666664</v>
      </c>
      <c r="R283" s="5"/>
      <c r="S283" s="5">
        <f t="shared" si="15"/>
        <v>925.17071350666663</v>
      </c>
      <c r="T283" s="1" t="s">
        <v>606</v>
      </c>
      <c r="U283" s="1" t="s">
        <v>606</v>
      </c>
      <c r="V283" s="1" t="s">
        <v>691</v>
      </c>
      <c r="W283" s="1" t="s">
        <v>1990</v>
      </c>
      <c r="X283" s="1"/>
      <c r="Y283" s="1"/>
      <c r="Z283" s="21" t="s">
        <v>573</v>
      </c>
      <c r="AA283" s="21" t="s">
        <v>1963</v>
      </c>
      <c r="AB283" s="8"/>
      <c r="AC283" s="22" t="s">
        <v>3534</v>
      </c>
      <c r="AD283" s="1"/>
      <c r="AE283" s="29"/>
      <c r="AF283" s="1"/>
      <c r="AG283" s="207"/>
    </row>
    <row r="284" spans="1:33" s="208" customFormat="1" ht="60" x14ac:dyDescent="0.25">
      <c r="A284" s="4"/>
      <c r="B284" s="4">
        <v>45695</v>
      </c>
      <c r="C284" s="6" t="s">
        <v>1730</v>
      </c>
      <c r="D284" s="224" t="s">
        <v>3625</v>
      </c>
      <c r="E284" s="1" t="s">
        <v>1994</v>
      </c>
      <c r="F284" s="102" t="s">
        <v>698</v>
      </c>
      <c r="G284" s="1" t="s">
        <v>698</v>
      </c>
      <c r="H284" s="8">
        <v>34</v>
      </c>
      <c r="I284" s="8">
        <v>4</v>
      </c>
      <c r="J284" s="115">
        <f>Table224[[#This Row],[Qty]]-Table224[[#This Row],[Issue Qty]]</f>
        <v>30</v>
      </c>
      <c r="K284" s="195"/>
      <c r="L284" s="195" t="s">
        <v>3480</v>
      </c>
      <c r="M284" s="5">
        <v>79.762679000000006</v>
      </c>
      <c r="N284" s="5">
        <f t="shared" si="16"/>
        <v>2711.9310860000001</v>
      </c>
      <c r="O284" s="82">
        <v>0.18</v>
      </c>
      <c r="P284" s="9">
        <f t="shared" si="14"/>
        <v>488.14759548000001</v>
      </c>
      <c r="Q284" s="5">
        <f t="shared" si="17"/>
        <v>52.166666666666664</v>
      </c>
      <c r="R284" s="5"/>
      <c r="S284" s="5">
        <f t="shared" si="15"/>
        <v>3252.2453481466664</v>
      </c>
      <c r="T284" s="1" t="s">
        <v>606</v>
      </c>
      <c r="U284" s="1" t="s">
        <v>606</v>
      </c>
      <c r="V284" s="1" t="s">
        <v>691</v>
      </c>
      <c r="W284" s="1" t="s">
        <v>1990</v>
      </c>
      <c r="X284" s="1"/>
      <c r="Y284" s="1"/>
      <c r="Z284" s="21" t="s">
        <v>699</v>
      </c>
      <c r="AA284" s="21" t="s">
        <v>700</v>
      </c>
      <c r="AB284" s="8">
        <v>30</v>
      </c>
      <c r="AC284" s="22" t="s">
        <v>2952</v>
      </c>
      <c r="AD284" s="1"/>
      <c r="AE284" s="29" t="s">
        <v>701</v>
      </c>
      <c r="AF284" s="1"/>
      <c r="AG284" s="207"/>
    </row>
    <row r="285" spans="1:33" s="208" customFormat="1" ht="45" x14ac:dyDescent="0.25">
      <c r="A285" s="4"/>
      <c r="B285" s="4">
        <v>45695</v>
      </c>
      <c r="C285" s="6" t="s">
        <v>1683</v>
      </c>
      <c r="D285" s="224" t="s">
        <v>3493</v>
      </c>
      <c r="E285" s="1" t="s">
        <v>1992</v>
      </c>
      <c r="F285" s="102" t="s">
        <v>695</v>
      </c>
      <c r="G285" s="1" t="s">
        <v>696</v>
      </c>
      <c r="H285" s="8">
        <v>32</v>
      </c>
      <c r="I285" s="8">
        <v>9</v>
      </c>
      <c r="J285" s="115">
        <f>Table224[[#This Row],[Qty]]-Table224[[#This Row],[Issue Qty]]</f>
        <v>23</v>
      </c>
      <c r="K285" s="195"/>
      <c r="L285" s="195" t="s">
        <v>3511</v>
      </c>
      <c r="M285" s="5">
        <v>42.271223999999997</v>
      </c>
      <c r="N285" s="5">
        <f t="shared" si="16"/>
        <v>1352.6791679999999</v>
      </c>
      <c r="O285" s="82">
        <v>0.18</v>
      </c>
      <c r="P285" s="9">
        <f t="shared" si="14"/>
        <v>243.48225023999998</v>
      </c>
      <c r="Q285" s="5">
        <f t="shared" si="17"/>
        <v>52.166666666666664</v>
      </c>
      <c r="R285" s="5"/>
      <c r="S285" s="5">
        <f t="shared" si="15"/>
        <v>1648.3280849066666</v>
      </c>
      <c r="T285" s="1" t="s">
        <v>606</v>
      </c>
      <c r="U285" s="1" t="s">
        <v>606</v>
      </c>
      <c r="V285" s="1" t="s">
        <v>691</v>
      </c>
      <c r="W285" s="1" t="s">
        <v>1990</v>
      </c>
      <c r="X285" s="1"/>
      <c r="Y285" s="1"/>
      <c r="Z285" s="21" t="s">
        <v>107</v>
      </c>
      <c r="AA285" s="21" t="s">
        <v>496</v>
      </c>
      <c r="AB285" s="8">
        <v>9</v>
      </c>
      <c r="AC285" s="22" t="s">
        <v>2955</v>
      </c>
      <c r="AD285" s="1" t="s">
        <v>3513</v>
      </c>
      <c r="AE285" s="29" t="s">
        <v>697</v>
      </c>
      <c r="AF285" s="1"/>
      <c r="AG285" s="207"/>
    </row>
    <row r="286" spans="1:33" s="208" customFormat="1" ht="30" x14ac:dyDescent="0.25">
      <c r="A286" s="4"/>
      <c r="B286" s="4">
        <v>45695</v>
      </c>
      <c r="C286" s="6" t="s">
        <v>1683</v>
      </c>
      <c r="D286" s="224" t="s">
        <v>3493</v>
      </c>
      <c r="E286" s="1" t="s">
        <v>1889</v>
      </c>
      <c r="F286" s="102" t="s">
        <v>494</v>
      </c>
      <c r="G286" s="1" t="s">
        <v>694</v>
      </c>
      <c r="H286" s="8">
        <v>4</v>
      </c>
      <c r="I286" s="8">
        <v>4</v>
      </c>
      <c r="J286" s="115">
        <f>Table224[[#This Row],[Qty]]-Table224[[#This Row],[Issue Qty]]</f>
        <v>0</v>
      </c>
      <c r="K286" s="195"/>
      <c r="L286" s="195" t="s">
        <v>3511</v>
      </c>
      <c r="M286" s="5">
        <v>49.567895</v>
      </c>
      <c r="N286" s="5">
        <f t="shared" si="16"/>
        <v>198.27158</v>
      </c>
      <c r="O286" s="82">
        <v>0.18</v>
      </c>
      <c r="P286" s="9">
        <f t="shared" si="14"/>
        <v>35.688884399999999</v>
      </c>
      <c r="Q286" s="5">
        <f t="shared" si="17"/>
        <v>52.166666666666664</v>
      </c>
      <c r="R286" s="5"/>
      <c r="S286" s="5">
        <f t="shared" si="15"/>
        <v>286.12713106666666</v>
      </c>
      <c r="T286" s="1" t="s">
        <v>606</v>
      </c>
      <c r="U286" s="1" t="s">
        <v>606</v>
      </c>
      <c r="V286" s="1" t="s">
        <v>691</v>
      </c>
      <c r="W286" s="1" t="s">
        <v>1990</v>
      </c>
      <c r="X286" s="1"/>
      <c r="Y286" s="1"/>
      <c r="Z286" s="21" t="s">
        <v>3349</v>
      </c>
      <c r="AA286" s="21"/>
      <c r="AB286" s="8">
        <v>4</v>
      </c>
      <c r="AC286" s="12" t="s">
        <v>2956</v>
      </c>
      <c r="AD286" s="12" t="s">
        <v>2898</v>
      </c>
      <c r="AE286" s="29" t="s">
        <v>497</v>
      </c>
      <c r="AF286" s="1"/>
      <c r="AG286" s="207"/>
    </row>
    <row r="287" spans="1:33" s="208" customFormat="1" ht="30" x14ac:dyDescent="0.25">
      <c r="A287" s="4"/>
      <c r="B287" s="4">
        <v>45695</v>
      </c>
      <c r="C287" s="1" t="s">
        <v>1991</v>
      </c>
      <c r="D287" s="224" t="s">
        <v>3463</v>
      </c>
      <c r="E287" s="26" t="s">
        <v>1913</v>
      </c>
      <c r="F287" s="233" t="s">
        <v>556</v>
      </c>
      <c r="G287" s="1" t="s">
        <v>556</v>
      </c>
      <c r="H287" s="8">
        <v>11</v>
      </c>
      <c r="I287" s="8">
        <v>2</v>
      </c>
      <c r="J287" s="115">
        <f>Table224[[#This Row],[Qty]]-Table224[[#This Row],[Issue Qty]]</f>
        <v>9</v>
      </c>
      <c r="K287" s="195"/>
      <c r="L287" s="195" t="s">
        <v>3480</v>
      </c>
      <c r="M287" s="5">
        <v>406.77960000000002</v>
      </c>
      <c r="N287" s="5">
        <f t="shared" si="16"/>
        <v>4474.5756000000001</v>
      </c>
      <c r="O287" s="82">
        <v>0.18</v>
      </c>
      <c r="P287" s="9">
        <f t="shared" si="14"/>
        <v>805.42360799999994</v>
      </c>
      <c r="Q287" s="5">
        <f t="shared" si="17"/>
        <v>52.166666666666664</v>
      </c>
      <c r="R287" s="5"/>
      <c r="S287" s="5">
        <f t="shared" si="15"/>
        <v>5332.1658746666672</v>
      </c>
      <c r="T287" s="1" t="s">
        <v>606</v>
      </c>
      <c r="U287" s="1" t="s">
        <v>606</v>
      </c>
      <c r="V287" s="1" t="s">
        <v>691</v>
      </c>
      <c r="W287" s="1" t="s">
        <v>1990</v>
      </c>
      <c r="X287" s="1"/>
      <c r="Y287" s="26"/>
      <c r="Z287" s="21" t="s">
        <v>89</v>
      </c>
      <c r="AA287" s="21" t="s">
        <v>114</v>
      </c>
      <c r="AB287" s="21">
        <v>1</v>
      </c>
      <c r="AC287" s="12" t="s">
        <v>3851</v>
      </c>
      <c r="AD287" s="12" t="s">
        <v>693</v>
      </c>
      <c r="AE287" s="29"/>
      <c r="AF287" s="26"/>
      <c r="AG287" s="50"/>
    </row>
    <row r="288" spans="1:33" s="208" customFormat="1" ht="30" x14ac:dyDescent="0.25">
      <c r="A288" s="4"/>
      <c r="B288" s="4">
        <v>45698</v>
      </c>
      <c r="C288" s="1" t="s">
        <v>54</v>
      </c>
      <c r="D288" s="224" t="s">
        <v>3500</v>
      </c>
      <c r="E288" s="1" t="s">
        <v>1997</v>
      </c>
      <c r="F288" s="232" t="s">
        <v>708</v>
      </c>
      <c r="G288" s="1" t="s">
        <v>708</v>
      </c>
      <c r="H288" s="8">
        <v>7</v>
      </c>
      <c r="I288" s="8">
        <v>7</v>
      </c>
      <c r="J288" s="115">
        <f>Table224[[#This Row],[Qty]]-Table224[[#This Row],[Issue Qty]]</f>
        <v>0</v>
      </c>
      <c r="K288" s="195"/>
      <c r="L288" s="195" t="s">
        <v>3480</v>
      </c>
      <c r="M288" s="5">
        <v>32000</v>
      </c>
      <c r="N288" s="5">
        <f t="shared" si="16"/>
        <v>224000</v>
      </c>
      <c r="O288" s="82">
        <v>0.05</v>
      </c>
      <c r="P288" s="9">
        <f t="shared" si="14"/>
        <v>11200</v>
      </c>
      <c r="Q288" s="5">
        <f>(30312.5+30312.5*0.18)/9</f>
        <v>3974.3055555555557</v>
      </c>
      <c r="R288" s="5"/>
      <c r="S288" s="5">
        <f t="shared" si="15"/>
        <v>239174.30555555556</v>
      </c>
      <c r="T288" s="1" t="s">
        <v>606</v>
      </c>
      <c r="U288" s="1" t="s">
        <v>606</v>
      </c>
      <c r="V288" s="1" t="s">
        <v>709</v>
      </c>
      <c r="W288" s="1" t="s">
        <v>1998</v>
      </c>
      <c r="X288" s="1"/>
      <c r="Y288" s="26"/>
      <c r="Z288" s="204" t="s">
        <v>3185</v>
      </c>
      <c r="AA288" s="204"/>
      <c r="AB288" s="21">
        <v>7</v>
      </c>
      <c r="AC288" s="12" t="s">
        <v>2906</v>
      </c>
      <c r="AD288" s="26"/>
      <c r="AE288" s="29"/>
      <c r="AF288" s="26"/>
      <c r="AG288" s="207"/>
    </row>
    <row r="289" spans="1:33" s="208" customFormat="1" x14ac:dyDescent="0.25">
      <c r="A289" s="4"/>
      <c r="B289" s="4">
        <v>45698</v>
      </c>
      <c r="C289" s="1" t="s">
        <v>2003</v>
      </c>
      <c r="D289" s="224" t="s">
        <v>3499</v>
      </c>
      <c r="E289" s="1" t="s">
        <v>2007</v>
      </c>
      <c r="F289" s="102" t="s">
        <v>723</v>
      </c>
      <c r="G289" s="1" t="s">
        <v>724</v>
      </c>
      <c r="H289" s="8">
        <v>14</v>
      </c>
      <c r="I289" s="8">
        <v>14</v>
      </c>
      <c r="J289" s="115">
        <f>Table224[[#This Row],[Qty]]-Table224[[#This Row],[Issue Qty]]</f>
        <v>0</v>
      </c>
      <c r="K289" s="195"/>
      <c r="L289" s="195" t="s">
        <v>3480</v>
      </c>
      <c r="M289" s="5">
        <v>2500</v>
      </c>
      <c r="N289" s="5">
        <f t="shared" si="16"/>
        <v>35000</v>
      </c>
      <c r="O289" s="82">
        <v>0.05</v>
      </c>
      <c r="P289" s="9">
        <f t="shared" si="14"/>
        <v>1750</v>
      </c>
      <c r="Q289" s="5">
        <f>(30312.5+30312.5*0.18)/9</f>
        <v>3974.3055555555557</v>
      </c>
      <c r="R289" s="5"/>
      <c r="S289" s="5">
        <f t="shared" si="15"/>
        <v>40724.305555555555</v>
      </c>
      <c r="T289" s="1" t="s">
        <v>606</v>
      </c>
      <c r="U289" s="1" t="s">
        <v>606</v>
      </c>
      <c r="V289" s="1" t="s">
        <v>709</v>
      </c>
      <c r="W289" s="1" t="s">
        <v>1998</v>
      </c>
      <c r="X289" s="1"/>
      <c r="Y289" s="26"/>
      <c r="Z289" s="21" t="s">
        <v>3349</v>
      </c>
      <c r="AA289" s="204"/>
      <c r="AB289" s="21">
        <v>14</v>
      </c>
      <c r="AC289" s="22" t="s">
        <v>3856</v>
      </c>
      <c r="AD289" s="26"/>
      <c r="AE289" s="29" t="s">
        <v>720</v>
      </c>
      <c r="AF289" s="26"/>
      <c r="AG289" s="207"/>
    </row>
    <row r="290" spans="1:33" s="208" customFormat="1" x14ac:dyDescent="0.25">
      <c r="A290" s="4"/>
      <c r="B290" s="4">
        <v>45698</v>
      </c>
      <c r="C290" s="6" t="s">
        <v>54</v>
      </c>
      <c r="D290" s="224" t="s">
        <v>3430</v>
      </c>
      <c r="E290" s="1" t="s">
        <v>1999</v>
      </c>
      <c r="F290" s="169" t="s">
        <v>712</v>
      </c>
      <c r="G290" s="1" t="s">
        <v>713</v>
      </c>
      <c r="H290" s="8">
        <v>19</v>
      </c>
      <c r="I290" s="8">
        <v>12</v>
      </c>
      <c r="J290" s="115">
        <f>Table224[[#This Row],[Qty]]-Table224[[#This Row],[Issue Qty]]</f>
        <v>7</v>
      </c>
      <c r="K290" s="195"/>
      <c r="L290" s="195" t="s">
        <v>3480</v>
      </c>
      <c r="M290" s="5">
        <v>1100</v>
      </c>
      <c r="N290" s="5">
        <f t="shared" si="16"/>
        <v>20900</v>
      </c>
      <c r="O290" s="82">
        <v>0.05</v>
      </c>
      <c r="P290" s="9">
        <f t="shared" si="14"/>
        <v>1045</v>
      </c>
      <c r="Q290" s="5">
        <f>(30312.5+30312.5*0.18)/9</f>
        <v>3974.3055555555557</v>
      </c>
      <c r="R290" s="5"/>
      <c r="S290" s="5">
        <f t="shared" si="15"/>
        <v>25919.305555555555</v>
      </c>
      <c r="T290" s="1" t="s">
        <v>606</v>
      </c>
      <c r="U290" s="1" t="s">
        <v>606</v>
      </c>
      <c r="V290" s="1" t="s">
        <v>709</v>
      </c>
      <c r="W290" s="1" t="s">
        <v>1998</v>
      </c>
      <c r="X290" s="1"/>
      <c r="Y290" s="26"/>
      <c r="Z290" s="21" t="s">
        <v>252</v>
      </c>
      <c r="AA290" s="204"/>
      <c r="AB290" s="21">
        <v>12</v>
      </c>
      <c r="AC290" s="12" t="s">
        <v>2969</v>
      </c>
      <c r="AD290" s="26"/>
      <c r="AE290" s="29"/>
      <c r="AF290" s="26"/>
      <c r="AG290" s="50"/>
    </row>
    <row r="291" spans="1:33" s="208" customFormat="1" x14ac:dyDescent="0.25">
      <c r="A291" s="4"/>
      <c r="B291" s="4">
        <v>45698</v>
      </c>
      <c r="C291" s="6" t="s">
        <v>54</v>
      </c>
      <c r="D291" s="224" t="s">
        <v>3430</v>
      </c>
      <c r="E291" s="1" t="s">
        <v>2000</v>
      </c>
      <c r="F291" s="169" t="s">
        <v>714</v>
      </c>
      <c r="G291" s="1" t="s">
        <v>715</v>
      </c>
      <c r="H291" s="8">
        <v>19</v>
      </c>
      <c r="I291" s="8">
        <v>12</v>
      </c>
      <c r="J291" s="115">
        <f>Table224[[#This Row],[Qty]]-Table224[[#This Row],[Issue Qty]]</f>
        <v>7</v>
      </c>
      <c r="K291" s="195"/>
      <c r="L291" s="195" t="s">
        <v>3480</v>
      </c>
      <c r="M291" s="5">
        <v>1100</v>
      </c>
      <c r="N291" s="5">
        <f t="shared" si="16"/>
        <v>20900</v>
      </c>
      <c r="O291" s="82">
        <v>0.05</v>
      </c>
      <c r="P291" s="9">
        <f t="shared" si="14"/>
        <v>1045</v>
      </c>
      <c r="Q291" s="5">
        <f>(30312.5+30312.5*0.18)/9</f>
        <v>3974.3055555555557</v>
      </c>
      <c r="R291" s="5"/>
      <c r="S291" s="5">
        <f t="shared" si="15"/>
        <v>25919.305555555555</v>
      </c>
      <c r="T291" s="1" t="s">
        <v>606</v>
      </c>
      <c r="U291" s="1" t="s">
        <v>606</v>
      </c>
      <c r="V291" s="1" t="s">
        <v>709</v>
      </c>
      <c r="W291" s="1" t="s">
        <v>1998</v>
      </c>
      <c r="X291" s="1"/>
      <c r="Y291" s="2"/>
      <c r="Z291" s="21" t="s">
        <v>252</v>
      </c>
      <c r="AA291" s="21"/>
      <c r="AB291" s="21">
        <v>12</v>
      </c>
      <c r="AC291" s="12" t="s">
        <v>2969</v>
      </c>
      <c r="AD291" s="2"/>
      <c r="AE291" s="29"/>
      <c r="AF291" s="2"/>
      <c r="AG291" s="50"/>
    </row>
    <row r="292" spans="1:33" s="51" customFormat="1" x14ac:dyDescent="0.25">
      <c r="A292" s="4"/>
      <c r="B292" s="4">
        <v>45698</v>
      </c>
      <c r="C292" s="1" t="s">
        <v>1991</v>
      </c>
      <c r="D292" s="224" t="s">
        <v>3464</v>
      </c>
      <c r="E292" s="26" t="s">
        <v>2006</v>
      </c>
      <c r="F292" s="233" t="s">
        <v>722</v>
      </c>
      <c r="G292" s="1" t="s">
        <v>722</v>
      </c>
      <c r="H292" s="8">
        <v>21</v>
      </c>
      <c r="I292" s="8">
        <v>7</v>
      </c>
      <c r="J292" s="115">
        <f>Table224[[#This Row],[Qty]]-Table224[[#This Row],[Issue Qty]]</f>
        <v>14</v>
      </c>
      <c r="K292" s="195"/>
      <c r="L292" s="195" t="s">
        <v>3480</v>
      </c>
      <c r="M292" s="5">
        <v>27416</v>
      </c>
      <c r="N292" s="5">
        <f t="shared" si="16"/>
        <v>575736</v>
      </c>
      <c r="O292" s="82">
        <v>0.05</v>
      </c>
      <c r="P292" s="9">
        <f t="shared" si="14"/>
        <v>28786.800000000003</v>
      </c>
      <c r="Q292" s="5">
        <f>(30312.5+30312.5*0.18)/9</f>
        <v>3974.3055555555557</v>
      </c>
      <c r="R292" s="5"/>
      <c r="S292" s="5">
        <f t="shared" si="15"/>
        <v>608497.10555555555</v>
      </c>
      <c r="T292" s="1" t="s">
        <v>606</v>
      </c>
      <c r="U292" s="1" t="s">
        <v>606</v>
      </c>
      <c r="V292" s="1" t="s">
        <v>709</v>
      </c>
      <c r="W292" s="1" t="s">
        <v>1998</v>
      </c>
      <c r="X292" s="1"/>
      <c r="Y292" s="1"/>
      <c r="Z292" s="21" t="s">
        <v>244</v>
      </c>
      <c r="AA292" s="8"/>
      <c r="AB292" s="8">
        <v>7</v>
      </c>
      <c r="AC292" s="22" t="s">
        <v>3858</v>
      </c>
      <c r="AD292" s="1" t="s">
        <v>3877</v>
      </c>
      <c r="AE292" s="29"/>
      <c r="AF292" s="1"/>
      <c r="AG292" s="50"/>
    </row>
    <row r="293" spans="1:33" s="51" customFormat="1" x14ac:dyDescent="0.25">
      <c r="A293" s="4"/>
      <c r="B293" s="4">
        <v>45698</v>
      </c>
      <c r="C293" s="1" t="s">
        <v>2003</v>
      </c>
      <c r="D293" s="224" t="s">
        <v>3499</v>
      </c>
      <c r="E293" s="1" t="s">
        <v>1644</v>
      </c>
      <c r="F293" s="254" t="s">
        <v>3544</v>
      </c>
      <c r="G293" s="1"/>
      <c r="H293" s="8">
        <v>26</v>
      </c>
      <c r="I293" s="8"/>
      <c r="J293" s="115">
        <f>Table224[[#This Row],[Qty]]-Table224[[#This Row],[Issue Qty]]</f>
        <v>26</v>
      </c>
      <c r="K293" s="195"/>
      <c r="L293" s="195" t="s">
        <v>3480</v>
      </c>
      <c r="M293" s="5"/>
      <c r="N293" s="5"/>
      <c r="O293" s="82"/>
      <c r="P293" s="9"/>
      <c r="Q293" s="5"/>
      <c r="R293" s="5"/>
      <c r="S293" s="5"/>
      <c r="T293" s="1"/>
      <c r="U293" s="1"/>
      <c r="V293" s="1"/>
      <c r="W293" s="1"/>
      <c r="X293" s="1"/>
      <c r="Y293" s="2"/>
      <c r="Z293" s="21" t="s">
        <v>261</v>
      </c>
      <c r="AA293" s="21"/>
      <c r="AB293" s="21"/>
      <c r="AC293" s="12"/>
      <c r="AD293" s="2"/>
      <c r="AE293" s="29"/>
      <c r="AF293" s="2"/>
      <c r="AG293" s="50"/>
    </row>
    <row r="294" spans="1:33" s="51" customFormat="1" ht="45" x14ac:dyDescent="0.25">
      <c r="A294" s="4"/>
      <c r="B294" s="4">
        <v>45698</v>
      </c>
      <c r="C294" s="6" t="s">
        <v>1683</v>
      </c>
      <c r="D294" s="224" t="s">
        <v>3431</v>
      </c>
      <c r="E294" s="1" t="s">
        <v>1873</v>
      </c>
      <c r="F294" s="102" t="s">
        <v>458</v>
      </c>
      <c r="G294" s="1" t="s">
        <v>458</v>
      </c>
      <c r="H294" s="8">
        <f>27-3</f>
        <v>24</v>
      </c>
      <c r="I294" s="8">
        <f>24-8</f>
        <v>16</v>
      </c>
      <c r="J294" s="115">
        <f>Table224[[#This Row],[Qty]]-Table224[[#This Row],[Issue Qty]]</f>
        <v>8</v>
      </c>
      <c r="K294" s="195"/>
      <c r="L294" s="195" t="s">
        <v>3480</v>
      </c>
      <c r="M294" s="5">
        <v>7200</v>
      </c>
      <c r="N294" s="5">
        <f>H294*M294</f>
        <v>172800</v>
      </c>
      <c r="O294" s="82">
        <v>0.05</v>
      </c>
      <c r="P294" s="9">
        <f>N294*O294</f>
        <v>8640</v>
      </c>
      <c r="Q294" s="5">
        <f>(30312.5+30312.5*0.18)/9</f>
        <v>3974.3055555555557</v>
      </c>
      <c r="R294" s="5"/>
      <c r="S294" s="5">
        <f>N294+P294+Q294+R294</f>
        <v>185414.30555555556</v>
      </c>
      <c r="T294" s="1" t="s">
        <v>606</v>
      </c>
      <c r="U294" s="1" t="s">
        <v>606</v>
      </c>
      <c r="V294" s="1" t="s">
        <v>709</v>
      </c>
      <c r="W294" s="1" t="s">
        <v>1998</v>
      </c>
      <c r="X294" s="1"/>
      <c r="Y294" s="26"/>
      <c r="Z294" s="21" t="s">
        <v>710</v>
      </c>
      <c r="AA294" s="21" t="s">
        <v>711</v>
      </c>
      <c r="AB294" s="21">
        <v>16</v>
      </c>
      <c r="AC294" s="12" t="s">
        <v>3370</v>
      </c>
      <c r="AD294" s="2"/>
      <c r="AE294" s="29"/>
      <c r="AF294" s="26"/>
      <c r="AG294" s="207"/>
    </row>
    <row r="295" spans="1:33" s="51" customFormat="1" ht="45" x14ac:dyDescent="0.25">
      <c r="A295" s="4"/>
      <c r="B295" s="4">
        <v>45698</v>
      </c>
      <c r="C295" s="6" t="s">
        <v>1683</v>
      </c>
      <c r="D295" s="224" t="s">
        <v>3431</v>
      </c>
      <c r="E295" s="1" t="s">
        <v>1874</v>
      </c>
      <c r="F295" s="102" t="s">
        <v>461</v>
      </c>
      <c r="G295" s="1" t="s">
        <v>461</v>
      </c>
      <c r="H295" s="8">
        <f>27-3</f>
        <v>24</v>
      </c>
      <c r="I295" s="8">
        <f>24-7</f>
        <v>17</v>
      </c>
      <c r="J295" s="115">
        <f>Table224[[#This Row],[Qty]]-Table224[[#This Row],[Issue Qty]]</f>
        <v>7</v>
      </c>
      <c r="K295" s="195"/>
      <c r="L295" s="195" t="s">
        <v>3480</v>
      </c>
      <c r="M295" s="5">
        <v>7200</v>
      </c>
      <c r="N295" s="5">
        <f>H295*M295</f>
        <v>172800</v>
      </c>
      <c r="O295" s="82">
        <v>0.05</v>
      </c>
      <c r="P295" s="9">
        <f>N295*O295</f>
        <v>8640</v>
      </c>
      <c r="Q295" s="5">
        <f>(30312.5+30312.5*0.18)/9</f>
        <v>3974.3055555555557</v>
      </c>
      <c r="R295" s="5"/>
      <c r="S295" s="5">
        <f>N295+P295+Q295+R295</f>
        <v>185414.30555555556</v>
      </c>
      <c r="T295" s="1" t="s">
        <v>606</v>
      </c>
      <c r="U295" s="1" t="s">
        <v>606</v>
      </c>
      <c r="V295" s="1" t="s">
        <v>709</v>
      </c>
      <c r="W295" s="1" t="s">
        <v>1998</v>
      </c>
      <c r="X295" s="1"/>
      <c r="Y295" s="26"/>
      <c r="Z295" s="21" t="s">
        <v>710</v>
      </c>
      <c r="AA295" s="21" t="s">
        <v>711</v>
      </c>
      <c r="AB295" s="21">
        <v>17</v>
      </c>
      <c r="AC295" s="22" t="s">
        <v>3371</v>
      </c>
      <c r="AD295" s="2"/>
      <c r="AE295" s="29"/>
      <c r="AF295" s="26"/>
      <c r="AG295" s="50"/>
    </row>
    <row r="296" spans="1:33" s="51" customFormat="1" ht="30" x14ac:dyDescent="0.25">
      <c r="A296" s="4"/>
      <c r="B296" s="4">
        <v>45698</v>
      </c>
      <c r="C296" s="1" t="s">
        <v>2003</v>
      </c>
      <c r="D296" s="224" t="s">
        <v>3499</v>
      </c>
      <c r="E296" s="1" t="s">
        <v>1876</v>
      </c>
      <c r="F296" s="236" t="s">
        <v>469</v>
      </c>
      <c r="G296" s="1" t="s">
        <v>469</v>
      </c>
      <c r="H296" s="8">
        <v>10</v>
      </c>
      <c r="I296" s="8">
        <v>7</v>
      </c>
      <c r="J296" s="115">
        <f>Table224[[#This Row],[Qty]]-Table224[[#This Row],[Issue Qty]]</f>
        <v>3</v>
      </c>
      <c r="K296" s="195"/>
      <c r="L296" s="195" t="s">
        <v>3480</v>
      </c>
      <c r="M296" s="5">
        <v>5500</v>
      </c>
      <c r="N296" s="5">
        <f>H296*M296</f>
        <v>55000</v>
      </c>
      <c r="O296" s="82">
        <v>0.05</v>
      </c>
      <c r="P296" s="9">
        <f>N296*O296</f>
        <v>2750</v>
      </c>
      <c r="Q296" s="5">
        <f>(30312.5+30312.5*0.18)/9</f>
        <v>3974.3055555555557</v>
      </c>
      <c r="R296" s="5"/>
      <c r="S296" s="5">
        <f>N296+P296+Q296+R296</f>
        <v>61724.305555555555</v>
      </c>
      <c r="T296" s="1" t="s">
        <v>606</v>
      </c>
      <c r="U296" s="1" t="s">
        <v>606</v>
      </c>
      <c r="V296" s="1" t="s">
        <v>709</v>
      </c>
      <c r="W296" s="1" t="s">
        <v>1998</v>
      </c>
      <c r="X296" s="1"/>
      <c r="Y296" s="2"/>
      <c r="Z296" s="21" t="s">
        <v>44</v>
      </c>
      <c r="AA296" s="21"/>
      <c r="AB296" s="21">
        <v>7</v>
      </c>
      <c r="AC296" s="12" t="s">
        <v>3855</v>
      </c>
      <c r="AD296" s="2"/>
      <c r="AE296" s="29" t="s">
        <v>720</v>
      </c>
      <c r="AF296" s="2"/>
      <c r="AG296" s="50"/>
    </row>
    <row r="297" spans="1:33" s="51" customFormat="1" x14ac:dyDescent="0.25">
      <c r="A297" s="4"/>
      <c r="B297" s="4">
        <v>45698</v>
      </c>
      <c r="C297" s="6" t="s">
        <v>1683</v>
      </c>
      <c r="D297" s="224" t="s">
        <v>3488</v>
      </c>
      <c r="E297" s="26" t="s">
        <v>2005</v>
      </c>
      <c r="F297" s="233" t="s">
        <v>721</v>
      </c>
      <c r="G297" s="1" t="s">
        <v>721</v>
      </c>
      <c r="H297" s="8">
        <v>7</v>
      </c>
      <c r="I297" s="8">
        <v>5</v>
      </c>
      <c r="J297" s="115">
        <f>Table224[[#This Row],[Qty]]-Table224[[#This Row],[Issue Qty]]</f>
        <v>2</v>
      </c>
      <c r="K297" s="195"/>
      <c r="L297" s="195" t="s">
        <v>3480</v>
      </c>
      <c r="M297" s="5">
        <v>15450</v>
      </c>
      <c r="N297" s="5">
        <f>H297*M297</f>
        <v>108150</v>
      </c>
      <c r="O297" s="82">
        <v>0.18</v>
      </c>
      <c r="P297" s="9">
        <f>N297*O297</f>
        <v>19467</v>
      </c>
      <c r="Q297" s="5"/>
      <c r="R297" s="5"/>
      <c r="S297" s="5">
        <f>N297+P297+Q297+R297</f>
        <v>127617</v>
      </c>
      <c r="T297" s="1" t="s">
        <v>606</v>
      </c>
      <c r="U297" s="1" t="s">
        <v>606</v>
      </c>
      <c r="V297" s="1" t="s">
        <v>444</v>
      </c>
      <c r="W297" s="1" t="s">
        <v>2002</v>
      </c>
      <c r="X297" s="1"/>
      <c r="Y297" s="1"/>
      <c r="Z297" s="8" t="s">
        <v>398</v>
      </c>
      <c r="AA297" s="8"/>
      <c r="AB297" s="8">
        <v>5</v>
      </c>
      <c r="AC297" s="12" t="s">
        <v>3536</v>
      </c>
      <c r="AD297" s="1"/>
      <c r="AE297" s="29"/>
      <c r="AF297" s="1"/>
      <c r="AG297" s="50"/>
    </row>
    <row r="298" spans="1:33" s="51" customFormat="1" x14ac:dyDescent="0.25">
      <c r="A298" s="250"/>
      <c r="B298" s="250">
        <v>45698</v>
      </c>
      <c r="C298" s="1" t="s">
        <v>2003</v>
      </c>
      <c r="D298" s="224" t="s">
        <v>3499</v>
      </c>
      <c r="E298" s="186" t="s">
        <v>1644</v>
      </c>
      <c r="F298" s="255" t="s">
        <v>3546</v>
      </c>
      <c r="G298" s="186"/>
      <c r="H298" s="195">
        <v>80</v>
      </c>
      <c r="I298" s="195"/>
      <c r="J298" s="195">
        <f>Table224[[#This Row],[Qty]]-Table224[[#This Row],[Issue Qty]]</f>
        <v>80</v>
      </c>
      <c r="K298" s="195"/>
      <c r="L298" s="195" t="s">
        <v>3480</v>
      </c>
      <c r="M298" s="197"/>
      <c r="N298" s="197"/>
      <c r="O298" s="251"/>
      <c r="P298" s="247"/>
      <c r="Q298" s="197"/>
      <c r="R298" s="197"/>
      <c r="S298" s="197"/>
      <c r="T298" s="186"/>
      <c r="U298" s="186"/>
      <c r="V298" s="186"/>
      <c r="W298" s="186"/>
      <c r="X298" s="186"/>
      <c r="Y298" s="252"/>
      <c r="Z298" s="21" t="s">
        <v>261</v>
      </c>
      <c r="AA298" s="201"/>
      <c r="AB298" s="201"/>
      <c r="AC298" s="202"/>
      <c r="AD298" s="252"/>
      <c r="AE298" s="29"/>
      <c r="AF298" s="252"/>
      <c r="AG298" s="253"/>
    </row>
    <row r="299" spans="1:33" s="51" customFormat="1" x14ac:dyDescent="0.25">
      <c r="A299" s="250"/>
      <c r="B299" s="250">
        <v>45698</v>
      </c>
      <c r="C299" s="1" t="s">
        <v>2003</v>
      </c>
      <c r="D299" s="224" t="s">
        <v>3499</v>
      </c>
      <c r="E299" s="186" t="s">
        <v>1644</v>
      </c>
      <c r="F299" s="255" t="s">
        <v>3546</v>
      </c>
      <c r="G299" s="186"/>
      <c r="H299" s="195">
        <v>4</v>
      </c>
      <c r="I299" s="195"/>
      <c r="J299" s="195">
        <f>Table224[[#This Row],[Qty]]-Table224[[#This Row],[Issue Qty]]</f>
        <v>4</v>
      </c>
      <c r="K299" s="195"/>
      <c r="L299" s="195" t="s">
        <v>3480</v>
      </c>
      <c r="M299" s="197"/>
      <c r="N299" s="197"/>
      <c r="O299" s="251"/>
      <c r="P299" s="247"/>
      <c r="Q299" s="197"/>
      <c r="R299" s="197"/>
      <c r="S299" s="197"/>
      <c r="T299" s="186"/>
      <c r="U299" s="186"/>
      <c r="V299" s="186"/>
      <c r="W299" s="186"/>
      <c r="X299" s="186"/>
      <c r="Y299" s="252"/>
      <c r="Z299" s="21" t="s">
        <v>261</v>
      </c>
      <c r="AA299" s="201"/>
      <c r="AB299" s="201"/>
      <c r="AC299" s="202"/>
      <c r="AD299" s="252"/>
      <c r="AE299" s="29"/>
      <c r="AF299" s="252"/>
      <c r="AG299" s="253"/>
    </row>
    <row r="300" spans="1:33" s="51" customFormat="1" ht="30" x14ac:dyDescent="0.25">
      <c r="A300" s="250"/>
      <c r="B300" s="250">
        <v>45698</v>
      </c>
      <c r="C300" s="1" t="s">
        <v>1688</v>
      </c>
      <c r="D300" s="224" t="s">
        <v>3451</v>
      </c>
      <c r="E300" s="219" t="s">
        <v>2001</v>
      </c>
      <c r="F300" s="259" t="s">
        <v>716</v>
      </c>
      <c r="G300" s="186" t="s">
        <v>716</v>
      </c>
      <c r="H300" s="195">
        <v>24</v>
      </c>
      <c r="I300" s="195">
        <v>8</v>
      </c>
      <c r="J300" s="195">
        <f>Table224[[#This Row],[Qty]]-Table224[[#This Row],[Issue Qty]]</f>
        <v>16</v>
      </c>
      <c r="K300" s="195"/>
      <c r="L300" s="195" t="s">
        <v>3480</v>
      </c>
      <c r="M300" s="197">
        <v>14250</v>
      </c>
      <c r="N300" s="197">
        <f>H300*M300</f>
        <v>342000</v>
      </c>
      <c r="O300" s="251">
        <v>0.18</v>
      </c>
      <c r="P300" s="247">
        <f>N300*O300</f>
        <v>61560</v>
      </c>
      <c r="Q300" s="197"/>
      <c r="R300" s="197"/>
      <c r="S300" s="197">
        <f>N300+P300+Q300+R300</f>
        <v>403560</v>
      </c>
      <c r="T300" s="186" t="s">
        <v>606</v>
      </c>
      <c r="U300" s="186" t="s">
        <v>606</v>
      </c>
      <c r="V300" s="186" t="s">
        <v>444</v>
      </c>
      <c r="W300" s="186" t="s">
        <v>2002</v>
      </c>
      <c r="X300" s="186"/>
      <c r="Y300" s="186"/>
      <c r="Z300" s="21" t="s">
        <v>717</v>
      </c>
      <c r="AA300" s="195"/>
      <c r="AB300" s="195">
        <v>8</v>
      </c>
      <c r="AC300" s="222" t="s">
        <v>3798</v>
      </c>
      <c r="AD300" s="186"/>
      <c r="AE300" s="29"/>
      <c r="AF300" s="186"/>
      <c r="AG300" s="253"/>
    </row>
    <row r="301" spans="1:33" s="51" customFormat="1" x14ac:dyDescent="0.25">
      <c r="A301" s="250"/>
      <c r="B301" s="250">
        <v>45698</v>
      </c>
      <c r="C301" s="6" t="s">
        <v>1683</v>
      </c>
      <c r="D301" s="224" t="s">
        <v>1663</v>
      </c>
      <c r="E301" s="219" t="s">
        <v>1875</v>
      </c>
      <c r="F301" s="291" t="s">
        <v>463</v>
      </c>
      <c r="G301" s="186" t="s">
        <v>463</v>
      </c>
      <c r="H301" s="195">
        <f>24+10+12</f>
        <v>46</v>
      </c>
      <c r="I301" s="195"/>
      <c r="J301" s="195">
        <f>Table224[[#This Row],[Qty]]-Table224[[#This Row],[Issue Qty]]</f>
        <v>46</v>
      </c>
      <c r="K301" s="195"/>
      <c r="L301" s="195" t="s">
        <v>3480</v>
      </c>
      <c r="M301" s="197">
        <v>12400</v>
      </c>
      <c r="N301" s="197">
        <f>H301*M301</f>
        <v>570400</v>
      </c>
      <c r="O301" s="251">
        <v>0.18</v>
      </c>
      <c r="P301" s="247">
        <f>N301*O301</f>
        <v>102672</v>
      </c>
      <c r="Q301" s="197"/>
      <c r="R301" s="197"/>
      <c r="S301" s="197">
        <f>N301+P301+Q301+R301</f>
        <v>673072</v>
      </c>
      <c r="T301" s="186" t="s">
        <v>606</v>
      </c>
      <c r="U301" s="186" t="s">
        <v>606</v>
      </c>
      <c r="V301" s="186" t="s">
        <v>444</v>
      </c>
      <c r="W301" s="186" t="s">
        <v>2002</v>
      </c>
      <c r="X301" s="186"/>
      <c r="Y301" s="186"/>
      <c r="Z301" s="8"/>
      <c r="AA301" s="195"/>
      <c r="AB301" s="195"/>
      <c r="AC301" s="222"/>
      <c r="AD301" s="186"/>
      <c r="AE301" s="29"/>
      <c r="AF301" s="186"/>
      <c r="AG301" s="253"/>
    </row>
    <row r="302" spans="1:33" s="51" customFormat="1" x14ac:dyDescent="0.25">
      <c r="A302" s="250"/>
      <c r="B302" s="250">
        <v>45698</v>
      </c>
      <c r="C302" s="1" t="s">
        <v>2003</v>
      </c>
      <c r="D302" s="224" t="s">
        <v>3499</v>
      </c>
      <c r="E302" s="186" t="s">
        <v>1644</v>
      </c>
      <c r="F302" s="255" t="s">
        <v>3545</v>
      </c>
      <c r="G302" s="186"/>
      <c r="H302" s="195">
        <v>26</v>
      </c>
      <c r="I302" s="195"/>
      <c r="J302" s="195">
        <f>Table224[[#This Row],[Qty]]-Table224[[#This Row],[Issue Qty]]</f>
        <v>26</v>
      </c>
      <c r="K302" s="195"/>
      <c r="L302" s="195" t="s">
        <v>3480</v>
      </c>
      <c r="M302" s="197"/>
      <c r="N302" s="197"/>
      <c r="O302" s="251"/>
      <c r="P302" s="247"/>
      <c r="Q302" s="197"/>
      <c r="R302" s="197"/>
      <c r="S302" s="197"/>
      <c r="T302" s="186"/>
      <c r="U302" s="186"/>
      <c r="V302" s="186"/>
      <c r="W302" s="186"/>
      <c r="X302" s="186"/>
      <c r="Y302" s="252"/>
      <c r="Z302" s="21" t="s">
        <v>261</v>
      </c>
      <c r="AA302" s="201"/>
      <c r="AB302" s="201"/>
      <c r="AC302" s="202"/>
      <c r="AD302" s="252"/>
      <c r="AE302" s="29"/>
      <c r="AF302" s="252"/>
      <c r="AG302" s="253"/>
    </row>
    <row r="303" spans="1:33" s="51" customFormat="1" x14ac:dyDescent="0.25">
      <c r="A303" s="250"/>
      <c r="B303" s="250">
        <v>45698</v>
      </c>
      <c r="C303" s="1" t="s">
        <v>2003</v>
      </c>
      <c r="D303" s="224" t="s">
        <v>3499</v>
      </c>
      <c r="E303" s="186" t="s">
        <v>1644</v>
      </c>
      <c r="F303" s="255" t="s">
        <v>3543</v>
      </c>
      <c r="G303" s="186"/>
      <c r="H303" s="195">
        <v>29</v>
      </c>
      <c r="I303" s="195"/>
      <c r="J303" s="195">
        <f>Table224[[#This Row],[Qty]]-Table224[[#This Row],[Issue Qty]]</f>
        <v>29</v>
      </c>
      <c r="K303" s="195"/>
      <c r="L303" s="195" t="s">
        <v>3480</v>
      </c>
      <c r="M303" s="197"/>
      <c r="N303" s="197"/>
      <c r="O303" s="251"/>
      <c r="P303" s="247"/>
      <c r="Q303" s="197"/>
      <c r="R303" s="197"/>
      <c r="S303" s="197"/>
      <c r="T303" s="186"/>
      <c r="U303" s="186"/>
      <c r="V303" s="186"/>
      <c r="W303" s="186"/>
      <c r="X303" s="186"/>
      <c r="Y303" s="252"/>
      <c r="Z303" s="21" t="s">
        <v>261</v>
      </c>
      <c r="AA303" s="201"/>
      <c r="AB303" s="201"/>
      <c r="AC303" s="202"/>
      <c r="AD303" s="252"/>
      <c r="AE303" s="29"/>
      <c r="AF303" s="252"/>
      <c r="AG303" s="253"/>
    </row>
    <row r="304" spans="1:33" s="51" customFormat="1" x14ac:dyDescent="0.25">
      <c r="A304" s="250"/>
      <c r="B304" s="250">
        <v>45698</v>
      </c>
      <c r="C304" s="1" t="s">
        <v>2003</v>
      </c>
      <c r="D304" s="224" t="s">
        <v>3499</v>
      </c>
      <c r="E304" s="186" t="s">
        <v>2004</v>
      </c>
      <c r="F304" s="255" t="s">
        <v>719</v>
      </c>
      <c r="G304" s="186" t="s">
        <v>719</v>
      </c>
      <c r="H304" s="195">
        <v>21</v>
      </c>
      <c r="I304" s="195"/>
      <c r="J304" s="195">
        <f>Table224[[#This Row],[Qty]]-Table224[[#This Row],[Issue Qty]]</f>
        <v>21</v>
      </c>
      <c r="K304" s="195"/>
      <c r="L304" s="195" t="s">
        <v>3486</v>
      </c>
      <c r="M304" s="197">
        <v>1500</v>
      </c>
      <c r="N304" s="197">
        <f>H304*M304</f>
        <v>31500</v>
      </c>
      <c r="O304" s="251">
        <v>0.05</v>
      </c>
      <c r="P304" s="247">
        <f>N304*O304</f>
        <v>1575</v>
      </c>
      <c r="Q304" s="197">
        <f>(30312.5+30312.5*0.18)/9</f>
        <v>3974.3055555555557</v>
      </c>
      <c r="R304" s="197"/>
      <c r="S304" s="197">
        <f>N304+P304+Q304+R304</f>
        <v>37049.305555555555</v>
      </c>
      <c r="T304" s="186" t="s">
        <v>606</v>
      </c>
      <c r="U304" s="186" t="s">
        <v>606</v>
      </c>
      <c r="V304" s="186" t="s">
        <v>709</v>
      </c>
      <c r="W304" s="186" t="s">
        <v>1998</v>
      </c>
      <c r="X304" s="186"/>
      <c r="Y304" s="252"/>
      <c r="Z304" s="21" t="s">
        <v>261</v>
      </c>
      <c r="AA304" s="201"/>
      <c r="AB304" s="201">
        <v>21</v>
      </c>
      <c r="AC304" s="202" t="s">
        <v>607</v>
      </c>
      <c r="AD304" s="252"/>
      <c r="AE304" s="29" t="s">
        <v>720</v>
      </c>
      <c r="AF304" s="252"/>
      <c r="AG304" s="253"/>
    </row>
    <row r="305" spans="1:33" s="51" customFormat="1" x14ac:dyDescent="0.25">
      <c r="A305" s="4"/>
      <c r="B305" s="4">
        <v>45698</v>
      </c>
      <c r="C305" s="1" t="s">
        <v>2003</v>
      </c>
      <c r="D305" s="224" t="s">
        <v>3499</v>
      </c>
      <c r="E305" s="1" t="s">
        <v>1644</v>
      </c>
      <c r="F305" s="254" t="s">
        <v>3542</v>
      </c>
      <c r="G305" s="1"/>
      <c r="H305" s="8">
        <v>4</v>
      </c>
      <c r="I305" s="8"/>
      <c r="J305" s="115">
        <f>Table224[[#This Row],[Qty]]-Table224[[#This Row],[Issue Qty]]</f>
        <v>4</v>
      </c>
      <c r="K305" s="195"/>
      <c r="L305" s="195" t="s">
        <v>3480</v>
      </c>
      <c r="M305" s="5"/>
      <c r="N305" s="5"/>
      <c r="O305" s="82"/>
      <c r="P305" s="9"/>
      <c r="Q305" s="5"/>
      <c r="R305" s="5"/>
      <c r="S305" s="5"/>
      <c r="T305" s="1"/>
      <c r="U305" s="1"/>
      <c r="V305" s="1"/>
      <c r="W305" s="1"/>
      <c r="X305" s="1"/>
      <c r="Y305" s="2"/>
      <c r="Z305" s="21" t="s">
        <v>261</v>
      </c>
      <c r="AA305" s="21"/>
      <c r="AB305" s="21"/>
      <c r="AC305" s="12"/>
      <c r="AD305" s="2"/>
      <c r="AE305" s="29"/>
      <c r="AF305" s="2"/>
      <c r="AG305" s="50"/>
    </row>
    <row r="306" spans="1:33" s="51" customFormat="1" x14ac:dyDescent="0.25">
      <c r="A306" s="4"/>
      <c r="B306" s="4">
        <v>45698</v>
      </c>
      <c r="C306" s="1" t="s">
        <v>2003</v>
      </c>
      <c r="D306" s="224" t="s">
        <v>3499</v>
      </c>
      <c r="E306" s="1" t="s">
        <v>1644</v>
      </c>
      <c r="F306" s="254" t="s">
        <v>3547</v>
      </c>
      <c r="G306" s="1"/>
      <c r="H306" s="8">
        <v>4</v>
      </c>
      <c r="I306" s="8"/>
      <c r="J306" s="115">
        <f>Table224[[#This Row],[Qty]]-Table224[[#This Row],[Issue Qty]]</f>
        <v>4</v>
      </c>
      <c r="K306" s="195"/>
      <c r="L306" s="195" t="s">
        <v>3480</v>
      </c>
      <c r="M306" s="5"/>
      <c r="N306" s="5"/>
      <c r="O306" s="82"/>
      <c r="P306" s="9"/>
      <c r="Q306" s="5"/>
      <c r="R306" s="5"/>
      <c r="S306" s="5"/>
      <c r="T306" s="1"/>
      <c r="U306" s="1"/>
      <c r="V306" s="1"/>
      <c r="W306" s="1"/>
      <c r="X306" s="1"/>
      <c r="Y306" s="2"/>
      <c r="Z306" s="21" t="s">
        <v>261</v>
      </c>
      <c r="AA306" s="21"/>
      <c r="AB306" s="21"/>
      <c r="AC306" s="12"/>
      <c r="AD306" s="2"/>
      <c r="AE306" s="29"/>
      <c r="AF306" s="2"/>
      <c r="AG306" s="50"/>
    </row>
    <row r="307" spans="1:33" s="51" customFormat="1" x14ac:dyDescent="0.25">
      <c r="A307" s="4"/>
      <c r="B307" s="4">
        <v>45699</v>
      </c>
      <c r="C307" s="1" t="s">
        <v>1991</v>
      </c>
      <c r="D307" s="224" t="s">
        <v>3491</v>
      </c>
      <c r="E307" s="26" t="s">
        <v>2008</v>
      </c>
      <c r="F307" s="248" t="s">
        <v>725</v>
      </c>
      <c r="G307" s="1" t="s">
        <v>725</v>
      </c>
      <c r="H307" s="8">
        <v>12</v>
      </c>
      <c r="I307" s="8">
        <v>12</v>
      </c>
      <c r="J307" s="115">
        <f>Table224[[#This Row],[Qty]]-Table224[[#This Row],[Issue Qty]]</f>
        <v>0</v>
      </c>
      <c r="K307" s="332">
        <v>12</v>
      </c>
      <c r="L307" s="195" t="s">
        <v>3480</v>
      </c>
      <c r="M307" s="5">
        <v>21.186667</v>
      </c>
      <c r="N307" s="5">
        <f t="shared" ref="N307:N370" si="18">H307*M307</f>
        <v>254.240004</v>
      </c>
      <c r="O307" s="82">
        <v>0.18</v>
      </c>
      <c r="P307" s="9">
        <f t="shared" ref="P307:P370" si="19">N307*O307</f>
        <v>45.76320072</v>
      </c>
      <c r="Q307" s="5">
        <v>99</v>
      </c>
      <c r="R307" s="5"/>
      <c r="S307" s="5">
        <f t="shared" ref="S307:S370" si="20">N307+P307+Q307+R307</f>
        <v>399.00320471999999</v>
      </c>
      <c r="T307" s="1" t="s">
        <v>726</v>
      </c>
      <c r="U307" s="1" t="s">
        <v>726</v>
      </c>
      <c r="V307" s="1" t="s">
        <v>691</v>
      </c>
      <c r="W307" s="1" t="s">
        <v>2009</v>
      </c>
      <c r="X307" s="1"/>
      <c r="Y307" s="1"/>
      <c r="Z307" s="8"/>
      <c r="AA307" s="8"/>
      <c r="AB307" s="8">
        <v>12</v>
      </c>
      <c r="AC307" s="22" t="s">
        <v>81</v>
      </c>
      <c r="AD307" s="1"/>
      <c r="AE307" s="29"/>
      <c r="AF307" s="1"/>
      <c r="AG307" s="50"/>
    </row>
    <row r="308" spans="1:33" s="208" customFormat="1" ht="30" x14ac:dyDescent="0.25">
      <c r="A308" s="4"/>
      <c r="B308" s="4">
        <v>45702</v>
      </c>
      <c r="C308" s="1" t="s">
        <v>1991</v>
      </c>
      <c r="D308" s="224" t="s">
        <v>3588</v>
      </c>
      <c r="E308" s="26" t="s">
        <v>2010</v>
      </c>
      <c r="F308" s="231" t="s">
        <v>727</v>
      </c>
      <c r="G308" s="1" t="s">
        <v>727</v>
      </c>
      <c r="H308" s="8">
        <v>1</v>
      </c>
      <c r="I308" s="8">
        <v>1</v>
      </c>
      <c r="J308" s="115">
        <f>Table224[[#This Row],[Qty]]-Table224[[#This Row],[Issue Qty]]</f>
        <v>0</v>
      </c>
      <c r="K308" s="195"/>
      <c r="L308" s="195" t="s">
        <v>3480</v>
      </c>
      <c r="M308" s="5">
        <v>101.69</v>
      </c>
      <c r="N308" s="5">
        <f t="shared" si="18"/>
        <v>101.69</v>
      </c>
      <c r="O308" s="82">
        <v>0.18</v>
      </c>
      <c r="P308" s="9">
        <f t="shared" si="19"/>
        <v>18.304199999999998</v>
      </c>
      <c r="Q308" s="5">
        <v>45.01</v>
      </c>
      <c r="R308" s="5"/>
      <c r="S308" s="5">
        <f t="shared" si="20"/>
        <v>165.0042</v>
      </c>
      <c r="T308" s="1" t="s">
        <v>726</v>
      </c>
      <c r="U308" s="1" t="s">
        <v>726</v>
      </c>
      <c r="V308" s="1" t="s">
        <v>384</v>
      </c>
      <c r="W308" s="1" t="s">
        <v>2011</v>
      </c>
      <c r="X308" s="1"/>
      <c r="Y308" s="1"/>
      <c r="Z308" s="8"/>
      <c r="AA308" s="8"/>
      <c r="AB308" s="8">
        <v>1</v>
      </c>
      <c r="AC308" s="22" t="s">
        <v>81</v>
      </c>
      <c r="AD308" s="1"/>
      <c r="AE308" s="29"/>
      <c r="AF308" s="1"/>
      <c r="AG308" s="50"/>
    </row>
    <row r="309" spans="1:33" s="51" customFormat="1" x14ac:dyDescent="0.25">
      <c r="A309" s="4"/>
      <c r="B309" s="4">
        <v>45707</v>
      </c>
      <c r="C309" s="1" t="s">
        <v>54</v>
      </c>
      <c r="D309" s="224" t="s">
        <v>3587</v>
      </c>
      <c r="E309" s="1" t="s">
        <v>2014</v>
      </c>
      <c r="F309" s="102" t="s">
        <v>731</v>
      </c>
      <c r="G309" s="1" t="s">
        <v>732</v>
      </c>
      <c r="H309" s="8">
        <v>9</v>
      </c>
      <c r="I309" s="8">
        <v>9</v>
      </c>
      <c r="J309" s="115">
        <f>Table224[[#This Row],[Qty]]-Table224[[#This Row],[Issue Qty]]</f>
        <v>0</v>
      </c>
      <c r="K309" s="195"/>
      <c r="L309" s="195" t="s">
        <v>3480</v>
      </c>
      <c r="M309" s="5">
        <v>775</v>
      </c>
      <c r="N309" s="5">
        <f t="shared" si="18"/>
        <v>6975</v>
      </c>
      <c r="O309" s="82">
        <v>0.18</v>
      </c>
      <c r="P309" s="9">
        <f t="shared" si="19"/>
        <v>1255.5</v>
      </c>
      <c r="Q309" s="5"/>
      <c r="R309" s="5"/>
      <c r="S309" s="5">
        <f t="shared" si="20"/>
        <v>8230.5</v>
      </c>
      <c r="T309" s="1" t="s">
        <v>606</v>
      </c>
      <c r="U309" s="1" t="s">
        <v>606</v>
      </c>
      <c r="V309" s="1" t="s">
        <v>730</v>
      </c>
      <c r="W309" s="1" t="s">
        <v>2013</v>
      </c>
      <c r="X309" s="1"/>
      <c r="Y309" s="2"/>
      <c r="Z309" s="21"/>
      <c r="AA309" s="21"/>
      <c r="AB309" s="21">
        <v>9</v>
      </c>
      <c r="AC309" s="12" t="s">
        <v>3770</v>
      </c>
      <c r="AD309" s="2"/>
      <c r="AE309" s="29"/>
      <c r="AF309" s="2"/>
      <c r="AG309" s="50"/>
    </row>
    <row r="310" spans="1:33" s="51" customFormat="1" ht="30" x14ac:dyDescent="0.25">
      <c r="A310" s="4"/>
      <c r="B310" s="4">
        <v>45707</v>
      </c>
      <c r="C310" s="1" t="s">
        <v>54</v>
      </c>
      <c r="D310" s="224" t="s">
        <v>3587</v>
      </c>
      <c r="E310" s="1" t="s">
        <v>2012</v>
      </c>
      <c r="F310" s="102" t="s">
        <v>728</v>
      </c>
      <c r="G310" s="1" t="s">
        <v>729</v>
      </c>
      <c r="H310" s="8">
        <v>18</v>
      </c>
      <c r="I310" s="8">
        <v>18</v>
      </c>
      <c r="J310" s="115">
        <f>Table224[[#This Row],[Qty]]-Table224[[#This Row],[Issue Qty]]</f>
        <v>0</v>
      </c>
      <c r="K310" s="195"/>
      <c r="L310" s="195" t="s">
        <v>3480</v>
      </c>
      <c r="M310" s="5">
        <v>5397</v>
      </c>
      <c r="N310" s="5">
        <f t="shared" si="18"/>
        <v>97146</v>
      </c>
      <c r="O310" s="82">
        <v>0.18</v>
      </c>
      <c r="P310" s="9">
        <f t="shared" si="19"/>
        <v>17486.28</v>
      </c>
      <c r="Q310" s="5"/>
      <c r="R310" s="5"/>
      <c r="S310" s="5">
        <f t="shared" si="20"/>
        <v>114632.28</v>
      </c>
      <c r="T310" s="1" t="s">
        <v>606</v>
      </c>
      <c r="U310" s="1" t="s">
        <v>606</v>
      </c>
      <c r="V310" s="1" t="s">
        <v>730</v>
      </c>
      <c r="W310" s="1" t="s">
        <v>2013</v>
      </c>
      <c r="X310" s="1"/>
      <c r="Y310" s="2"/>
      <c r="Z310" s="21"/>
      <c r="AA310" s="21"/>
      <c r="AB310" s="21">
        <v>18</v>
      </c>
      <c r="AC310" s="12" t="s">
        <v>3771</v>
      </c>
      <c r="AD310" s="2"/>
      <c r="AE310" s="29"/>
      <c r="AF310" s="2"/>
      <c r="AG310" s="50"/>
    </row>
    <row r="311" spans="1:33" s="51" customFormat="1" x14ac:dyDescent="0.25">
      <c r="A311" s="4"/>
      <c r="B311" s="4">
        <v>45708</v>
      </c>
      <c r="C311" s="6" t="s">
        <v>1683</v>
      </c>
      <c r="D311" s="224" t="s">
        <v>3487</v>
      </c>
      <c r="E311" s="1" t="s">
        <v>2018</v>
      </c>
      <c r="F311" s="102" t="s">
        <v>738</v>
      </c>
      <c r="G311" s="1" t="s">
        <v>738</v>
      </c>
      <c r="H311" s="8">
        <v>1</v>
      </c>
      <c r="I311" s="8">
        <v>0</v>
      </c>
      <c r="J311" s="115">
        <f>Table224[[#This Row],[Qty]]-Table224[[#This Row],[Issue Qty]]</f>
        <v>1</v>
      </c>
      <c r="K311" s="195"/>
      <c r="L311" s="195" t="s">
        <v>3486</v>
      </c>
      <c r="M311" s="5">
        <v>79.959999999999994</v>
      </c>
      <c r="N311" s="5">
        <f t="shared" si="18"/>
        <v>79.959999999999994</v>
      </c>
      <c r="O311" s="82">
        <v>0.18</v>
      </c>
      <c r="P311" s="9">
        <f t="shared" si="19"/>
        <v>14.392799999999998</v>
      </c>
      <c r="Q311" s="5">
        <f>130/5</f>
        <v>26</v>
      </c>
      <c r="R311" s="5"/>
      <c r="S311" s="5">
        <f t="shared" si="20"/>
        <v>120.35279999999999</v>
      </c>
      <c r="T311" s="1" t="s">
        <v>726</v>
      </c>
      <c r="U311" s="1" t="s">
        <v>726</v>
      </c>
      <c r="V311" s="1" t="s">
        <v>691</v>
      </c>
      <c r="W311" s="1" t="s">
        <v>2016</v>
      </c>
      <c r="X311" s="1"/>
      <c r="Y311" s="2"/>
      <c r="Z311" s="21" t="s">
        <v>650</v>
      </c>
      <c r="AA311" s="21" t="s">
        <v>3617</v>
      </c>
      <c r="AB311" s="21">
        <v>1</v>
      </c>
      <c r="AC311" s="12" t="s">
        <v>474</v>
      </c>
      <c r="AD311" s="2"/>
      <c r="AE311" s="29"/>
      <c r="AF311" s="2"/>
      <c r="AG311" s="50"/>
    </row>
    <row r="312" spans="1:33" s="51" customFormat="1" ht="30" x14ac:dyDescent="0.25">
      <c r="A312" s="4"/>
      <c r="B312" s="4">
        <v>45708</v>
      </c>
      <c r="C312" s="6" t="s">
        <v>1683</v>
      </c>
      <c r="D312" s="224" t="s">
        <v>3487</v>
      </c>
      <c r="E312" s="1" t="s">
        <v>2019</v>
      </c>
      <c r="F312" s="102" t="s">
        <v>739</v>
      </c>
      <c r="G312" s="1" t="s">
        <v>739</v>
      </c>
      <c r="H312" s="8">
        <v>2</v>
      </c>
      <c r="I312" s="8"/>
      <c r="J312" s="115">
        <f>Table224[[#This Row],[Qty]]-Table224[[#This Row],[Issue Qty]]</f>
        <v>2</v>
      </c>
      <c r="K312" s="195"/>
      <c r="L312" s="195" t="s">
        <v>3486</v>
      </c>
      <c r="M312" s="5">
        <v>75.424999999999997</v>
      </c>
      <c r="N312" s="5">
        <f t="shared" si="18"/>
        <v>150.85</v>
      </c>
      <c r="O312" s="82">
        <v>0.18</v>
      </c>
      <c r="P312" s="9">
        <f t="shared" si="19"/>
        <v>27.152999999999999</v>
      </c>
      <c r="Q312" s="5">
        <f>130/5</f>
        <v>26</v>
      </c>
      <c r="R312" s="5"/>
      <c r="S312" s="5">
        <f t="shared" si="20"/>
        <v>204.00299999999999</v>
      </c>
      <c r="T312" s="1" t="s">
        <v>726</v>
      </c>
      <c r="U312" s="1" t="s">
        <v>726</v>
      </c>
      <c r="V312" s="1" t="s">
        <v>691</v>
      </c>
      <c r="W312" s="1" t="s">
        <v>2016</v>
      </c>
      <c r="X312" s="1"/>
      <c r="Y312" s="2"/>
      <c r="Z312" s="21" t="s">
        <v>650</v>
      </c>
      <c r="AA312" s="21" t="s">
        <v>3617</v>
      </c>
      <c r="AB312" s="21"/>
      <c r="AC312" s="12"/>
      <c r="AD312" s="2"/>
      <c r="AE312" s="29"/>
      <c r="AF312" s="2"/>
      <c r="AG312" s="50"/>
    </row>
    <row r="313" spans="1:33" s="51" customFormat="1" ht="30" x14ac:dyDescent="0.25">
      <c r="A313" s="4"/>
      <c r="B313" s="4">
        <v>45708</v>
      </c>
      <c r="C313" s="1" t="s">
        <v>54</v>
      </c>
      <c r="D313" s="224" t="s">
        <v>3430</v>
      </c>
      <c r="E313" s="26" t="s">
        <v>2015</v>
      </c>
      <c r="F313" s="233" t="s">
        <v>733</v>
      </c>
      <c r="G313" s="1" t="s">
        <v>734</v>
      </c>
      <c r="H313" s="8">
        <v>3</v>
      </c>
      <c r="I313" s="8">
        <v>3</v>
      </c>
      <c r="J313" s="115">
        <f>Table224[[#This Row],[Qty]]-Table224[[#This Row],[Issue Qty]]</f>
        <v>0</v>
      </c>
      <c r="K313" s="195"/>
      <c r="L313" s="195" t="s">
        <v>3479</v>
      </c>
      <c r="M313" s="5">
        <v>94.096666999999997</v>
      </c>
      <c r="N313" s="5">
        <f t="shared" si="18"/>
        <v>282.29000099999996</v>
      </c>
      <c r="O313" s="82">
        <v>0.05</v>
      </c>
      <c r="P313" s="9">
        <f t="shared" si="19"/>
        <v>14.114500049999998</v>
      </c>
      <c r="Q313" s="5">
        <f>130/5</f>
        <v>26</v>
      </c>
      <c r="R313" s="5"/>
      <c r="S313" s="5">
        <f t="shared" si="20"/>
        <v>322.40450104999996</v>
      </c>
      <c r="T313" s="1" t="s">
        <v>726</v>
      </c>
      <c r="U313" s="1" t="s">
        <v>726</v>
      </c>
      <c r="V313" s="1" t="s">
        <v>691</v>
      </c>
      <c r="W313" s="1" t="s">
        <v>2016</v>
      </c>
      <c r="X313" s="1"/>
      <c r="Y313" s="1"/>
      <c r="Z313" s="8" t="s">
        <v>3470</v>
      </c>
      <c r="AA313" s="8"/>
      <c r="AB313" s="8">
        <v>3</v>
      </c>
      <c r="AC313" s="22" t="s">
        <v>3334</v>
      </c>
      <c r="AD313" s="1"/>
      <c r="AE313" s="29"/>
      <c r="AF313" s="1"/>
      <c r="AG313" s="50"/>
    </row>
    <row r="314" spans="1:33" s="51" customFormat="1" ht="30" x14ac:dyDescent="0.25">
      <c r="A314" s="4"/>
      <c r="B314" s="4">
        <v>45708</v>
      </c>
      <c r="C314" s="6" t="s">
        <v>1683</v>
      </c>
      <c r="D314" s="224" t="s">
        <v>3431</v>
      </c>
      <c r="E314" s="26" t="s">
        <v>2020</v>
      </c>
      <c r="F314" s="233" t="s">
        <v>740</v>
      </c>
      <c r="G314" s="1" t="s">
        <v>741</v>
      </c>
      <c r="H314" s="8">
        <v>3</v>
      </c>
      <c r="I314" s="8">
        <v>1</v>
      </c>
      <c r="J314" s="115">
        <f>Table224[[#This Row],[Qty]]-Table224[[#This Row],[Issue Qty]]</f>
        <v>2</v>
      </c>
      <c r="K314" s="195"/>
      <c r="L314" s="195" t="s">
        <v>3486</v>
      </c>
      <c r="M314" s="5">
        <v>380</v>
      </c>
      <c r="N314" s="5">
        <f t="shared" si="18"/>
        <v>1140</v>
      </c>
      <c r="O314" s="82">
        <v>0.05</v>
      </c>
      <c r="P314" s="9">
        <f t="shared" si="19"/>
        <v>57</v>
      </c>
      <c r="Q314" s="5">
        <f>130/5</f>
        <v>26</v>
      </c>
      <c r="R314" s="5"/>
      <c r="S314" s="5">
        <f t="shared" si="20"/>
        <v>1223</v>
      </c>
      <c r="T314" s="1" t="s">
        <v>726</v>
      </c>
      <c r="U314" s="1" t="s">
        <v>726</v>
      </c>
      <c r="V314" s="1" t="s">
        <v>691</v>
      </c>
      <c r="W314" s="1" t="s">
        <v>2016</v>
      </c>
      <c r="X314" s="1"/>
      <c r="Y314" s="1"/>
      <c r="Z314" s="8" t="s">
        <v>22</v>
      </c>
      <c r="AA314" s="8" t="s">
        <v>1963</v>
      </c>
      <c r="AB314" s="8">
        <v>1</v>
      </c>
      <c r="AC314" s="22" t="s">
        <v>736</v>
      </c>
      <c r="AD314" s="1"/>
      <c r="AE314" s="29"/>
      <c r="AF314" s="1"/>
      <c r="AG314" s="50"/>
    </row>
    <row r="315" spans="1:33" s="51" customFormat="1" ht="30" x14ac:dyDescent="0.25">
      <c r="A315" s="4"/>
      <c r="B315" s="4">
        <v>45708</v>
      </c>
      <c r="C315" s="6" t="s">
        <v>1683</v>
      </c>
      <c r="D315" s="224" t="s">
        <v>3487</v>
      </c>
      <c r="E315" s="26" t="s">
        <v>2017</v>
      </c>
      <c r="F315" s="233" t="s">
        <v>737</v>
      </c>
      <c r="G315" s="1" t="s">
        <v>737</v>
      </c>
      <c r="H315" s="8">
        <v>25</v>
      </c>
      <c r="I315" s="8">
        <v>25</v>
      </c>
      <c r="J315" s="115">
        <f>Table224[[#This Row],[Qty]]-Table224[[#This Row],[Issue Qty]]</f>
        <v>0</v>
      </c>
      <c r="K315" s="195"/>
      <c r="L315" s="195" t="s">
        <v>3480</v>
      </c>
      <c r="M315" s="5">
        <v>0.14399999999999999</v>
      </c>
      <c r="N315" s="5">
        <f t="shared" si="18"/>
        <v>3.5999999999999996</v>
      </c>
      <c r="O315" s="82">
        <v>0.18</v>
      </c>
      <c r="P315" s="9">
        <f t="shared" si="19"/>
        <v>0.64799999999999991</v>
      </c>
      <c r="Q315" s="5">
        <f>130/5</f>
        <v>26</v>
      </c>
      <c r="R315" s="5"/>
      <c r="S315" s="5">
        <f t="shared" si="20"/>
        <v>30.247999999999998</v>
      </c>
      <c r="T315" s="1" t="s">
        <v>726</v>
      </c>
      <c r="U315" s="1" t="s">
        <v>726</v>
      </c>
      <c r="V315" s="1" t="s">
        <v>691</v>
      </c>
      <c r="W315" s="1" t="s">
        <v>2016</v>
      </c>
      <c r="X315" s="1"/>
      <c r="Y315" s="1"/>
      <c r="Z315" s="21" t="s">
        <v>650</v>
      </c>
      <c r="AA315" s="21" t="s">
        <v>3617</v>
      </c>
      <c r="AB315" s="8">
        <v>25</v>
      </c>
      <c r="AC315" s="22" t="s">
        <v>81</v>
      </c>
      <c r="AD315" s="1"/>
      <c r="AE315" s="29"/>
      <c r="AF315" s="1"/>
      <c r="AG315" s="50"/>
    </row>
    <row r="316" spans="1:33" s="51" customFormat="1" ht="30" x14ac:dyDescent="0.25">
      <c r="A316" s="4"/>
      <c r="B316" s="4">
        <v>45717</v>
      </c>
      <c r="C316" s="1" t="s">
        <v>1991</v>
      </c>
      <c r="D316" s="224" t="s">
        <v>3560</v>
      </c>
      <c r="E316" s="26" t="s">
        <v>2021</v>
      </c>
      <c r="F316" s="231" t="s">
        <v>742</v>
      </c>
      <c r="G316" s="1" t="s">
        <v>743</v>
      </c>
      <c r="H316" s="8">
        <v>12</v>
      </c>
      <c r="I316" s="8">
        <v>12</v>
      </c>
      <c r="J316" s="115">
        <f>Table224[[#This Row],[Qty]]-Table224[[#This Row],[Issue Qty]]</f>
        <v>0</v>
      </c>
      <c r="K316" s="195"/>
      <c r="L316" s="195" t="s">
        <v>3480</v>
      </c>
      <c r="M316" s="5">
        <v>0.83083300000000004</v>
      </c>
      <c r="N316" s="5">
        <f t="shared" si="18"/>
        <v>9.9699960000000001</v>
      </c>
      <c r="O316" s="82">
        <v>0.18</v>
      </c>
      <c r="P316" s="9">
        <f t="shared" si="19"/>
        <v>1.7945992799999999</v>
      </c>
      <c r="Q316" s="5">
        <f>99/2</f>
        <v>49.5</v>
      </c>
      <c r="R316" s="5"/>
      <c r="S316" s="5">
        <f t="shared" si="20"/>
        <v>61.264595280000002</v>
      </c>
      <c r="T316" s="1" t="s">
        <v>726</v>
      </c>
      <c r="U316" s="1" t="s">
        <v>726</v>
      </c>
      <c r="V316" s="1" t="s">
        <v>691</v>
      </c>
      <c r="W316" s="1" t="s">
        <v>2022</v>
      </c>
      <c r="X316" s="1"/>
      <c r="Y316" s="1"/>
      <c r="Z316" s="8"/>
      <c r="AA316" s="8"/>
      <c r="AB316" s="8">
        <v>12</v>
      </c>
      <c r="AC316" s="22" t="s">
        <v>81</v>
      </c>
      <c r="AD316" s="1"/>
      <c r="AE316" s="29"/>
      <c r="AF316" s="1"/>
      <c r="AG316" s="50"/>
    </row>
    <row r="317" spans="1:33" s="51" customFormat="1" ht="30" x14ac:dyDescent="0.25">
      <c r="A317" s="4"/>
      <c r="B317" s="4">
        <v>45720</v>
      </c>
      <c r="C317" s="1" t="s">
        <v>54</v>
      </c>
      <c r="D317" s="224" t="s">
        <v>3430</v>
      </c>
      <c r="E317" s="26" t="s">
        <v>2023</v>
      </c>
      <c r="F317" s="233" t="s">
        <v>744</v>
      </c>
      <c r="G317" s="1" t="s">
        <v>745</v>
      </c>
      <c r="H317" s="8">
        <v>1</v>
      </c>
      <c r="I317" s="8"/>
      <c r="J317" s="115">
        <f>Table224[[#This Row],[Qty]]-Table224[[#This Row],[Issue Qty]]</f>
        <v>1</v>
      </c>
      <c r="K317" s="195"/>
      <c r="L317" s="195" t="s">
        <v>3486</v>
      </c>
      <c r="M317" s="5">
        <v>213.81</v>
      </c>
      <c r="N317" s="5">
        <f t="shared" si="18"/>
        <v>213.81</v>
      </c>
      <c r="O317" s="82">
        <v>0.18</v>
      </c>
      <c r="P317" s="9">
        <f t="shared" si="19"/>
        <v>38.485799999999998</v>
      </c>
      <c r="Q317" s="5">
        <v>118</v>
      </c>
      <c r="R317" s="5"/>
      <c r="S317" s="5">
        <f t="shared" si="20"/>
        <v>370.29579999999999</v>
      </c>
      <c r="T317" s="1" t="s">
        <v>726</v>
      </c>
      <c r="U317" s="1" t="s">
        <v>726</v>
      </c>
      <c r="V317" s="1" t="s">
        <v>746</v>
      </c>
      <c r="W317" s="1" t="s">
        <v>2024</v>
      </c>
      <c r="X317" s="1"/>
      <c r="Y317" s="1"/>
      <c r="Z317" s="8" t="s">
        <v>688</v>
      </c>
      <c r="AA317" s="8"/>
      <c r="AB317" s="8"/>
      <c r="AC317" s="22"/>
      <c r="AD317" s="1"/>
      <c r="AE317" s="29"/>
      <c r="AF317" s="1"/>
      <c r="AG317" s="50"/>
    </row>
    <row r="318" spans="1:33" s="51" customFormat="1" ht="30" x14ac:dyDescent="0.25">
      <c r="A318" s="4"/>
      <c r="B318" s="4">
        <v>45720</v>
      </c>
      <c r="C318" s="6" t="s">
        <v>1683</v>
      </c>
      <c r="D318" s="224" t="s">
        <v>1663</v>
      </c>
      <c r="E318" s="26" t="s">
        <v>2025</v>
      </c>
      <c r="F318" s="233" t="s">
        <v>747</v>
      </c>
      <c r="G318" s="1" t="s">
        <v>748</v>
      </c>
      <c r="H318" s="8">
        <v>1</v>
      </c>
      <c r="I318" s="8">
        <v>1</v>
      </c>
      <c r="J318" s="115">
        <f>Table224[[#This Row],[Qty]]-Table224[[#This Row],[Issue Qty]]</f>
        <v>0</v>
      </c>
      <c r="K318" s="195"/>
      <c r="L318" s="195" t="s">
        <v>3486</v>
      </c>
      <c r="M318" s="5">
        <v>649</v>
      </c>
      <c r="N318" s="5">
        <f t="shared" si="18"/>
        <v>649</v>
      </c>
      <c r="O318" s="82">
        <v>0.18</v>
      </c>
      <c r="P318" s="9">
        <f t="shared" si="19"/>
        <v>116.82</v>
      </c>
      <c r="Q318" s="5">
        <v>99</v>
      </c>
      <c r="R318" s="5"/>
      <c r="S318" s="5">
        <f t="shared" si="20"/>
        <v>864.81999999999994</v>
      </c>
      <c r="T318" s="1" t="s">
        <v>726</v>
      </c>
      <c r="U318" s="1" t="s">
        <v>726</v>
      </c>
      <c r="V318" s="1" t="s">
        <v>749</v>
      </c>
      <c r="W318" s="1" t="s">
        <v>2026</v>
      </c>
      <c r="X318" s="1"/>
      <c r="Y318" s="1"/>
      <c r="Z318" s="21" t="s">
        <v>638</v>
      </c>
      <c r="AA318" s="21" t="s">
        <v>1960</v>
      </c>
      <c r="AB318" s="8">
        <v>1</v>
      </c>
      <c r="AC318" s="22" t="s">
        <v>481</v>
      </c>
      <c r="AD318" s="1"/>
      <c r="AE318" s="29"/>
      <c r="AF318" s="1"/>
      <c r="AG318" s="50"/>
    </row>
    <row r="319" spans="1:33" s="51" customFormat="1" x14ac:dyDescent="0.25">
      <c r="A319" s="4"/>
      <c r="B319" s="4">
        <v>45721</v>
      </c>
      <c r="C319" s="1" t="s">
        <v>1991</v>
      </c>
      <c r="D319" s="224" t="s">
        <v>3491</v>
      </c>
      <c r="E319" s="26" t="s">
        <v>2008</v>
      </c>
      <c r="F319" s="231" t="s">
        <v>725</v>
      </c>
      <c r="G319" s="1" t="s">
        <v>725</v>
      </c>
      <c r="H319" s="8">
        <v>12</v>
      </c>
      <c r="I319" s="8">
        <v>12</v>
      </c>
      <c r="J319" s="115">
        <f>Table224[[#This Row],[Qty]]-Table224[[#This Row],[Issue Qty]]</f>
        <v>0</v>
      </c>
      <c r="K319" s="195"/>
      <c r="L319" s="195" t="s">
        <v>3480</v>
      </c>
      <c r="M319" s="5">
        <v>17.1525</v>
      </c>
      <c r="N319" s="5">
        <f t="shared" si="18"/>
        <v>205.82999999999998</v>
      </c>
      <c r="O319" s="82">
        <v>0.18</v>
      </c>
      <c r="P319" s="9">
        <f t="shared" si="19"/>
        <v>37.049399999999999</v>
      </c>
      <c r="Q319" s="5">
        <f>400/11</f>
        <v>36.363636363636367</v>
      </c>
      <c r="R319" s="5"/>
      <c r="S319" s="5">
        <f t="shared" si="20"/>
        <v>279.24303636363635</v>
      </c>
      <c r="T319" s="1" t="s">
        <v>726</v>
      </c>
      <c r="U319" s="1" t="s">
        <v>726</v>
      </c>
      <c r="V319" s="1" t="s">
        <v>691</v>
      </c>
      <c r="W319" s="1" t="s">
        <v>2029</v>
      </c>
      <c r="X319" s="1"/>
      <c r="Y319" s="1"/>
      <c r="Z319" s="8"/>
      <c r="AA319" s="8"/>
      <c r="AB319" s="8">
        <v>12</v>
      </c>
      <c r="AC319" s="22" t="s">
        <v>81</v>
      </c>
      <c r="AD319" s="1"/>
      <c r="AE319" s="29"/>
      <c r="AF319" s="1"/>
      <c r="AG319" s="50"/>
    </row>
    <row r="320" spans="1:33" s="51" customFormat="1" ht="30" x14ac:dyDescent="0.25">
      <c r="A320" s="4"/>
      <c r="B320" s="4">
        <v>45721</v>
      </c>
      <c r="C320" s="1" t="s">
        <v>1991</v>
      </c>
      <c r="D320" s="224" t="s">
        <v>3502</v>
      </c>
      <c r="E320" s="26" t="s">
        <v>2033</v>
      </c>
      <c r="F320" s="233" t="s">
        <v>759</v>
      </c>
      <c r="G320" s="1" t="s">
        <v>759</v>
      </c>
      <c r="H320" s="8">
        <v>3</v>
      </c>
      <c r="I320" s="8">
        <v>1</v>
      </c>
      <c r="J320" s="115">
        <f>Table224[[#This Row],[Qty]]-Table224[[#This Row],[Issue Qty]]</f>
        <v>2</v>
      </c>
      <c r="K320" s="195"/>
      <c r="L320" s="195" t="s">
        <v>3480</v>
      </c>
      <c r="M320" s="5">
        <v>109.653333</v>
      </c>
      <c r="N320" s="5">
        <f t="shared" si="18"/>
        <v>328.95999900000004</v>
      </c>
      <c r="O320" s="82">
        <v>0.18</v>
      </c>
      <c r="P320" s="9">
        <f t="shared" si="19"/>
        <v>59.212799820000008</v>
      </c>
      <c r="Q320" s="5">
        <f>400/11</f>
        <v>36.363636363636367</v>
      </c>
      <c r="R320" s="5"/>
      <c r="S320" s="5">
        <f t="shared" si="20"/>
        <v>424.5364351836364</v>
      </c>
      <c r="T320" s="1" t="s">
        <v>726</v>
      </c>
      <c r="U320" s="1" t="s">
        <v>726</v>
      </c>
      <c r="V320" s="1" t="s">
        <v>691</v>
      </c>
      <c r="W320" s="1" t="s">
        <v>2029</v>
      </c>
      <c r="X320" s="1"/>
      <c r="Y320" s="1"/>
      <c r="Z320" s="8" t="s">
        <v>650</v>
      </c>
      <c r="AA320" s="21" t="s">
        <v>3617</v>
      </c>
      <c r="AB320" s="8">
        <v>1</v>
      </c>
      <c r="AC320" s="22" t="s">
        <v>474</v>
      </c>
      <c r="AD320" s="1"/>
      <c r="AE320" s="29"/>
      <c r="AF320" s="1"/>
      <c r="AG320" s="50"/>
    </row>
    <row r="321" spans="1:33" s="51" customFormat="1" x14ac:dyDescent="0.25">
      <c r="A321" s="4"/>
      <c r="B321" s="4">
        <v>45721</v>
      </c>
      <c r="C321" s="6" t="s">
        <v>1683</v>
      </c>
      <c r="D321" s="224" t="s">
        <v>1663</v>
      </c>
      <c r="E321" s="1" t="s">
        <v>2032</v>
      </c>
      <c r="F321" s="102" t="s">
        <v>756</v>
      </c>
      <c r="G321" s="1" t="s">
        <v>757</v>
      </c>
      <c r="H321" s="8">
        <v>1</v>
      </c>
      <c r="I321" s="8"/>
      <c r="J321" s="115">
        <f>Table224[[#This Row],[Qty]]-Table224[[#This Row],[Issue Qty]]</f>
        <v>1</v>
      </c>
      <c r="K321" s="195"/>
      <c r="L321" s="195" t="s">
        <v>3480</v>
      </c>
      <c r="M321" s="5">
        <v>340.69</v>
      </c>
      <c r="N321" s="5">
        <f t="shared" si="18"/>
        <v>340.69</v>
      </c>
      <c r="O321" s="82">
        <v>0.18</v>
      </c>
      <c r="P321" s="9">
        <f t="shared" si="19"/>
        <v>61.324199999999998</v>
      </c>
      <c r="Q321" s="5">
        <f>400/11</f>
        <v>36.363636363636367</v>
      </c>
      <c r="R321" s="5"/>
      <c r="S321" s="5">
        <f t="shared" si="20"/>
        <v>438.37783636363639</v>
      </c>
      <c r="T321" s="1" t="s">
        <v>726</v>
      </c>
      <c r="U321" s="1" t="s">
        <v>726</v>
      </c>
      <c r="V321" s="1" t="s">
        <v>691</v>
      </c>
      <c r="W321" s="1" t="s">
        <v>2029</v>
      </c>
      <c r="X321" s="1"/>
      <c r="Y321" s="1"/>
      <c r="Z321" s="21" t="s">
        <v>638</v>
      </c>
      <c r="AA321" s="21" t="s">
        <v>1960</v>
      </c>
      <c r="AB321" s="8"/>
      <c r="AC321" s="22" t="s">
        <v>736</v>
      </c>
      <c r="AD321" s="1"/>
      <c r="AE321" s="29" t="s">
        <v>758</v>
      </c>
      <c r="AF321" s="1"/>
      <c r="AG321" s="50"/>
    </row>
    <row r="322" spans="1:33" s="51" customFormat="1" x14ac:dyDescent="0.25">
      <c r="A322" s="4"/>
      <c r="B322" s="4">
        <v>45721</v>
      </c>
      <c r="C322" s="1" t="s">
        <v>54</v>
      </c>
      <c r="D322" s="224" t="s">
        <v>3500</v>
      </c>
      <c r="E322" s="26" t="s">
        <v>1988</v>
      </c>
      <c r="F322" s="233" t="s">
        <v>685</v>
      </c>
      <c r="G322" s="1" t="s">
        <v>750</v>
      </c>
      <c r="H322" s="8">
        <v>2</v>
      </c>
      <c r="I322" s="8">
        <v>2</v>
      </c>
      <c r="J322" s="115">
        <f>Table224[[#This Row],[Qty]]-Table224[[#This Row],[Issue Qty]]</f>
        <v>0</v>
      </c>
      <c r="K322" s="195"/>
      <c r="L322" s="195" t="s">
        <v>3480</v>
      </c>
      <c r="M322" s="5">
        <v>2900</v>
      </c>
      <c r="N322" s="5">
        <f t="shared" si="18"/>
        <v>5800</v>
      </c>
      <c r="O322" s="82">
        <v>0</v>
      </c>
      <c r="P322" s="9">
        <f t="shared" si="19"/>
        <v>0</v>
      </c>
      <c r="Q322" s="5">
        <v>80</v>
      </c>
      <c r="R322" s="5"/>
      <c r="S322" s="5">
        <f t="shared" si="20"/>
        <v>5880</v>
      </c>
      <c r="T322" s="1" t="s">
        <v>726</v>
      </c>
      <c r="U322" s="1" t="s">
        <v>726</v>
      </c>
      <c r="V322" s="1" t="s">
        <v>687</v>
      </c>
      <c r="W322" s="1" t="s">
        <v>2027</v>
      </c>
      <c r="X322" s="1"/>
      <c r="Y322" s="2"/>
      <c r="Z322" s="8" t="s">
        <v>965</v>
      </c>
      <c r="AA322" s="21" t="s">
        <v>3627</v>
      </c>
      <c r="AB322" s="21">
        <v>2</v>
      </c>
      <c r="AC322" s="22" t="s">
        <v>81</v>
      </c>
      <c r="AD322" s="2"/>
      <c r="AE322" s="29"/>
      <c r="AF322" s="2"/>
      <c r="AG322" s="50"/>
    </row>
    <row r="323" spans="1:33" s="51" customFormat="1" x14ac:dyDescent="0.25">
      <c r="A323" s="4"/>
      <c r="B323" s="4">
        <v>45721</v>
      </c>
      <c r="C323" s="6" t="s">
        <v>1730</v>
      </c>
      <c r="D323" s="224" t="s">
        <v>3495</v>
      </c>
      <c r="E323" s="1" t="s">
        <v>2030</v>
      </c>
      <c r="F323" s="102" t="s">
        <v>753</v>
      </c>
      <c r="G323" s="1" t="s">
        <v>754</v>
      </c>
      <c r="H323" s="8">
        <f>13-8</f>
        <v>5</v>
      </c>
      <c r="I323" s="8">
        <v>5</v>
      </c>
      <c r="J323" s="115">
        <f>Table224[[#This Row],[Qty]]-Table224[[#This Row],[Issue Qty]]</f>
        <v>0</v>
      </c>
      <c r="K323" s="195"/>
      <c r="L323" s="195" t="s">
        <v>3486</v>
      </c>
      <c r="M323" s="5">
        <v>88.39</v>
      </c>
      <c r="N323" s="5">
        <f t="shared" si="18"/>
        <v>441.95</v>
      </c>
      <c r="O323" s="82">
        <v>0.18</v>
      </c>
      <c r="P323" s="9">
        <f t="shared" si="19"/>
        <v>79.551000000000002</v>
      </c>
      <c r="Q323" s="5">
        <v>49</v>
      </c>
      <c r="R323" s="5"/>
      <c r="S323" s="5">
        <f t="shared" si="20"/>
        <v>570.50099999999998</v>
      </c>
      <c r="T323" s="1" t="s">
        <v>606</v>
      </c>
      <c r="U323" s="1" t="s">
        <v>606</v>
      </c>
      <c r="V323" s="1" t="s">
        <v>691</v>
      </c>
      <c r="W323" s="1" t="s">
        <v>2031</v>
      </c>
      <c r="X323" s="1"/>
      <c r="Y323" s="2"/>
      <c r="Z323" s="21"/>
      <c r="AA323" s="21"/>
      <c r="AB323" s="21">
        <v>5</v>
      </c>
      <c r="AC323" s="22" t="s">
        <v>81</v>
      </c>
      <c r="AD323" s="2"/>
      <c r="AE323" s="29" t="s">
        <v>755</v>
      </c>
      <c r="AF323" s="2"/>
      <c r="AG323" s="50"/>
    </row>
    <row r="324" spans="1:33" s="51" customFormat="1" x14ac:dyDescent="0.25">
      <c r="A324" s="4"/>
      <c r="B324" s="4">
        <v>45721</v>
      </c>
      <c r="C324" s="6" t="s">
        <v>1683</v>
      </c>
      <c r="D324" s="224" t="s">
        <v>1663</v>
      </c>
      <c r="E324" s="26" t="s">
        <v>2028</v>
      </c>
      <c r="F324" s="233" t="s">
        <v>751</v>
      </c>
      <c r="G324" s="1" t="s">
        <v>752</v>
      </c>
      <c r="H324" s="8">
        <v>1</v>
      </c>
      <c r="I324" s="8"/>
      <c r="J324" s="115">
        <f>Table224[[#This Row],[Qty]]-Table224[[#This Row],[Issue Qty]]</f>
        <v>1</v>
      </c>
      <c r="K324" s="195"/>
      <c r="L324" s="195" t="s">
        <v>3480</v>
      </c>
      <c r="M324" s="5">
        <v>220.34</v>
      </c>
      <c r="N324" s="5">
        <f t="shared" si="18"/>
        <v>220.34</v>
      </c>
      <c r="O324" s="82">
        <v>0.18</v>
      </c>
      <c r="P324" s="9">
        <f t="shared" si="19"/>
        <v>39.661200000000001</v>
      </c>
      <c r="Q324" s="5">
        <f>400/11</f>
        <v>36.363636363636367</v>
      </c>
      <c r="R324" s="5"/>
      <c r="S324" s="5">
        <f t="shared" si="20"/>
        <v>296.36483636363636</v>
      </c>
      <c r="T324" s="1" t="s">
        <v>726</v>
      </c>
      <c r="U324" s="1" t="s">
        <v>726</v>
      </c>
      <c r="V324" s="1" t="s">
        <v>691</v>
      </c>
      <c r="W324" s="1" t="s">
        <v>2029</v>
      </c>
      <c r="X324" s="1"/>
      <c r="Y324" s="1"/>
      <c r="Z324" s="8" t="s">
        <v>638</v>
      </c>
      <c r="AA324" s="8" t="s">
        <v>1960</v>
      </c>
      <c r="AB324" s="8">
        <v>1</v>
      </c>
      <c r="AC324" s="22" t="s">
        <v>736</v>
      </c>
      <c r="AD324" s="1"/>
      <c r="AE324" s="29"/>
      <c r="AF324" s="1"/>
      <c r="AG324" s="50"/>
    </row>
    <row r="325" spans="1:33" s="51" customFormat="1" x14ac:dyDescent="0.25">
      <c r="A325" s="4"/>
      <c r="B325" s="4">
        <v>45723</v>
      </c>
      <c r="C325" s="6" t="s">
        <v>1730</v>
      </c>
      <c r="D325" s="224" t="s">
        <v>3495</v>
      </c>
      <c r="E325" s="1" t="s">
        <v>2035</v>
      </c>
      <c r="F325" s="102" t="s">
        <v>762</v>
      </c>
      <c r="G325" s="1" t="s">
        <v>762</v>
      </c>
      <c r="H325" s="8">
        <v>1</v>
      </c>
      <c r="I325" s="8"/>
      <c r="J325" s="115">
        <f>Table224[[#This Row],[Qty]]-Table224[[#This Row],[Issue Qty]]</f>
        <v>1</v>
      </c>
      <c r="K325" s="195"/>
      <c r="L325" s="195" t="s">
        <v>3480</v>
      </c>
      <c r="M325" s="5">
        <v>4921</v>
      </c>
      <c r="N325" s="5">
        <f t="shared" si="18"/>
        <v>4921</v>
      </c>
      <c r="O325" s="82">
        <v>0.18</v>
      </c>
      <c r="P325" s="9">
        <f t="shared" si="19"/>
        <v>885.78</v>
      </c>
      <c r="Q325" s="5"/>
      <c r="R325" s="5"/>
      <c r="S325" s="5">
        <f t="shared" si="20"/>
        <v>5806.78</v>
      </c>
      <c r="T325" s="1" t="s">
        <v>763</v>
      </c>
      <c r="U325" s="1" t="s">
        <v>763</v>
      </c>
      <c r="V325" s="1" t="s">
        <v>764</v>
      </c>
      <c r="W325" s="1" t="s">
        <v>2036</v>
      </c>
      <c r="X325" s="1"/>
      <c r="Y325" s="2"/>
      <c r="Z325" s="21" t="s">
        <v>64</v>
      </c>
      <c r="AA325" s="21"/>
      <c r="AB325" s="21"/>
      <c r="AC325" s="12"/>
      <c r="AD325" s="2"/>
      <c r="AE325" s="29" t="s">
        <v>765</v>
      </c>
      <c r="AF325" s="2"/>
      <c r="AG325" s="50"/>
    </row>
    <row r="326" spans="1:33" s="51" customFormat="1" x14ac:dyDescent="0.25">
      <c r="A326" s="4"/>
      <c r="B326" s="4">
        <v>45723</v>
      </c>
      <c r="C326" s="6" t="s">
        <v>1730</v>
      </c>
      <c r="D326" s="224" t="s">
        <v>3495</v>
      </c>
      <c r="E326" s="1" t="s">
        <v>2037</v>
      </c>
      <c r="F326" s="102" t="s">
        <v>766</v>
      </c>
      <c r="G326" s="1" t="s">
        <v>766</v>
      </c>
      <c r="H326" s="8">
        <v>2</v>
      </c>
      <c r="I326" s="8"/>
      <c r="J326" s="115">
        <f>Table224[[#This Row],[Qty]]-Table224[[#This Row],[Issue Qty]]</f>
        <v>2</v>
      </c>
      <c r="K326" s="195"/>
      <c r="L326" s="195" t="s">
        <v>3480</v>
      </c>
      <c r="M326" s="5">
        <v>2829</v>
      </c>
      <c r="N326" s="5">
        <f t="shared" si="18"/>
        <v>5658</v>
      </c>
      <c r="O326" s="82">
        <v>0.18</v>
      </c>
      <c r="P326" s="9">
        <f t="shared" si="19"/>
        <v>1018.4399999999999</v>
      </c>
      <c r="Q326" s="5"/>
      <c r="R326" s="5"/>
      <c r="S326" s="5">
        <f t="shared" si="20"/>
        <v>6676.44</v>
      </c>
      <c r="T326" s="1" t="s">
        <v>763</v>
      </c>
      <c r="U326" s="1" t="s">
        <v>763</v>
      </c>
      <c r="V326" s="1" t="s">
        <v>764</v>
      </c>
      <c r="W326" s="1" t="s">
        <v>2036</v>
      </c>
      <c r="X326" s="1"/>
      <c r="Y326" s="2"/>
      <c r="Z326" s="21" t="s">
        <v>64</v>
      </c>
      <c r="AA326" s="21"/>
      <c r="AB326" s="21"/>
      <c r="AC326" s="12"/>
      <c r="AD326" s="2"/>
      <c r="AE326" s="29" t="s">
        <v>767</v>
      </c>
      <c r="AF326" s="2"/>
      <c r="AG326" s="50"/>
    </row>
    <row r="327" spans="1:33" s="51" customFormat="1" ht="30" x14ac:dyDescent="0.25">
      <c r="A327" s="4"/>
      <c r="B327" s="4">
        <v>45723</v>
      </c>
      <c r="C327" s="6" t="s">
        <v>1730</v>
      </c>
      <c r="D327" s="224" t="s">
        <v>3625</v>
      </c>
      <c r="E327" s="1" t="s">
        <v>1994</v>
      </c>
      <c r="F327" s="102" t="s">
        <v>698</v>
      </c>
      <c r="G327" s="1" t="s">
        <v>698</v>
      </c>
      <c r="H327" s="8">
        <v>10</v>
      </c>
      <c r="I327" s="8"/>
      <c r="J327" s="115">
        <f>Table224[[#This Row],[Qty]]-Table224[[#This Row],[Issue Qty]]</f>
        <v>10</v>
      </c>
      <c r="K327" s="195"/>
      <c r="L327" s="195" t="s">
        <v>3480</v>
      </c>
      <c r="M327" s="5">
        <v>79.762679000000006</v>
      </c>
      <c r="N327" s="5">
        <f t="shared" si="18"/>
        <v>797.62679000000003</v>
      </c>
      <c r="O327" s="82">
        <v>0.18</v>
      </c>
      <c r="P327" s="9">
        <f t="shared" si="19"/>
        <v>143.57282219999999</v>
      </c>
      <c r="Q327" s="5"/>
      <c r="R327" s="5"/>
      <c r="S327" s="5">
        <f t="shared" si="20"/>
        <v>941.19961220000005</v>
      </c>
      <c r="T327" s="1" t="s">
        <v>606</v>
      </c>
      <c r="U327" s="1" t="s">
        <v>606</v>
      </c>
      <c r="V327" s="1" t="s">
        <v>691</v>
      </c>
      <c r="W327" s="1" t="s">
        <v>2034</v>
      </c>
      <c r="X327" s="1"/>
      <c r="Y327" s="2"/>
      <c r="Z327" s="21" t="s">
        <v>699</v>
      </c>
      <c r="AA327" s="21" t="s">
        <v>700</v>
      </c>
      <c r="AB327" s="21"/>
      <c r="AC327" s="12"/>
      <c r="AD327" s="2"/>
      <c r="AE327" s="29" t="s">
        <v>701</v>
      </c>
      <c r="AF327" s="2"/>
      <c r="AG327" s="50"/>
    </row>
    <row r="328" spans="1:33" s="51" customFormat="1" ht="30" x14ac:dyDescent="0.25">
      <c r="A328" s="4"/>
      <c r="B328" s="4">
        <v>45723</v>
      </c>
      <c r="C328" s="6" t="s">
        <v>1730</v>
      </c>
      <c r="D328" s="224" t="s">
        <v>3625</v>
      </c>
      <c r="E328" s="1" t="s">
        <v>1994</v>
      </c>
      <c r="F328" s="316" t="s">
        <v>698</v>
      </c>
      <c r="G328" s="1" t="s">
        <v>698</v>
      </c>
      <c r="H328" s="8">
        <v>28</v>
      </c>
      <c r="I328" s="8"/>
      <c r="J328" s="115">
        <f>Table224[[#This Row],[Qty]]-Table224[[#This Row],[Issue Qty]]</f>
        <v>28</v>
      </c>
      <c r="K328" s="195"/>
      <c r="L328" s="195" t="s">
        <v>3480</v>
      </c>
      <c r="M328" s="5">
        <v>79.762679000000006</v>
      </c>
      <c r="N328" s="5">
        <f t="shared" si="18"/>
        <v>2233.355012</v>
      </c>
      <c r="O328" s="82">
        <v>0.18</v>
      </c>
      <c r="P328" s="9">
        <f t="shared" si="19"/>
        <v>402.00390216</v>
      </c>
      <c r="Q328" s="5"/>
      <c r="R328" s="5"/>
      <c r="S328" s="5">
        <f t="shared" si="20"/>
        <v>2635.35891416</v>
      </c>
      <c r="T328" s="1" t="s">
        <v>606</v>
      </c>
      <c r="U328" s="1" t="s">
        <v>606</v>
      </c>
      <c r="V328" s="1" t="s">
        <v>691</v>
      </c>
      <c r="W328" s="1" t="s">
        <v>2034</v>
      </c>
      <c r="X328" s="1"/>
      <c r="Y328" s="1"/>
      <c r="Z328" s="21" t="s">
        <v>699</v>
      </c>
      <c r="AA328" s="21" t="s">
        <v>700</v>
      </c>
      <c r="AB328" s="8">
        <v>10</v>
      </c>
      <c r="AC328" s="22" t="s">
        <v>3303</v>
      </c>
      <c r="AD328" s="1"/>
      <c r="AE328" s="29" t="s">
        <v>701</v>
      </c>
      <c r="AF328" s="1"/>
      <c r="AG328" s="50"/>
    </row>
    <row r="329" spans="1:33" s="51" customFormat="1" ht="30" x14ac:dyDescent="0.25">
      <c r="A329" s="4"/>
      <c r="B329" s="4">
        <v>45723</v>
      </c>
      <c r="C329" s="1" t="s">
        <v>1991</v>
      </c>
      <c r="D329" s="224" t="s">
        <v>3463</v>
      </c>
      <c r="E329" s="1" t="s">
        <v>1918</v>
      </c>
      <c r="F329" s="102" t="s">
        <v>562</v>
      </c>
      <c r="G329" s="1" t="s">
        <v>562</v>
      </c>
      <c r="H329" s="8">
        <f>20-9</f>
        <v>11</v>
      </c>
      <c r="I329" s="8">
        <v>6</v>
      </c>
      <c r="J329" s="115">
        <f>Table224[[#This Row],[Qty]]-Table224[[#This Row],[Issue Qty]]</f>
        <v>5</v>
      </c>
      <c r="K329" s="195"/>
      <c r="L329" s="195" t="s">
        <v>3480</v>
      </c>
      <c r="M329" s="5">
        <v>152.54249999999999</v>
      </c>
      <c r="N329" s="5">
        <f t="shared" si="18"/>
        <v>1677.9675</v>
      </c>
      <c r="O329" s="82">
        <v>0.18</v>
      </c>
      <c r="P329" s="9">
        <f t="shared" si="19"/>
        <v>302.03415000000001</v>
      </c>
      <c r="Q329" s="5"/>
      <c r="R329" s="5"/>
      <c r="S329" s="5">
        <f t="shared" si="20"/>
        <v>1980.0016499999999</v>
      </c>
      <c r="T329" s="1" t="s">
        <v>606</v>
      </c>
      <c r="U329" s="1" t="s">
        <v>606</v>
      </c>
      <c r="V329" s="1" t="s">
        <v>691</v>
      </c>
      <c r="W329" s="1" t="s">
        <v>2034</v>
      </c>
      <c r="X329" s="1"/>
      <c r="Y329" s="2"/>
      <c r="Z329" s="21" t="s">
        <v>89</v>
      </c>
      <c r="AA329" s="204" t="s">
        <v>114</v>
      </c>
      <c r="AB329" s="21">
        <v>5</v>
      </c>
      <c r="AC329" s="12" t="s">
        <v>3850</v>
      </c>
      <c r="AD329" s="12" t="s">
        <v>761</v>
      </c>
      <c r="AE329" s="29"/>
      <c r="AF329" s="2"/>
      <c r="AG329" s="50"/>
    </row>
    <row r="330" spans="1:33" s="51" customFormat="1" ht="45" x14ac:dyDescent="0.25">
      <c r="A330" s="4"/>
      <c r="B330" s="4">
        <v>45726</v>
      </c>
      <c r="C330" s="1" t="s">
        <v>54</v>
      </c>
      <c r="D330" s="224" t="s">
        <v>3497</v>
      </c>
      <c r="E330" s="1" t="s">
        <v>2039</v>
      </c>
      <c r="F330" s="102" t="s">
        <v>771</v>
      </c>
      <c r="G330" s="1" t="s">
        <v>772</v>
      </c>
      <c r="H330" s="8">
        <v>7</v>
      </c>
      <c r="I330" s="8">
        <v>7</v>
      </c>
      <c r="J330" s="115">
        <f>Table224[[#This Row],[Qty]]-Table224[[#This Row],[Issue Qty]]</f>
        <v>0</v>
      </c>
      <c r="K330" s="195"/>
      <c r="L330" s="195" t="s">
        <v>3480</v>
      </c>
      <c r="M330" s="5">
        <v>1088</v>
      </c>
      <c r="N330" s="5">
        <f t="shared" si="18"/>
        <v>7616</v>
      </c>
      <c r="O330" s="82">
        <v>0.12</v>
      </c>
      <c r="P330" s="9">
        <f t="shared" si="19"/>
        <v>913.92</v>
      </c>
      <c r="Q330" s="5"/>
      <c r="R330" s="5"/>
      <c r="S330" s="5">
        <f t="shared" si="20"/>
        <v>8529.92</v>
      </c>
      <c r="T330" s="1" t="s">
        <v>606</v>
      </c>
      <c r="U330" s="1" t="s">
        <v>606</v>
      </c>
      <c r="V330" s="1" t="s">
        <v>601</v>
      </c>
      <c r="W330" s="1">
        <v>40883</v>
      </c>
      <c r="X330" s="1"/>
      <c r="Y330" s="2"/>
      <c r="Z330" s="21"/>
      <c r="AA330" s="21"/>
      <c r="AB330" s="21">
        <v>7</v>
      </c>
      <c r="AC330" s="12" t="s">
        <v>2948</v>
      </c>
      <c r="AD330" s="2"/>
      <c r="AE330" s="29" t="s">
        <v>773</v>
      </c>
      <c r="AF330" s="2"/>
      <c r="AG330" s="207"/>
    </row>
    <row r="331" spans="1:33" s="51" customFormat="1" ht="45" x14ac:dyDescent="0.25">
      <c r="A331" s="4"/>
      <c r="B331" s="4">
        <v>45726</v>
      </c>
      <c r="C331" s="1" t="s">
        <v>54</v>
      </c>
      <c r="D331" s="224" t="s">
        <v>3497</v>
      </c>
      <c r="E331" s="1" t="s">
        <v>2038</v>
      </c>
      <c r="F331" s="102" t="s">
        <v>768</v>
      </c>
      <c r="G331" s="1" t="s">
        <v>769</v>
      </c>
      <c r="H331" s="8">
        <f>8-1</f>
        <v>7</v>
      </c>
      <c r="I331" s="8">
        <v>7</v>
      </c>
      <c r="J331" s="115">
        <f>Table224[[#This Row],[Qty]]-Table224[[#This Row],[Issue Qty]]</f>
        <v>0</v>
      </c>
      <c r="K331" s="195"/>
      <c r="L331" s="195" t="s">
        <v>3480</v>
      </c>
      <c r="M331" s="5">
        <v>1032</v>
      </c>
      <c r="N331" s="5">
        <f t="shared" si="18"/>
        <v>7224</v>
      </c>
      <c r="O331" s="82">
        <v>0.12</v>
      </c>
      <c r="P331" s="9">
        <f t="shared" si="19"/>
        <v>866.88</v>
      </c>
      <c r="Q331" s="5"/>
      <c r="R331" s="5"/>
      <c r="S331" s="5">
        <f t="shared" si="20"/>
        <v>8090.88</v>
      </c>
      <c r="T331" s="1" t="s">
        <v>606</v>
      </c>
      <c r="U331" s="1" t="s">
        <v>606</v>
      </c>
      <c r="V331" s="1" t="s">
        <v>601</v>
      </c>
      <c r="W331" s="1">
        <v>40883</v>
      </c>
      <c r="X331" s="1"/>
      <c r="Y331" s="2"/>
      <c r="Z331" s="21"/>
      <c r="AA331" s="21"/>
      <c r="AB331" s="21">
        <v>7</v>
      </c>
      <c r="AC331" s="12" t="s">
        <v>2957</v>
      </c>
      <c r="AD331" s="2"/>
      <c r="AE331" s="29" t="s">
        <v>770</v>
      </c>
      <c r="AF331" s="2"/>
      <c r="AG331" s="207"/>
    </row>
    <row r="332" spans="1:33" s="208" customFormat="1" ht="30" x14ac:dyDescent="0.25">
      <c r="A332" s="4"/>
      <c r="B332" s="4">
        <v>45729</v>
      </c>
      <c r="C332" s="1" t="s">
        <v>1991</v>
      </c>
      <c r="D332" s="224" t="s">
        <v>3560</v>
      </c>
      <c r="E332" s="26" t="s">
        <v>2021</v>
      </c>
      <c r="F332" s="231" t="s">
        <v>742</v>
      </c>
      <c r="G332" s="1" t="s">
        <v>779</v>
      </c>
      <c r="H332" s="8">
        <v>12</v>
      </c>
      <c r="I332" s="8">
        <v>12</v>
      </c>
      <c r="J332" s="115">
        <f>Table224[[#This Row],[Qty]]-Table224[[#This Row],[Issue Qty]]</f>
        <v>0</v>
      </c>
      <c r="K332" s="195"/>
      <c r="L332" s="195" t="s">
        <v>3480</v>
      </c>
      <c r="M332" s="5">
        <v>0.3725</v>
      </c>
      <c r="N332" s="5">
        <f t="shared" si="18"/>
        <v>4.47</v>
      </c>
      <c r="O332" s="82">
        <v>0.18</v>
      </c>
      <c r="P332" s="9">
        <f t="shared" si="19"/>
        <v>0.80459999999999987</v>
      </c>
      <c r="Q332" s="5"/>
      <c r="R332" s="5"/>
      <c r="S332" s="5">
        <f t="shared" si="20"/>
        <v>5.2745999999999995</v>
      </c>
      <c r="T332" s="1" t="s">
        <v>726</v>
      </c>
      <c r="U332" s="1" t="s">
        <v>726</v>
      </c>
      <c r="V332" s="1" t="s">
        <v>691</v>
      </c>
      <c r="W332" s="1" t="s">
        <v>2042</v>
      </c>
      <c r="X332" s="1"/>
      <c r="Y332" s="1"/>
      <c r="Z332" s="8"/>
      <c r="AA332" s="8"/>
      <c r="AB332" s="8">
        <v>12</v>
      </c>
      <c r="AC332" s="22" t="s">
        <v>81</v>
      </c>
      <c r="AD332" s="1"/>
      <c r="AE332" s="29"/>
      <c r="AF332" s="1"/>
      <c r="AG332" s="50"/>
    </row>
    <row r="333" spans="1:33" s="208" customFormat="1" x14ac:dyDescent="0.25">
      <c r="A333" s="4"/>
      <c r="B333" s="4">
        <v>45729</v>
      </c>
      <c r="C333" s="1" t="s">
        <v>54</v>
      </c>
      <c r="D333" s="224" t="s">
        <v>3500</v>
      </c>
      <c r="E333" s="1" t="s">
        <v>1997</v>
      </c>
      <c r="F333" s="232" t="s">
        <v>708</v>
      </c>
      <c r="G333" s="1" t="s">
        <v>708</v>
      </c>
      <c r="H333" s="8">
        <v>2</v>
      </c>
      <c r="I333" s="8">
        <v>2</v>
      </c>
      <c r="J333" s="115">
        <f>Table224[[#This Row],[Qty]]-Table224[[#This Row],[Issue Qty]]</f>
        <v>0</v>
      </c>
      <c r="K333" s="195"/>
      <c r="L333" s="195" t="s">
        <v>3480</v>
      </c>
      <c r="M333" s="5">
        <v>32000</v>
      </c>
      <c r="N333" s="5">
        <f t="shared" si="18"/>
        <v>64000</v>
      </c>
      <c r="O333" s="82">
        <v>0.05</v>
      </c>
      <c r="P333" s="9">
        <f t="shared" si="19"/>
        <v>3200</v>
      </c>
      <c r="Q333" s="5">
        <v>0</v>
      </c>
      <c r="R333" s="5"/>
      <c r="S333" s="5">
        <f t="shared" si="20"/>
        <v>67200</v>
      </c>
      <c r="T333" s="1" t="s">
        <v>606</v>
      </c>
      <c r="U333" s="1" t="s">
        <v>606</v>
      </c>
      <c r="V333" s="1" t="s">
        <v>709</v>
      </c>
      <c r="W333" s="1" t="s">
        <v>2040</v>
      </c>
      <c r="X333" s="1"/>
      <c r="Y333" s="2"/>
      <c r="Z333" s="21" t="s">
        <v>48</v>
      </c>
      <c r="AA333" s="21"/>
      <c r="AB333" s="21">
        <v>2</v>
      </c>
      <c r="AC333" s="12" t="s">
        <v>606</v>
      </c>
      <c r="AD333" s="2"/>
      <c r="AE333" s="29"/>
      <c r="AF333" s="2"/>
      <c r="AG333" s="50"/>
    </row>
    <row r="334" spans="1:33" s="51" customFormat="1" ht="45" x14ac:dyDescent="0.25">
      <c r="A334" s="4"/>
      <c r="B334" s="4">
        <v>45729</v>
      </c>
      <c r="C334" s="1" t="s">
        <v>1991</v>
      </c>
      <c r="D334" s="224" t="s">
        <v>3463</v>
      </c>
      <c r="E334" s="1" t="s">
        <v>2045</v>
      </c>
      <c r="F334" s="232" t="s">
        <v>781</v>
      </c>
      <c r="G334" s="1" t="s">
        <v>781</v>
      </c>
      <c r="H334" s="8">
        <v>2</v>
      </c>
      <c r="I334" s="8"/>
      <c r="J334" s="115">
        <f>Table224[[#This Row],[Qty]]-Table224[[#This Row],[Issue Qty]]</f>
        <v>2</v>
      </c>
      <c r="K334" s="195"/>
      <c r="L334" s="195" t="s">
        <v>3480</v>
      </c>
      <c r="M334" s="5">
        <v>386.32</v>
      </c>
      <c r="N334" s="5">
        <f t="shared" si="18"/>
        <v>772.64</v>
      </c>
      <c r="O334" s="82">
        <v>0.18</v>
      </c>
      <c r="P334" s="9">
        <f t="shared" si="19"/>
        <v>139.0752</v>
      </c>
      <c r="Q334" s="5"/>
      <c r="R334" s="5"/>
      <c r="S334" s="5">
        <f t="shared" si="20"/>
        <v>911.71519999999998</v>
      </c>
      <c r="T334" s="1" t="s">
        <v>726</v>
      </c>
      <c r="U334" s="1" t="s">
        <v>726</v>
      </c>
      <c r="V334" s="1" t="s">
        <v>691</v>
      </c>
      <c r="W334" s="1" t="s">
        <v>2042</v>
      </c>
      <c r="X334" s="1"/>
      <c r="Y334" s="2"/>
      <c r="Z334" s="21" t="s">
        <v>650</v>
      </c>
      <c r="AA334" s="21" t="s">
        <v>3617</v>
      </c>
      <c r="AB334" s="21">
        <v>2</v>
      </c>
      <c r="AC334" s="12" t="s">
        <v>474</v>
      </c>
      <c r="AD334" s="2"/>
      <c r="AE334" s="29" t="s">
        <v>782</v>
      </c>
      <c r="AF334" s="2"/>
      <c r="AG334" s="50"/>
    </row>
    <row r="335" spans="1:33" s="51" customFormat="1" ht="30" x14ac:dyDescent="0.25">
      <c r="A335" s="4"/>
      <c r="B335" s="4">
        <v>45729</v>
      </c>
      <c r="C335" s="1" t="s">
        <v>1991</v>
      </c>
      <c r="D335" s="224" t="s">
        <v>3491</v>
      </c>
      <c r="E335" s="26" t="s">
        <v>2041</v>
      </c>
      <c r="F335" s="233" t="s">
        <v>774</v>
      </c>
      <c r="G335" s="1" t="s">
        <v>775</v>
      </c>
      <c r="H335" s="8">
        <v>6</v>
      </c>
      <c r="I335" s="8">
        <v>6</v>
      </c>
      <c r="J335" s="115">
        <f>Table224[[#This Row],[Qty]]-Table224[[#This Row],[Issue Qty]]</f>
        <v>0</v>
      </c>
      <c r="K335" s="195"/>
      <c r="L335" s="195" t="s">
        <v>3480</v>
      </c>
      <c r="M335" s="5">
        <v>0.67</v>
      </c>
      <c r="N335" s="5">
        <f t="shared" si="18"/>
        <v>4.0200000000000005</v>
      </c>
      <c r="O335" s="82">
        <v>0.18</v>
      </c>
      <c r="P335" s="9">
        <f t="shared" si="19"/>
        <v>0.72360000000000002</v>
      </c>
      <c r="Q335" s="5"/>
      <c r="R335" s="5"/>
      <c r="S335" s="5">
        <f t="shared" si="20"/>
        <v>4.7436000000000007</v>
      </c>
      <c r="T335" s="1" t="s">
        <v>726</v>
      </c>
      <c r="U335" s="1" t="s">
        <v>726</v>
      </c>
      <c r="V335" s="1" t="s">
        <v>691</v>
      </c>
      <c r="W335" s="1" t="s">
        <v>2042</v>
      </c>
      <c r="X335" s="1"/>
      <c r="Y335" s="1"/>
      <c r="Z335" s="8"/>
      <c r="AA335" s="8"/>
      <c r="AB335" s="8">
        <v>6</v>
      </c>
      <c r="AC335" s="42" t="s">
        <v>481</v>
      </c>
      <c r="AD335" s="1"/>
      <c r="AE335" s="29"/>
      <c r="AF335" s="1"/>
      <c r="AG335" s="50"/>
    </row>
    <row r="336" spans="1:33" s="51" customFormat="1" ht="30" x14ac:dyDescent="0.25">
      <c r="A336" s="4"/>
      <c r="B336" s="4">
        <v>45729</v>
      </c>
      <c r="C336" s="6" t="s">
        <v>1683</v>
      </c>
      <c r="D336" s="224" t="s">
        <v>3431</v>
      </c>
      <c r="E336" s="26" t="s">
        <v>1972</v>
      </c>
      <c r="F336" s="233" t="s">
        <v>657</v>
      </c>
      <c r="G336" s="1" t="s">
        <v>776</v>
      </c>
      <c r="H336" s="8">
        <v>2</v>
      </c>
      <c r="I336" s="8">
        <v>2</v>
      </c>
      <c r="J336" s="115">
        <f>Table224[[#This Row],[Qty]]-Table224[[#This Row],[Issue Qty]]</f>
        <v>0</v>
      </c>
      <c r="K336" s="195"/>
      <c r="L336" s="195" t="s">
        <v>3486</v>
      </c>
      <c r="M336" s="5">
        <v>174.70500000000001</v>
      </c>
      <c r="N336" s="5">
        <f t="shared" si="18"/>
        <v>349.41</v>
      </c>
      <c r="O336" s="82">
        <v>0.05</v>
      </c>
      <c r="P336" s="9">
        <f t="shared" si="19"/>
        <v>17.470500000000001</v>
      </c>
      <c r="Q336" s="5"/>
      <c r="R336" s="5"/>
      <c r="S336" s="5">
        <f t="shared" si="20"/>
        <v>366.88050000000004</v>
      </c>
      <c r="T336" s="1" t="s">
        <v>726</v>
      </c>
      <c r="U336" s="1" t="s">
        <v>726</v>
      </c>
      <c r="V336" s="1" t="s">
        <v>691</v>
      </c>
      <c r="W336" s="1" t="s">
        <v>2042</v>
      </c>
      <c r="X336" s="1"/>
      <c r="Y336" s="1"/>
      <c r="Z336" s="8" t="s">
        <v>573</v>
      </c>
      <c r="AA336" s="8" t="s">
        <v>1963</v>
      </c>
      <c r="AB336" s="8">
        <v>2</v>
      </c>
      <c r="AC336" s="22" t="s">
        <v>81</v>
      </c>
      <c r="AD336" s="1"/>
      <c r="AE336" s="29"/>
      <c r="AF336" s="1"/>
      <c r="AG336" s="50"/>
    </row>
    <row r="337" spans="1:33" s="51" customFormat="1" x14ac:dyDescent="0.25">
      <c r="A337" s="4"/>
      <c r="B337" s="4">
        <v>45729</v>
      </c>
      <c r="C337" s="6" t="s">
        <v>1683</v>
      </c>
      <c r="D337" s="224" t="s">
        <v>3487</v>
      </c>
      <c r="E337" s="26" t="s">
        <v>2043</v>
      </c>
      <c r="F337" s="233" t="s">
        <v>777</v>
      </c>
      <c r="G337" s="1" t="s">
        <v>778</v>
      </c>
      <c r="H337" s="8">
        <v>8</v>
      </c>
      <c r="I337" s="8">
        <v>8</v>
      </c>
      <c r="J337" s="115">
        <f>Table224[[#This Row],[Qty]]-Table224[[#This Row],[Issue Qty]]</f>
        <v>0</v>
      </c>
      <c r="K337" s="195"/>
      <c r="L337" s="195" t="s">
        <v>3480</v>
      </c>
      <c r="M337" s="5">
        <v>17.813749999999999</v>
      </c>
      <c r="N337" s="5">
        <f t="shared" si="18"/>
        <v>142.51</v>
      </c>
      <c r="O337" s="82">
        <v>0.18</v>
      </c>
      <c r="P337" s="9">
        <f t="shared" si="19"/>
        <v>25.651799999999998</v>
      </c>
      <c r="Q337" s="5"/>
      <c r="R337" s="5"/>
      <c r="S337" s="5">
        <f t="shared" si="20"/>
        <v>168.1618</v>
      </c>
      <c r="T337" s="1" t="s">
        <v>726</v>
      </c>
      <c r="U337" s="1" t="s">
        <v>726</v>
      </c>
      <c r="V337" s="1" t="s">
        <v>691</v>
      </c>
      <c r="W337" s="1" t="s">
        <v>2042</v>
      </c>
      <c r="X337" s="1"/>
      <c r="Y337" s="1"/>
      <c r="Z337" s="8"/>
      <c r="AA337" s="8"/>
      <c r="AB337" s="8">
        <v>8</v>
      </c>
      <c r="AC337" s="22" t="s">
        <v>81</v>
      </c>
      <c r="AD337" s="1"/>
      <c r="AE337" s="29"/>
      <c r="AF337" s="1"/>
      <c r="AG337" s="50"/>
    </row>
    <row r="338" spans="1:33" s="51" customFormat="1" x14ac:dyDescent="0.25">
      <c r="A338" s="4"/>
      <c r="B338" s="4">
        <v>45729</v>
      </c>
      <c r="C338" s="1" t="s">
        <v>1991</v>
      </c>
      <c r="D338" s="224" t="s">
        <v>3555</v>
      </c>
      <c r="E338" s="26" t="s">
        <v>2044</v>
      </c>
      <c r="F338" s="233" t="s">
        <v>780</v>
      </c>
      <c r="G338" s="1" t="s">
        <v>780</v>
      </c>
      <c r="H338" s="8">
        <v>2</v>
      </c>
      <c r="I338" s="8">
        <v>0</v>
      </c>
      <c r="J338" s="115">
        <f>Table224[[#This Row],[Qty]]-Table224[[#This Row],[Issue Qty]]</f>
        <v>2</v>
      </c>
      <c r="K338" s="195"/>
      <c r="L338" s="195" t="s">
        <v>3480</v>
      </c>
      <c r="M338" s="5">
        <v>229.1</v>
      </c>
      <c r="N338" s="5">
        <f t="shared" si="18"/>
        <v>458.2</v>
      </c>
      <c r="O338" s="82">
        <v>0.18</v>
      </c>
      <c r="P338" s="9">
        <f t="shared" si="19"/>
        <v>82.475999999999999</v>
      </c>
      <c r="Q338" s="5"/>
      <c r="R338" s="5"/>
      <c r="S338" s="5">
        <f t="shared" si="20"/>
        <v>540.67599999999993</v>
      </c>
      <c r="T338" s="1" t="s">
        <v>726</v>
      </c>
      <c r="U338" s="1" t="s">
        <v>726</v>
      </c>
      <c r="V338" s="1" t="s">
        <v>691</v>
      </c>
      <c r="W338" s="1" t="s">
        <v>2042</v>
      </c>
      <c r="X338" s="1"/>
      <c r="Y338" s="2"/>
      <c r="Z338" s="21" t="s">
        <v>650</v>
      </c>
      <c r="AA338" s="21" t="s">
        <v>3617</v>
      </c>
      <c r="AB338" s="21"/>
      <c r="AC338" s="12"/>
      <c r="AD338" s="2"/>
      <c r="AE338" s="29"/>
      <c r="AF338" s="2"/>
      <c r="AG338" s="50"/>
    </row>
    <row r="339" spans="1:33" s="51" customFormat="1" ht="30" x14ac:dyDescent="0.25">
      <c r="A339" s="4"/>
      <c r="B339" s="4">
        <v>45729</v>
      </c>
      <c r="C339" s="1" t="s">
        <v>1991</v>
      </c>
      <c r="D339" s="224" t="s">
        <v>3560</v>
      </c>
      <c r="E339" s="1" t="s">
        <v>2046</v>
      </c>
      <c r="F339" s="102" t="s">
        <v>783</v>
      </c>
      <c r="G339" s="1" t="s">
        <v>783</v>
      </c>
      <c r="H339" s="8">
        <v>1</v>
      </c>
      <c r="I339" s="8"/>
      <c r="J339" s="115">
        <f>Table224[[#This Row],[Qty]]-Table224[[#This Row],[Issue Qty]]</f>
        <v>1</v>
      </c>
      <c r="K339" s="195"/>
      <c r="L339" s="195" t="s">
        <v>3480</v>
      </c>
      <c r="M339" s="5">
        <v>817.77</v>
      </c>
      <c r="N339" s="5">
        <f t="shared" si="18"/>
        <v>817.77</v>
      </c>
      <c r="O339" s="82">
        <v>0.05</v>
      </c>
      <c r="P339" s="9">
        <f t="shared" si="19"/>
        <v>40.888500000000001</v>
      </c>
      <c r="Q339" s="5"/>
      <c r="R339" s="5"/>
      <c r="S339" s="5">
        <f t="shared" si="20"/>
        <v>858.6585</v>
      </c>
      <c r="T339" s="1" t="s">
        <v>726</v>
      </c>
      <c r="U339" s="1" t="s">
        <v>726</v>
      </c>
      <c r="V339" s="1" t="s">
        <v>691</v>
      </c>
      <c r="W339" s="1" t="s">
        <v>2042</v>
      </c>
      <c r="X339" s="1"/>
      <c r="Y339" s="1"/>
      <c r="Z339" s="21" t="s">
        <v>38</v>
      </c>
      <c r="AA339" s="21" t="s">
        <v>784</v>
      </c>
      <c r="AB339" s="8"/>
      <c r="AC339" s="22"/>
      <c r="AD339" s="1"/>
      <c r="AE339" s="29" t="s">
        <v>785</v>
      </c>
      <c r="AF339" s="1"/>
      <c r="AG339" s="50"/>
    </row>
    <row r="340" spans="1:33" s="51" customFormat="1" ht="30" x14ac:dyDescent="0.25">
      <c r="A340" s="4"/>
      <c r="B340" s="4">
        <v>45733</v>
      </c>
      <c r="C340" s="1" t="s">
        <v>1991</v>
      </c>
      <c r="D340" s="224" t="s">
        <v>3463</v>
      </c>
      <c r="E340" s="1" t="s">
        <v>2047</v>
      </c>
      <c r="F340" s="169" t="s">
        <v>786</v>
      </c>
      <c r="G340" s="1" t="s">
        <v>787</v>
      </c>
      <c r="H340" s="8">
        <v>2</v>
      </c>
      <c r="I340" s="8">
        <v>0</v>
      </c>
      <c r="J340" s="115">
        <f>Table224[[#This Row],[Qty]]-Table224[[#This Row],[Issue Qty]]</f>
        <v>2</v>
      </c>
      <c r="K340" s="195"/>
      <c r="L340" s="195" t="s">
        <v>3480</v>
      </c>
      <c r="M340" s="5">
        <v>486.71</v>
      </c>
      <c r="N340" s="5">
        <f t="shared" si="18"/>
        <v>973.42</v>
      </c>
      <c r="O340" s="82">
        <v>0.18</v>
      </c>
      <c r="P340" s="9">
        <f t="shared" si="19"/>
        <v>175.21559999999999</v>
      </c>
      <c r="Q340" s="5">
        <v>108.0022</v>
      </c>
      <c r="R340" s="5"/>
      <c r="S340" s="5">
        <f t="shared" si="20"/>
        <v>1256.6378</v>
      </c>
      <c r="T340" s="1" t="s">
        <v>726</v>
      </c>
      <c r="U340" s="1" t="s">
        <v>726</v>
      </c>
      <c r="V340" s="1" t="s">
        <v>788</v>
      </c>
      <c r="W340" s="1" t="s">
        <v>2048</v>
      </c>
      <c r="X340" s="1"/>
      <c r="Y340" s="1"/>
      <c r="Z340" s="8" t="s">
        <v>650</v>
      </c>
      <c r="AA340" s="21" t="s">
        <v>3617</v>
      </c>
      <c r="AB340" s="8">
        <v>2</v>
      </c>
      <c r="AC340" s="22" t="s">
        <v>3623</v>
      </c>
      <c r="AD340" s="1"/>
      <c r="AE340" s="29" t="s">
        <v>789</v>
      </c>
      <c r="AF340" s="1"/>
      <c r="AG340" s="50"/>
    </row>
    <row r="341" spans="1:33" s="51" customFormat="1" ht="30" x14ac:dyDescent="0.25">
      <c r="A341" s="4"/>
      <c r="B341" s="4">
        <v>45735</v>
      </c>
      <c r="C341" s="1" t="s">
        <v>54</v>
      </c>
      <c r="D341" s="224" t="s">
        <v>3489</v>
      </c>
      <c r="E341" s="1" t="s">
        <v>1928</v>
      </c>
      <c r="F341" s="102" t="s">
        <v>574</v>
      </c>
      <c r="G341" s="55" t="s">
        <v>574</v>
      </c>
      <c r="H341" s="8">
        <v>54</v>
      </c>
      <c r="I341" s="8">
        <v>36</v>
      </c>
      <c r="J341" s="115">
        <f>Table224[[#This Row],[Qty]]-Table224[[#This Row],[Issue Qty]]</f>
        <v>18</v>
      </c>
      <c r="K341" s="195"/>
      <c r="L341" s="195" t="s">
        <v>3480</v>
      </c>
      <c r="M341" s="5">
        <v>1000</v>
      </c>
      <c r="N341" s="5">
        <f t="shared" si="18"/>
        <v>54000</v>
      </c>
      <c r="O341" s="82">
        <v>0.18</v>
      </c>
      <c r="P341" s="9">
        <f t="shared" si="19"/>
        <v>9720</v>
      </c>
      <c r="Q341" s="5">
        <v>0</v>
      </c>
      <c r="R341" s="5"/>
      <c r="S341" s="5">
        <f t="shared" si="20"/>
        <v>63720</v>
      </c>
      <c r="T341" s="1" t="s">
        <v>606</v>
      </c>
      <c r="U341" s="1" t="s">
        <v>606</v>
      </c>
      <c r="V341" s="1" t="s">
        <v>440</v>
      </c>
      <c r="W341" s="1" t="s">
        <v>2051</v>
      </c>
      <c r="X341" s="1"/>
      <c r="Y341" s="2"/>
      <c r="Z341" s="21" t="s">
        <v>2940</v>
      </c>
      <c r="AA341" s="21" t="s">
        <v>3656</v>
      </c>
      <c r="AB341" s="21">
        <v>48</v>
      </c>
      <c r="AC341" s="12" t="s">
        <v>3735</v>
      </c>
      <c r="AD341" s="2"/>
      <c r="AE341" s="29" t="s">
        <v>574</v>
      </c>
      <c r="AF341" s="2"/>
      <c r="AG341" s="50"/>
    </row>
    <row r="342" spans="1:33" s="51" customFormat="1" x14ac:dyDescent="0.25">
      <c r="A342" s="4"/>
      <c r="B342" s="4">
        <v>45735</v>
      </c>
      <c r="C342" s="6" t="s">
        <v>1683</v>
      </c>
      <c r="D342" s="224" t="s">
        <v>3487</v>
      </c>
      <c r="E342" s="1" t="s">
        <v>2049</v>
      </c>
      <c r="F342" s="102" t="s">
        <v>790</v>
      </c>
      <c r="G342" s="1" t="s">
        <v>791</v>
      </c>
      <c r="H342" s="8">
        <v>12</v>
      </c>
      <c r="I342" s="8">
        <v>12</v>
      </c>
      <c r="J342" s="115">
        <f>Table224[[#This Row],[Qty]]-Table224[[#This Row],[Issue Qty]]</f>
        <v>0</v>
      </c>
      <c r="K342" s="195"/>
      <c r="L342" s="195" t="s">
        <v>3479</v>
      </c>
      <c r="M342" s="5">
        <v>360</v>
      </c>
      <c r="N342" s="5">
        <f t="shared" si="18"/>
        <v>4320</v>
      </c>
      <c r="O342" s="82">
        <v>0.18</v>
      </c>
      <c r="P342" s="9">
        <f t="shared" si="19"/>
        <v>777.6</v>
      </c>
      <c r="Q342" s="5">
        <v>472</v>
      </c>
      <c r="R342" s="5"/>
      <c r="S342" s="5">
        <f t="shared" si="20"/>
        <v>5569.6</v>
      </c>
      <c r="T342" s="1" t="s">
        <v>606</v>
      </c>
      <c r="U342" s="1" t="s">
        <v>606</v>
      </c>
      <c r="V342" s="1" t="s">
        <v>792</v>
      </c>
      <c r="W342" s="1" t="s">
        <v>2050</v>
      </c>
      <c r="X342" s="1"/>
      <c r="Y342" s="2"/>
      <c r="Z342" s="21"/>
      <c r="AA342" s="21"/>
      <c r="AB342" s="21">
        <v>12</v>
      </c>
      <c r="AC342" s="12" t="s">
        <v>607</v>
      </c>
      <c r="AD342" s="2"/>
      <c r="AE342" s="29" t="s">
        <v>793</v>
      </c>
      <c r="AF342" s="2"/>
      <c r="AG342" s="50"/>
    </row>
    <row r="343" spans="1:33" s="51" customFormat="1" x14ac:dyDescent="0.25">
      <c r="A343" s="4"/>
      <c r="B343" s="4">
        <v>45736</v>
      </c>
      <c r="C343" s="1" t="s">
        <v>1991</v>
      </c>
      <c r="D343" s="224" t="s">
        <v>3464</v>
      </c>
      <c r="E343" s="6" t="s">
        <v>1892</v>
      </c>
      <c r="F343" s="234" t="s">
        <v>501</v>
      </c>
      <c r="G343" s="1" t="s">
        <v>501</v>
      </c>
      <c r="H343" s="8">
        <v>5</v>
      </c>
      <c r="I343" s="8">
        <v>5</v>
      </c>
      <c r="J343" s="115">
        <f>Table224[[#This Row],[Qty]]-Table224[[#This Row],[Issue Qty]]</f>
        <v>0</v>
      </c>
      <c r="K343" s="195"/>
      <c r="L343" s="195" t="s">
        <v>3480</v>
      </c>
      <c r="M343" s="5">
        <v>28750</v>
      </c>
      <c r="N343" s="5">
        <f t="shared" si="18"/>
        <v>143750</v>
      </c>
      <c r="O343" s="82">
        <v>0.05</v>
      </c>
      <c r="P343" s="9">
        <f t="shared" si="19"/>
        <v>7187.5</v>
      </c>
      <c r="Q343" s="5">
        <v>0</v>
      </c>
      <c r="R343" s="5"/>
      <c r="S343" s="5">
        <f t="shared" si="20"/>
        <v>150937.5</v>
      </c>
      <c r="T343" s="1" t="s">
        <v>606</v>
      </c>
      <c r="U343" s="1" t="s">
        <v>606</v>
      </c>
      <c r="V343" s="1" t="s">
        <v>794</v>
      </c>
      <c r="W343" s="1" t="s">
        <v>2052</v>
      </c>
      <c r="X343" s="1"/>
      <c r="Y343" s="2"/>
      <c r="Z343" s="21"/>
      <c r="AA343" s="21"/>
      <c r="AB343" s="21">
        <v>5</v>
      </c>
      <c r="AC343" s="12" t="s">
        <v>3637</v>
      </c>
      <c r="AD343" s="2"/>
      <c r="AE343" s="29"/>
      <c r="AF343" s="2"/>
      <c r="AG343" s="50"/>
    </row>
    <row r="344" spans="1:33" s="51" customFormat="1" x14ac:dyDescent="0.25">
      <c r="A344" s="4"/>
      <c r="B344" s="4">
        <v>45736</v>
      </c>
      <c r="C344" s="1" t="s">
        <v>1991</v>
      </c>
      <c r="D344" s="224" t="s">
        <v>3490</v>
      </c>
      <c r="E344" s="1" t="s">
        <v>1890</v>
      </c>
      <c r="F344" s="102" t="s">
        <v>498</v>
      </c>
      <c r="G344" s="1" t="s">
        <v>498</v>
      </c>
      <c r="H344" s="8">
        <v>3</v>
      </c>
      <c r="I344" s="8">
        <v>3</v>
      </c>
      <c r="J344" s="115">
        <f>Table224[[#This Row],[Qty]]-Table224[[#This Row],[Issue Qty]]</f>
        <v>0</v>
      </c>
      <c r="K344" s="195"/>
      <c r="L344" s="195" t="s">
        <v>3480</v>
      </c>
      <c r="M344" s="5">
        <v>17250</v>
      </c>
      <c r="N344" s="5">
        <f t="shared" si="18"/>
        <v>51750</v>
      </c>
      <c r="O344" s="82">
        <v>0.05</v>
      </c>
      <c r="P344" s="9">
        <f t="shared" si="19"/>
        <v>2587.5</v>
      </c>
      <c r="Q344" s="5">
        <v>0</v>
      </c>
      <c r="R344" s="5"/>
      <c r="S344" s="5">
        <f t="shared" si="20"/>
        <v>54337.5</v>
      </c>
      <c r="T344" s="1" t="s">
        <v>606</v>
      </c>
      <c r="U344" s="1" t="s">
        <v>606</v>
      </c>
      <c r="V344" s="1" t="s">
        <v>794</v>
      </c>
      <c r="W344" s="1" t="s">
        <v>2052</v>
      </c>
      <c r="X344" s="1"/>
      <c r="Y344" s="26"/>
      <c r="Z344" s="21" t="s">
        <v>52</v>
      </c>
      <c r="AA344" s="204"/>
      <c r="AB344" s="21">
        <v>2</v>
      </c>
      <c r="AC344" s="12" t="s">
        <v>3575</v>
      </c>
      <c r="AD344" s="26"/>
      <c r="AE344" s="29"/>
      <c r="AF344" s="26"/>
      <c r="AG344" s="2"/>
    </row>
    <row r="345" spans="1:33" s="24" customFormat="1" x14ac:dyDescent="0.25">
      <c r="A345" s="4"/>
      <c r="B345" s="4">
        <v>45736</v>
      </c>
      <c r="C345" s="6" t="s">
        <v>1683</v>
      </c>
      <c r="D345" s="224" t="s">
        <v>3493</v>
      </c>
      <c r="E345" s="26" t="s">
        <v>2053</v>
      </c>
      <c r="F345" s="233" t="s">
        <v>797</v>
      </c>
      <c r="G345" s="1" t="s">
        <v>798</v>
      </c>
      <c r="H345" s="8">
        <v>11</v>
      </c>
      <c r="I345" s="8">
        <v>11</v>
      </c>
      <c r="J345" s="115">
        <f>Table224[[#This Row],[Qty]]-Table224[[#This Row],[Issue Qty]]</f>
        <v>0</v>
      </c>
      <c r="K345" s="195"/>
      <c r="L345" s="195" t="s">
        <v>3514</v>
      </c>
      <c r="M345" s="5">
        <v>134.5</v>
      </c>
      <c r="N345" s="5">
        <f t="shared" si="18"/>
        <v>1479.5</v>
      </c>
      <c r="O345" s="82">
        <v>0.18</v>
      </c>
      <c r="P345" s="9">
        <f t="shared" si="19"/>
        <v>266.31</v>
      </c>
      <c r="Q345" s="5">
        <f>1200/6</f>
        <v>200</v>
      </c>
      <c r="R345" s="5"/>
      <c r="S345" s="5">
        <f t="shared" si="20"/>
        <v>1945.81</v>
      </c>
      <c r="T345" s="1" t="s">
        <v>606</v>
      </c>
      <c r="U345" s="1" t="s">
        <v>606</v>
      </c>
      <c r="V345" s="1" t="s">
        <v>691</v>
      </c>
      <c r="W345" s="1" t="s">
        <v>2054</v>
      </c>
      <c r="X345" s="1"/>
      <c r="Y345" s="2"/>
      <c r="Z345" s="21" t="s">
        <v>1345</v>
      </c>
      <c r="AA345" s="21"/>
      <c r="AB345" s="21"/>
      <c r="AC345" s="12" t="s">
        <v>3346</v>
      </c>
      <c r="AD345" s="2"/>
      <c r="AE345" s="29"/>
      <c r="AF345" s="2"/>
      <c r="AG345" s="50"/>
    </row>
    <row r="346" spans="1:33" s="51" customFormat="1" x14ac:dyDescent="0.25">
      <c r="A346" s="4"/>
      <c r="B346" s="4">
        <v>45736</v>
      </c>
      <c r="C346" s="6" t="s">
        <v>1683</v>
      </c>
      <c r="D346" s="224" t="s">
        <v>3493</v>
      </c>
      <c r="E346" s="26" t="s">
        <v>2053</v>
      </c>
      <c r="F346" s="233" t="s">
        <v>797</v>
      </c>
      <c r="G346" s="1" t="s">
        <v>798</v>
      </c>
      <c r="H346" s="8">
        <v>38</v>
      </c>
      <c r="I346" s="56"/>
      <c r="J346" s="115">
        <f>Table224[[#This Row],[Qty]]-Table224[[#This Row],[Issue Qty]]</f>
        <v>38</v>
      </c>
      <c r="K346" s="195"/>
      <c r="L346" s="195" t="s">
        <v>3514</v>
      </c>
      <c r="M346" s="5">
        <v>134.5</v>
      </c>
      <c r="N346" s="5">
        <f t="shared" si="18"/>
        <v>5111</v>
      </c>
      <c r="O346" s="82">
        <v>0.18</v>
      </c>
      <c r="P346" s="9">
        <f t="shared" si="19"/>
        <v>919.98</v>
      </c>
      <c r="Q346" s="5">
        <f>1200/6</f>
        <v>200</v>
      </c>
      <c r="R346" s="5"/>
      <c r="S346" s="5">
        <f t="shared" si="20"/>
        <v>6230.98</v>
      </c>
      <c r="T346" s="1" t="s">
        <v>606</v>
      </c>
      <c r="U346" s="1" t="s">
        <v>606</v>
      </c>
      <c r="V346" s="1" t="s">
        <v>691</v>
      </c>
      <c r="W346" s="1" t="s">
        <v>2054</v>
      </c>
      <c r="X346" s="1"/>
      <c r="Y346" s="1"/>
      <c r="Z346" s="8" t="s">
        <v>833</v>
      </c>
      <c r="AA346" s="8"/>
      <c r="AB346" s="8"/>
      <c r="AC346" s="22"/>
      <c r="AD346" s="1"/>
      <c r="AE346" s="29"/>
      <c r="AF346" s="1"/>
      <c r="AG346" s="50"/>
    </row>
    <row r="347" spans="1:33" s="51" customFormat="1" x14ac:dyDescent="0.25">
      <c r="A347" s="4"/>
      <c r="B347" s="4">
        <v>45736</v>
      </c>
      <c r="C347" s="6" t="s">
        <v>1683</v>
      </c>
      <c r="D347" s="224" t="s">
        <v>3493</v>
      </c>
      <c r="E347" s="26" t="s">
        <v>2055</v>
      </c>
      <c r="F347" s="233" t="s">
        <v>799</v>
      </c>
      <c r="G347" s="1" t="s">
        <v>800</v>
      </c>
      <c r="H347" s="8">
        <v>11</v>
      </c>
      <c r="I347" s="8">
        <v>11</v>
      </c>
      <c r="J347" s="115">
        <f>Table224[[#This Row],[Qty]]-Table224[[#This Row],[Issue Qty]]</f>
        <v>0</v>
      </c>
      <c r="K347" s="195"/>
      <c r="L347" s="195" t="s">
        <v>3514</v>
      </c>
      <c r="M347" s="5">
        <v>134.35599999999999</v>
      </c>
      <c r="N347" s="5">
        <f t="shared" si="18"/>
        <v>1477.9159999999999</v>
      </c>
      <c r="O347" s="82">
        <v>0.18</v>
      </c>
      <c r="P347" s="9">
        <f t="shared" si="19"/>
        <v>266.02488</v>
      </c>
      <c r="Q347" s="5">
        <f>1200/6</f>
        <v>200</v>
      </c>
      <c r="R347" s="5"/>
      <c r="S347" s="5">
        <f t="shared" si="20"/>
        <v>1943.9408799999999</v>
      </c>
      <c r="T347" s="1" t="s">
        <v>606</v>
      </c>
      <c r="U347" s="1" t="s">
        <v>606</v>
      </c>
      <c r="V347" s="1" t="s">
        <v>691</v>
      </c>
      <c r="W347" s="1" t="s">
        <v>2054</v>
      </c>
      <c r="X347" s="1"/>
      <c r="Y347" s="2"/>
      <c r="Z347" s="21" t="s">
        <v>833</v>
      </c>
      <c r="AA347" s="21"/>
      <c r="AB347" s="21"/>
      <c r="AC347" s="12"/>
      <c r="AD347" s="2"/>
      <c r="AE347" s="29"/>
      <c r="AF347" s="2"/>
      <c r="AG347" s="50"/>
    </row>
    <row r="348" spans="1:33" s="51" customFormat="1" x14ac:dyDescent="0.25">
      <c r="A348" s="4"/>
      <c r="B348" s="4">
        <v>45736</v>
      </c>
      <c r="C348" s="6" t="s">
        <v>1683</v>
      </c>
      <c r="D348" s="224" t="s">
        <v>3493</v>
      </c>
      <c r="E348" s="26" t="s">
        <v>2055</v>
      </c>
      <c r="F348" s="233" t="s">
        <v>799</v>
      </c>
      <c r="G348" s="1" t="s">
        <v>800</v>
      </c>
      <c r="H348" s="8">
        <v>38</v>
      </c>
      <c r="I348" s="56"/>
      <c r="J348" s="115">
        <f>Table224[[#This Row],[Qty]]-Table224[[#This Row],[Issue Qty]]</f>
        <v>38</v>
      </c>
      <c r="K348" s="195"/>
      <c r="L348" s="195" t="s">
        <v>3514</v>
      </c>
      <c r="M348" s="5">
        <v>134.35599999999999</v>
      </c>
      <c r="N348" s="5">
        <f t="shared" si="18"/>
        <v>5105.5280000000002</v>
      </c>
      <c r="O348" s="82">
        <v>0.18</v>
      </c>
      <c r="P348" s="9">
        <f t="shared" si="19"/>
        <v>918.99504000000002</v>
      </c>
      <c r="Q348" s="5">
        <f>1200/6</f>
        <v>200</v>
      </c>
      <c r="R348" s="5"/>
      <c r="S348" s="5">
        <f t="shared" si="20"/>
        <v>6224.52304</v>
      </c>
      <c r="T348" s="1" t="s">
        <v>606</v>
      </c>
      <c r="U348" s="1" t="s">
        <v>606</v>
      </c>
      <c r="V348" s="1" t="s">
        <v>691</v>
      </c>
      <c r="W348" s="1" t="s">
        <v>2054</v>
      </c>
      <c r="X348" s="1"/>
      <c r="Y348" s="1"/>
      <c r="Z348" s="8" t="s">
        <v>1345</v>
      </c>
      <c r="AA348" s="8"/>
      <c r="AB348" s="8"/>
      <c r="AC348" s="22"/>
      <c r="AD348" s="1"/>
      <c r="AE348" s="29"/>
      <c r="AF348" s="1"/>
      <c r="AG348" s="50"/>
    </row>
    <row r="349" spans="1:33" s="24" customFormat="1" ht="30" x14ac:dyDescent="0.25">
      <c r="A349" s="4"/>
      <c r="B349" s="4">
        <v>45736</v>
      </c>
      <c r="C349" s="1" t="s">
        <v>1991</v>
      </c>
      <c r="D349" s="224" t="s">
        <v>3463</v>
      </c>
      <c r="E349" s="26" t="s">
        <v>2058</v>
      </c>
      <c r="F349" s="233" t="s">
        <v>805</v>
      </c>
      <c r="G349" s="1" t="s">
        <v>805</v>
      </c>
      <c r="H349" s="8">
        <v>5</v>
      </c>
      <c r="I349" s="8">
        <v>5</v>
      </c>
      <c r="J349" s="115">
        <f>Table224[[#This Row],[Qty]]-Table224[[#This Row],[Issue Qty]]</f>
        <v>0</v>
      </c>
      <c r="K349" s="195"/>
      <c r="L349" s="195" t="s">
        <v>3480</v>
      </c>
      <c r="M349" s="5">
        <v>3750</v>
      </c>
      <c r="N349" s="5">
        <f t="shared" si="18"/>
        <v>18750</v>
      </c>
      <c r="O349" s="82">
        <v>0.05</v>
      </c>
      <c r="P349" s="9">
        <f t="shared" si="19"/>
        <v>937.5</v>
      </c>
      <c r="Q349" s="5">
        <v>0</v>
      </c>
      <c r="R349" s="5"/>
      <c r="S349" s="5">
        <f t="shared" si="20"/>
        <v>19687.5</v>
      </c>
      <c r="T349" s="1" t="s">
        <v>606</v>
      </c>
      <c r="U349" s="1" t="s">
        <v>606</v>
      </c>
      <c r="V349" s="1" t="s">
        <v>794</v>
      </c>
      <c r="W349" s="1" t="s">
        <v>2052</v>
      </c>
      <c r="X349" s="1"/>
      <c r="Y349" s="2"/>
      <c r="Z349" s="21" t="s">
        <v>52</v>
      </c>
      <c r="AA349" s="21" t="s">
        <v>3556</v>
      </c>
      <c r="AB349" s="21">
        <v>5</v>
      </c>
      <c r="AC349" s="57" t="s">
        <v>3842</v>
      </c>
      <c r="AD349" s="2"/>
      <c r="AE349" s="29"/>
      <c r="AF349" s="2"/>
      <c r="AG349" s="50"/>
    </row>
    <row r="350" spans="1:33" s="51" customFormat="1" ht="30" x14ac:dyDescent="0.25">
      <c r="A350" s="4"/>
      <c r="B350" s="4">
        <v>45736</v>
      </c>
      <c r="C350" s="1" t="s">
        <v>1991</v>
      </c>
      <c r="D350" s="224" t="s">
        <v>3492</v>
      </c>
      <c r="E350" s="26" t="s">
        <v>2057</v>
      </c>
      <c r="F350" s="233" t="s">
        <v>804</v>
      </c>
      <c r="G350" s="1" t="s">
        <v>804</v>
      </c>
      <c r="H350" s="8">
        <v>6</v>
      </c>
      <c r="I350" s="8">
        <v>6</v>
      </c>
      <c r="J350" s="115">
        <f>Table224[[#This Row],[Qty]]-Table224[[#This Row],[Issue Qty]]</f>
        <v>0</v>
      </c>
      <c r="K350" s="195"/>
      <c r="L350" s="195" t="s">
        <v>3480</v>
      </c>
      <c r="M350" s="5">
        <v>3250</v>
      </c>
      <c r="N350" s="5">
        <f t="shared" si="18"/>
        <v>19500</v>
      </c>
      <c r="O350" s="82">
        <v>0.05</v>
      </c>
      <c r="P350" s="9">
        <f t="shared" si="19"/>
        <v>975</v>
      </c>
      <c r="Q350" s="5">
        <v>0</v>
      </c>
      <c r="R350" s="5"/>
      <c r="S350" s="5">
        <f t="shared" si="20"/>
        <v>20475</v>
      </c>
      <c r="T350" s="1" t="s">
        <v>606</v>
      </c>
      <c r="U350" s="1" t="s">
        <v>606</v>
      </c>
      <c r="V350" s="1" t="s">
        <v>794</v>
      </c>
      <c r="W350" s="1" t="s">
        <v>2052</v>
      </c>
      <c r="X350" s="1"/>
      <c r="Y350" s="2"/>
      <c r="Z350" s="21" t="s">
        <v>52</v>
      </c>
      <c r="AA350" s="21"/>
      <c r="AB350" s="21">
        <v>6</v>
      </c>
      <c r="AC350" s="12" t="s">
        <v>3845</v>
      </c>
      <c r="AD350" s="2"/>
      <c r="AE350" s="29"/>
      <c r="AF350" s="2"/>
      <c r="AG350" s="50"/>
    </row>
    <row r="351" spans="1:33" s="51" customFormat="1" ht="30" x14ac:dyDescent="0.25">
      <c r="A351" s="4"/>
      <c r="B351" s="4">
        <v>45736</v>
      </c>
      <c r="C351" s="1" t="s">
        <v>1991</v>
      </c>
      <c r="D351" s="224" t="s">
        <v>3492</v>
      </c>
      <c r="E351" s="26" t="s">
        <v>2056</v>
      </c>
      <c r="F351" s="233" t="s">
        <v>803</v>
      </c>
      <c r="G351" s="1" t="s">
        <v>803</v>
      </c>
      <c r="H351" s="8">
        <v>5</v>
      </c>
      <c r="I351" s="8">
        <v>5</v>
      </c>
      <c r="J351" s="115">
        <f>Table224[[#This Row],[Qty]]-Table224[[#This Row],[Issue Qty]]</f>
        <v>0</v>
      </c>
      <c r="K351" s="195"/>
      <c r="L351" s="195" t="s">
        <v>3480</v>
      </c>
      <c r="M351" s="5">
        <v>430</v>
      </c>
      <c r="N351" s="5">
        <f t="shared" si="18"/>
        <v>2150</v>
      </c>
      <c r="O351" s="82">
        <v>0.05</v>
      </c>
      <c r="P351" s="9">
        <f t="shared" si="19"/>
        <v>107.5</v>
      </c>
      <c r="Q351" s="5">
        <v>0.5</v>
      </c>
      <c r="R351" s="5"/>
      <c r="S351" s="5">
        <f t="shared" si="20"/>
        <v>2258</v>
      </c>
      <c r="T351" s="1" t="s">
        <v>606</v>
      </c>
      <c r="U351" s="1" t="s">
        <v>606</v>
      </c>
      <c r="V351" s="1" t="s">
        <v>794</v>
      </c>
      <c r="W351" s="1" t="s">
        <v>2052</v>
      </c>
      <c r="X351" s="1"/>
      <c r="Y351" s="2"/>
      <c r="Z351" s="21" t="s">
        <v>52</v>
      </c>
      <c r="AA351" s="21"/>
      <c r="AB351" s="21">
        <v>5</v>
      </c>
      <c r="AC351" s="12" t="s">
        <v>2953</v>
      </c>
      <c r="AD351" s="2"/>
      <c r="AE351" s="29"/>
      <c r="AF351" s="2"/>
      <c r="AG351" s="50"/>
    </row>
    <row r="352" spans="1:33" s="51" customFormat="1" ht="30" x14ac:dyDescent="0.25">
      <c r="A352" s="4"/>
      <c r="B352" s="4">
        <v>45736</v>
      </c>
      <c r="C352" s="1" t="s">
        <v>1991</v>
      </c>
      <c r="D352" s="224" t="s">
        <v>3463</v>
      </c>
      <c r="E352" s="1" t="s">
        <v>1955</v>
      </c>
      <c r="F352" s="102" t="s">
        <v>628</v>
      </c>
      <c r="G352" s="1" t="s">
        <v>628</v>
      </c>
      <c r="H352" s="8">
        <v>7</v>
      </c>
      <c r="I352" s="8">
        <v>2</v>
      </c>
      <c r="J352" s="115">
        <f>Table224[[#This Row],[Qty]]-Table224[[#This Row],[Issue Qty]]</f>
        <v>5</v>
      </c>
      <c r="K352" s="195"/>
      <c r="L352" s="195" t="s">
        <v>3480</v>
      </c>
      <c r="M352" s="5">
        <v>24576.271333000001</v>
      </c>
      <c r="N352" s="5">
        <f t="shared" si="18"/>
        <v>172033.89933099999</v>
      </c>
      <c r="O352" s="82">
        <v>0.18</v>
      </c>
      <c r="P352" s="9">
        <f t="shared" si="19"/>
        <v>30966.101879579997</v>
      </c>
      <c r="Q352" s="5">
        <f>1200/6</f>
        <v>200</v>
      </c>
      <c r="R352" s="5"/>
      <c r="S352" s="5">
        <f t="shared" si="20"/>
        <v>203200.00121058</v>
      </c>
      <c r="T352" s="1" t="s">
        <v>606</v>
      </c>
      <c r="U352" s="1" t="s">
        <v>606</v>
      </c>
      <c r="V352" s="1" t="s">
        <v>691</v>
      </c>
      <c r="W352" s="1" t="s">
        <v>2054</v>
      </c>
      <c r="X352" s="1"/>
      <c r="Y352" s="2"/>
      <c r="Z352" s="21" t="s">
        <v>89</v>
      </c>
      <c r="AA352" s="21" t="s">
        <v>217</v>
      </c>
      <c r="AB352" s="21">
        <v>2</v>
      </c>
      <c r="AC352" s="12" t="s">
        <v>3853</v>
      </c>
      <c r="AD352" s="2"/>
      <c r="AE352" s="29" t="s">
        <v>218</v>
      </c>
      <c r="AF352" s="2"/>
      <c r="AG352" s="2"/>
    </row>
    <row r="353" spans="1:33" s="51" customFormat="1" ht="30" x14ac:dyDescent="0.25">
      <c r="A353" s="4"/>
      <c r="B353" s="4">
        <v>45736</v>
      </c>
      <c r="C353" s="1" t="s">
        <v>1991</v>
      </c>
      <c r="D353" s="224" t="s">
        <v>3463</v>
      </c>
      <c r="E353" s="1" t="s">
        <v>1955</v>
      </c>
      <c r="F353" s="102" t="s">
        <v>628</v>
      </c>
      <c r="G353" s="1" t="s">
        <v>628</v>
      </c>
      <c r="H353" s="8">
        <v>1</v>
      </c>
      <c r="I353" s="8"/>
      <c r="J353" s="115">
        <f>Table224[[#This Row],[Qty]]-Table224[[#This Row],[Issue Qty]]</f>
        <v>1</v>
      </c>
      <c r="K353" s="195"/>
      <c r="L353" s="195" t="s">
        <v>3480</v>
      </c>
      <c r="M353" s="5">
        <v>24576.271333000001</v>
      </c>
      <c r="N353" s="5">
        <f t="shared" si="18"/>
        <v>24576.271333000001</v>
      </c>
      <c r="O353" s="82">
        <v>0.18</v>
      </c>
      <c r="P353" s="9">
        <f t="shared" si="19"/>
        <v>4423.7288399400004</v>
      </c>
      <c r="Q353" s="5">
        <f>1200/6</f>
        <v>200</v>
      </c>
      <c r="R353" s="5"/>
      <c r="S353" s="5">
        <f t="shared" si="20"/>
        <v>29200.000172940003</v>
      </c>
      <c r="T353" s="1" t="s">
        <v>606</v>
      </c>
      <c r="U353" s="1" t="s">
        <v>606</v>
      </c>
      <c r="V353" s="1" t="s">
        <v>691</v>
      </c>
      <c r="W353" s="1" t="s">
        <v>2054</v>
      </c>
      <c r="X353" s="1"/>
      <c r="Y353" s="1"/>
      <c r="Z353" s="21" t="s">
        <v>89</v>
      </c>
      <c r="AA353" s="21" t="s">
        <v>89</v>
      </c>
      <c r="AB353" s="8"/>
      <c r="AC353" s="22"/>
      <c r="AD353" s="1"/>
      <c r="AE353" s="29" t="s">
        <v>218</v>
      </c>
      <c r="AF353" s="1"/>
      <c r="AG353" s="50"/>
    </row>
    <row r="354" spans="1:33" s="51" customFormat="1" x14ac:dyDescent="0.25">
      <c r="A354" s="4"/>
      <c r="B354" s="4">
        <v>45737</v>
      </c>
      <c r="C354" s="1" t="s">
        <v>54</v>
      </c>
      <c r="D354" s="224" t="s">
        <v>3494</v>
      </c>
      <c r="E354" s="1" t="s">
        <v>2062</v>
      </c>
      <c r="F354" s="102" t="s">
        <v>810</v>
      </c>
      <c r="G354" s="1" t="s">
        <v>811</v>
      </c>
      <c r="H354" s="8">
        <v>2</v>
      </c>
      <c r="I354" s="8">
        <v>2</v>
      </c>
      <c r="J354" s="115">
        <f>Table224[[#This Row],[Qty]]-Table224[[#This Row],[Issue Qty]]</f>
        <v>0</v>
      </c>
      <c r="K354" s="195"/>
      <c r="L354" s="195" t="s">
        <v>3480</v>
      </c>
      <c r="M354" s="5">
        <v>21900</v>
      </c>
      <c r="N354" s="5">
        <f t="shared" si="18"/>
        <v>43800</v>
      </c>
      <c r="O354" s="82">
        <v>0.18</v>
      </c>
      <c r="P354" s="9">
        <f t="shared" si="19"/>
        <v>7884</v>
      </c>
      <c r="Q354" s="5">
        <v>200</v>
      </c>
      <c r="R354" s="5"/>
      <c r="S354" s="5">
        <f t="shared" si="20"/>
        <v>51884</v>
      </c>
      <c r="T354" s="1" t="s">
        <v>2897</v>
      </c>
      <c r="U354" s="1" t="s">
        <v>2897</v>
      </c>
      <c r="V354" s="1" t="s">
        <v>808</v>
      </c>
      <c r="W354" s="1" t="s">
        <v>2061</v>
      </c>
      <c r="X354" s="1"/>
      <c r="Y354" s="1"/>
      <c r="Z354" s="8" t="s">
        <v>809</v>
      </c>
      <c r="AA354" s="8"/>
      <c r="AB354" s="8">
        <v>2</v>
      </c>
      <c r="AC354" s="22" t="s">
        <v>812</v>
      </c>
      <c r="AD354" s="1"/>
      <c r="AE354" s="29" t="s">
        <v>813</v>
      </c>
      <c r="AF354" s="1"/>
      <c r="AG354" s="50"/>
    </row>
    <row r="355" spans="1:33" s="51" customFormat="1" x14ac:dyDescent="0.25">
      <c r="A355" s="4"/>
      <c r="B355" s="4">
        <v>45737</v>
      </c>
      <c r="C355" s="6" t="s">
        <v>1683</v>
      </c>
      <c r="D355" s="224" t="s">
        <v>3493</v>
      </c>
      <c r="E355" s="26" t="s">
        <v>2065</v>
      </c>
      <c r="F355" s="233" t="s">
        <v>816</v>
      </c>
      <c r="G355" s="1" t="s">
        <v>817</v>
      </c>
      <c r="H355" s="8">
        <v>3</v>
      </c>
      <c r="I355" s="8">
        <v>3</v>
      </c>
      <c r="J355" s="115">
        <f>Table224[[#This Row],[Qty]]-Table224[[#This Row],[Issue Qty]]</f>
        <v>0</v>
      </c>
      <c r="K355" s="195"/>
      <c r="L355" s="195" t="s">
        <v>3514</v>
      </c>
      <c r="M355" s="5">
        <v>298</v>
      </c>
      <c r="N355" s="5">
        <f t="shared" si="18"/>
        <v>894</v>
      </c>
      <c r="O355" s="82">
        <v>0.18</v>
      </c>
      <c r="P355" s="9">
        <f t="shared" si="19"/>
        <v>160.91999999999999</v>
      </c>
      <c r="Q355" s="5">
        <v>0</v>
      </c>
      <c r="R355" s="5"/>
      <c r="S355" s="5">
        <f t="shared" si="20"/>
        <v>1054.92</v>
      </c>
      <c r="T355" s="1" t="s">
        <v>606</v>
      </c>
      <c r="U355" s="1" t="s">
        <v>606</v>
      </c>
      <c r="V355" s="1" t="s">
        <v>444</v>
      </c>
      <c r="W355" s="1" t="s">
        <v>2064</v>
      </c>
      <c r="X355" s="1"/>
      <c r="Y355" s="1"/>
      <c r="Z355" s="8" t="s">
        <v>833</v>
      </c>
      <c r="AA355" s="8"/>
      <c r="AB355" s="8">
        <v>3</v>
      </c>
      <c r="AC355" s="12" t="s">
        <v>802</v>
      </c>
      <c r="AD355" s="1"/>
      <c r="AE355" s="29"/>
      <c r="AF355" s="1"/>
      <c r="AG355" s="50"/>
    </row>
    <row r="356" spans="1:33" s="51" customFormat="1" x14ac:dyDescent="0.25">
      <c r="A356" s="4"/>
      <c r="B356" s="4">
        <v>45737</v>
      </c>
      <c r="C356" s="6" t="s">
        <v>1683</v>
      </c>
      <c r="D356" s="224" t="s">
        <v>3493</v>
      </c>
      <c r="E356" s="26" t="s">
        <v>2066</v>
      </c>
      <c r="F356" s="233" t="s">
        <v>818</v>
      </c>
      <c r="G356" s="1" t="s">
        <v>819</v>
      </c>
      <c r="H356" s="8">
        <v>7</v>
      </c>
      <c r="I356" s="8">
        <v>7</v>
      </c>
      <c r="J356" s="115">
        <f>Table224[[#This Row],[Qty]]-Table224[[#This Row],[Issue Qty]]</f>
        <v>0</v>
      </c>
      <c r="K356" s="195"/>
      <c r="L356" s="195" t="s">
        <v>3514</v>
      </c>
      <c r="M356" s="5">
        <v>298</v>
      </c>
      <c r="N356" s="5">
        <f t="shared" si="18"/>
        <v>2086</v>
      </c>
      <c r="O356" s="82">
        <v>0.18</v>
      </c>
      <c r="P356" s="9">
        <f t="shared" si="19"/>
        <v>375.47999999999996</v>
      </c>
      <c r="Q356" s="5">
        <v>0</v>
      </c>
      <c r="R356" s="5"/>
      <c r="S356" s="5">
        <f t="shared" si="20"/>
        <v>2461.48</v>
      </c>
      <c r="T356" s="1" t="s">
        <v>606</v>
      </c>
      <c r="U356" s="1" t="s">
        <v>606</v>
      </c>
      <c r="V356" s="1" t="s">
        <v>444</v>
      </c>
      <c r="W356" s="1" t="s">
        <v>2064</v>
      </c>
      <c r="X356" s="1"/>
      <c r="Y356" s="1"/>
      <c r="Z356" s="8" t="s">
        <v>1345</v>
      </c>
      <c r="AA356" s="8"/>
      <c r="AB356" s="8">
        <v>6</v>
      </c>
      <c r="AC356" s="12" t="s">
        <v>802</v>
      </c>
      <c r="AD356" s="1"/>
      <c r="AE356" s="29"/>
      <c r="AF356" s="1"/>
      <c r="AG356" s="50"/>
    </row>
    <row r="357" spans="1:33" s="51" customFormat="1" ht="30" x14ac:dyDescent="0.25">
      <c r="A357" s="4"/>
      <c r="B357" s="4">
        <v>45737</v>
      </c>
      <c r="C357" s="6" t="s">
        <v>1683</v>
      </c>
      <c r="D357" s="224" t="s">
        <v>3493</v>
      </c>
      <c r="E357" s="1" t="s">
        <v>2063</v>
      </c>
      <c r="F357" s="102" t="s">
        <v>814</v>
      </c>
      <c r="G357" s="1" t="s">
        <v>815</v>
      </c>
      <c r="H357" s="8">
        <v>1</v>
      </c>
      <c r="I357" s="8">
        <v>1</v>
      </c>
      <c r="J357" s="115">
        <f>Table224[[#This Row],[Qty]]-Table224[[#This Row],[Issue Qty]]</f>
        <v>0</v>
      </c>
      <c r="K357" s="195"/>
      <c r="L357" s="195" t="s">
        <v>3480</v>
      </c>
      <c r="M357" s="5">
        <v>295</v>
      </c>
      <c r="N357" s="5">
        <f t="shared" si="18"/>
        <v>295</v>
      </c>
      <c r="O357" s="82">
        <v>0.18</v>
      </c>
      <c r="P357" s="9">
        <f t="shared" si="19"/>
        <v>53.1</v>
      </c>
      <c r="Q357" s="5">
        <v>0</v>
      </c>
      <c r="R357" s="5"/>
      <c r="S357" s="5">
        <f t="shared" si="20"/>
        <v>348.1</v>
      </c>
      <c r="T357" s="1" t="s">
        <v>606</v>
      </c>
      <c r="U357" s="1" t="s">
        <v>606</v>
      </c>
      <c r="V357" s="1" t="s">
        <v>444</v>
      </c>
      <c r="W357" s="1" t="s">
        <v>2064</v>
      </c>
      <c r="X357" s="1"/>
      <c r="Y357" s="26"/>
      <c r="Z357" s="8" t="s">
        <v>29</v>
      </c>
      <c r="AA357" s="204"/>
      <c r="AB357" s="21">
        <v>2</v>
      </c>
      <c r="AC357" s="12" t="s">
        <v>2954</v>
      </c>
      <c r="AD357" s="26"/>
      <c r="AE357" s="29"/>
      <c r="AF357" s="26"/>
      <c r="AG357" s="50"/>
    </row>
    <row r="358" spans="1:33" s="51" customFormat="1" x14ac:dyDescent="0.25">
      <c r="A358" s="4"/>
      <c r="B358" s="4">
        <v>45737</v>
      </c>
      <c r="C358" s="1" t="s">
        <v>54</v>
      </c>
      <c r="D358" s="224" t="s">
        <v>3494</v>
      </c>
      <c r="E358" s="26" t="s">
        <v>2060</v>
      </c>
      <c r="F358" s="233" t="s">
        <v>806</v>
      </c>
      <c r="G358" s="1" t="s">
        <v>807</v>
      </c>
      <c r="H358" s="8">
        <v>2</v>
      </c>
      <c r="I358" s="8">
        <f>1+1</f>
        <v>2</v>
      </c>
      <c r="J358" s="115">
        <f>Table224[[#This Row],[Qty]]-Table224[[#This Row],[Issue Qty]]</f>
        <v>0</v>
      </c>
      <c r="K358" s="195"/>
      <c r="L358" s="195" t="s">
        <v>3480</v>
      </c>
      <c r="M358" s="5">
        <v>6825</v>
      </c>
      <c r="N358" s="5">
        <f t="shared" si="18"/>
        <v>13650</v>
      </c>
      <c r="O358" s="82">
        <v>0.18</v>
      </c>
      <c r="P358" s="9">
        <f t="shared" si="19"/>
        <v>2457</v>
      </c>
      <c r="Q358" s="5">
        <v>200</v>
      </c>
      <c r="R358" s="5"/>
      <c r="S358" s="5">
        <f t="shared" si="20"/>
        <v>16307</v>
      </c>
      <c r="T358" s="1" t="s">
        <v>606</v>
      </c>
      <c r="U358" s="1" t="s">
        <v>606</v>
      </c>
      <c r="V358" s="1" t="s">
        <v>808</v>
      </c>
      <c r="W358" s="1" t="s">
        <v>2061</v>
      </c>
      <c r="X358" s="1"/>
      <c r="Y358" s="1"/>
      <c r="Z358" s="8" t="s">
        <v>809</v>
      </c>
      <c r="AA358" s="8"/>
      <c r="AB358" s="8">
        <v>2</v>
      </c>
      <c r="AC358" s="12" t="s">
        <v>2894</v>
      </c>
      <c r="AD358" s="1"/>
      <c r="AE358" s="29"/>
      <c r="AF358" s="1"/>
      <c r="AG358" s="50"/>
    </row>
    <row r="359" spans="1:33" s="51" customFormat="1" x14ac:dyDescent="0.25">
      <c r="A359" s="4"/>
      <c r="B359" s="4">
        <v>45740</v>
      </c>
      <c r="C359" s="1" t="s">
        <v>54</v>
      </c>
      <c r="D359" s="224" t="s">
        <v>3494</v>
      </c>
      <c r="E359" s="1" t="s">
        <v>2062</v>
      </c>
      <c r="F359" s="102" t="s">
        <v>810</v>
      </c>
      <c r="G359" s="1" t="s">
        <v>811</v>
      </c>
      <c r="H359" s="8">
        <v>2</v>
      </c>
      <c r="I359" s="8">
        <v>2</v>
      </c>
      <c r="J359" s="115">
        <f>Table224[[#This Row],[Qty]]-Table224[[#This Row],[Issue Qty]]</f>
        <v>0</v>
      </c>
      <c r="K359" s="195"/>
      <c r="L359" s="195" t="s">
        <v>3480</v>
      </c>
      <c r="M359" s="5">
        <v>17340</v>
      </c>
      <c r="N359" s="5">
        <f t="shared" si="18"/>
        <v>34680</v>
      </c>
      <c r="O359" s="82">
        <v>0.18</v>
      </c>
      <c r="P359" s="9">
        <f t="shared" si="19"/>
        <v>6242.4</v>
      </c>
      <c r="Q359" s="5"/>
      <c r="R359" s="5"/>
      <c r="S359" s="5">
        <f t="shared" si="20"/>
        <v>40922.400000000001</v>
      </c>
      <c r="T359" s="1" t="s">
        <v>606</v>
      </c>
      <c r="U359" s="1" t="s">
        <v>606</v>
      </c>
      <c r="V359" s="1" t="s">
        <v>820</v>
      </c>
      <c r="W359" s="1" t="s">
        <v>2067</v>
      </c>
      <c r="X359" s="1"/>
      <c r="Y359" s="1"/>
      <c r="Z359" s="8" t="s">
        <v>809</v>
      </c>
      <c r="AA359" s="8"/>
      <c r="AB359" s="21">
        <v>2</v>
      </c>
      <c r="AC359" s="12" t="s">
        <v>2894</v>
      </c>
      <c r="AD359" s="1"/>
      <c r="AE359" s="29"/>
      <c r="AF359" s="1"/>
      <c r="AG359" s="50"/>
    </row>
    <row r="360" spans="1:33" s="51" customFormat="1" x14ac:dyDescent="0.25">
      <c r="A360" s="4"/>
      <c r="B360" s="4">
        <v>45740</v>
      </c>
      <c r="C360" s="1" t="s">
        <v>54</v>
      </c>
      <c r="D360" s="224" t="s">
        <v>3587</v>
      </c>
      <c r="E360" s="1" t="s">
        <v>2068</v>
      </c>
      <c r="F360" s="102" t="s">
        <v>822</v>
      </c>
      <c r="G360" s="1" t="s">
        <v>823</v>
      </c>
      <c r="H360" s="8">
        <v>7</v>
      </c>
      <c r="I360" s="8">
        <v>7</v>
      </c>
      <c r="J360" s="115">
        <f>Table224[[#This Row],[Qty]]-Table224[[#This Row],[Issue Qty]]</f>
        <v>0</v>
      </c>
      <c r="K360" s="195"/>
      <c r="L360" s="195" t="s">
        <v>3480</v>
      </c>
      <c r="M360" s="5">
        <v>581</v>
      </c>
      <c r="N360" s="5">
        <f t="shared" si="18"/>
        <v>4067</v>
      </c>
      <c r="O360" s="82">
        <v>0.18</v>
      </c>
      <c r="P360" s="9">
        <f t="shared" si="19"/>
        <v>732.06</v>
      </c>
      <c r="Q360" s="5">
        <v>0.3</v>
      </c>
      <c r="R360" s="5"/>
      <c r="S360" s="5">
        <f t="shared" si="20"/>
        <v>4799.3599999999997</v>
      </c>
      <c r="T360" s="1" t="s">
        <v>606</v>
      </c>
      <c r="U360" s="1" t="s">
        <v>606</v>
      </c>
      <c r="V360" s="1" t="s">
        <v>730</v>
      </c>
      <c r="W360" s="1" t="s">
        <v>2069</v>
      </c>
      <c r="X360" s="1"/>
      <c r="Y360" s="26"/>
      <c r="Z360" s="8" t="s">
        <v>3195</v>
      </c>
      <c r="AA360" s="204"/>
      <c r="AB360" s="21">
        <v>7</v>
      </c>
      <c r="AC360" s="12" t="s">
        <v>3772</v>
      </c>
      <c r="AD360" s="26"/>
      <c r="AE360" s="29"/>
      <c r="AF360" s="26"/>
      <c r="AG360" s="50"/>
    </row>
    <row r="361" spans="1:33" s="51" customFormat="1" x14ac:dyDescent="0.25">
      <c r="A361" s="4"/>
      <c r="B361" s="4">
        <v>45740</v>
      </c>
      <c r="C361" s="1" t="s">
        <v>1991</v>
      </c>
      <c r="D361" s="224" t="s">
        <v>3555</v>
      </c>
      <c r="E361" s="26" t="s">
        <v>1975</v>
      </c>
      <c r="F361" s="233" t="s">
        <v>663</v>
      </c>
      <c r="G361" s="1" t="s">
        <v>663</v>
      </c>
      <c r="H361" s="8">
        <v>3</v>
      </c>
      <c r="I361" s="8">
        <v>1</v>
      </c>
      <c r="J361" s="115">
        <f>Table224[[#This Row],[Qty]]-Table224[[#This Row],[Issue Qty]]</f>
        <v>2</v>
      </c>
      <c r="K361" s="195"/>
      <c r="L361" s="195" t="s">
        <v>3480</v>
      </c>
      <c r="M361" s="5">
        <v>296.61</v>
      </c>
      <c r="N361" s="5">
        <f t="shared" si="18"/>
        <v>889.83</v>
      </c>
      <c r="O361" s="82">
        <v>0.18</v>
      </c>
      <c r="P361" s="9">
        <f t="shared" si="19"/>
        <v>160.1694</v>
      </c>
      <c r="Q361" s="5">
        <v>99</v>
      </c>
      <c r="R361" s="5"/>
      <c r="S361" s="5">
        <f t="shared" si="20"/>
        <v>1148.9994000000002</v>
      </c>
      <c r="T361" s="1" t="s">
        <v>726</v>
      </c>
      <c r="U361" s="1" t="s">
        <v>726</v>
      </c>
      <c r="V361" s="1" t="s">
        <v>691</v>
      </c>
      <c r="W361" s="1" t="s">
        <v>2070</v>
      </c>
      <c r="X361" s="1"/>
      <c r="Y361" s="2"/>
      <c r="Z361" s="21" t="s">
        <v>650</v>
      </c>
      <c r="AA361" s="21" t="s">
        <v>3617</v>
      </c>
      <c r="AB361" s="21">
        <v>1</v>
      </c>
      <c r="AC361" s="12" t="s">
        <v>3787</v>
      </c>
      <c r="AD361" s="252" t="s">
        <v>3622</v>
      </c>
      <c r="AE361" s="29"/>
      <c r="AF361" s="2"/>
      <c r="AG361" s="50"/>
    </row>
    <row r="362" spans="1:33" s="51" customFormat="1" x14ac:dyDescent="0.25">
      <c r="A362" s="4"/>
      <c r="B362" s="4">
        <v>45740</v>
      </c>
      <c r="C362" s="1" t="s">
        <v>54</v>
      </c>
      <c r="D362" s="224" t="s">
        <v>3494</v>
      </c>
      <c r="E362" s="26" t="s">
        <v>2060</v>
      </c>
      <c r="F362" s="233" t="s">
        <v>806</v>
      </c>
      <c r="G362" s="1" t="s">
        <v>807</v>
      </c>
      <c r="H362" s="8">
        <v>2</v>
      </c>
      <c r="I362" s="8">
        <f>1+1</f>
        <v>2</v>
      </c>
      <c r="J362" s="115">
        <f>Table224[[#This Row],[Qty]]-Table224[[#This Row],[Issue Qty]]</f>
        <v>0</v>
      </c>
      <c r="K362" s="195"/>
      <c r="L362" s="195" t="s">
        <v>3480</v>
      </c>
      <c r="M362" s="5">
        <v>4762</v>
      </c>
      <c r="N362" s="5">
        <f t="shared" si="18"/>
        <v>9524</v>
      </c>
      <c r="O362" s="82">
        <v>0.18</v>
      </c>
      <c r="P362" s="9">
        <f t="shared" si="19"/>
        <v>1714.32</v>
      </c>
      <c r="Q362" s="5">
        <v>0.28000000000000003</v>
      </c>
      <c r="R362" s="5"/>
      <c r="S362" s="5">
        <f t="shared" si="20"/>
        <v>11238.6</v>
      </c>
      <c r="T362" s="1" t="s">
        <v>606</v>
      </c>
      <c r="U362" s="1" t="s">
        <v>606</v>
      </c>
      <c r="V362" s="1" t="s">
        <v>820</v>
      </c>
      <c r="W362" s="1" t="s">
        <v>2067</v>
      </c>
      <c r="X362" s="1"/>
      <c r="Y362" s="1"/>
      <c r="Z362" s="8" t="s">
        <v>809</v>
      </c>
      <c r="AA362" s="8"/>
      <c r="AB362" s="8">
        <v>2</v>
      </c>
      <c r="AC362" s="22" t="s">
        <v>2901</v>
      </c>
      <c r="AD362" s="1"/>
      <c r="AE362" s="29"/>
      <c r="AF362" s="1"/>
      <c r="AG362" s="50"/>
    </row>
    <row r="363" spans="1:33" s="51" customFormat="1" x14ac:dyDescent="0.25">
      <c r="A363" s="4"/>
      <c r="B363" s="4">
        <v>45741</v>
      </c>
      <c r="C363" s="1" t="s">
        <v>54</v>
      </c>
      <c r="D363" s="224" t="s">
        <v>3497</v>
      </c>
      <c r="E363" s="1" t="s">
        <v>2071</v>
      </c>
      <c r="F363" s="102" t="s">
        <v>824</v>
      </c>
      <c r="G363" s="1" t="s">
        <v>825</v>
      </c>
      <c r="H363" s="8">
        <v>1</v>
      </c>
      <c r="I363" s="8">
        <v>1</v>
      </c>
      <c r="J363" s="115">
        <f>Table224[[#This Row],[Qty]]-Table224[[#This Row],[Issue Qty]]</f>
        <v>0</v>
      </c>
      <c r="K363" s="195"/>
      <c r="L363" s="195" t="s">
        <v>3480</v>
      </c>
      <c r="M363" s="5">
        <v>413</v>
      </c>
      <c r="N363" s="5">
        <f t="shared" si="18"/>
        <v>413</v>
      </c>
      <c r="O363" s="82">
        <v>0.12</v>
      </c>
      <c r="P363" s="9">
        <f t="shared" si="19"/>
        <v>49.559999999999995</v>
      </c>
      <c r="Q363" s="5">
        <v>0</v>
      </c>
      <c r="R363" s="5"/>
      <c r="S363" s="5">
        <f t="shared" si="20"/>
        <v>462.56</v>
      </c>
      <c r="T363" s="1" t="s">
        <v>606</v>
      </c>
      <c r="U363" s="1" t="s">
        <v>606</v>
      </c>
      <c r="V363" s="1" t="s">
        <v>601</v>
      </c>
      <c r="W363" s="1">
        <v>40925</v>
      </c>
      <c r="X363" s="1"/>
      <c r="Y363" s="2"/>
      <c r="Z363" s="21"/>
      <c r="AA363" s="21"/>
      <c r="AB363" s="21">
        <v>1</v>
      </c>
      <c r="AC363" s="12"/>
      <c r="AD363" s="2"/>
      <c r="AE363" s="29" t="s">
        <v>826</v>
      </c>
      <c r="AF363" s="2"/>
      <c r="AG363" s="50"/>
    </row>
    <row r="364" spans="1:33" s="51" customFormat="1" x14ac:dyDescent="0.25">
      <c r="A364" s="4"/>
      <c r="B364" s="4">
        <v>45741</v>
      </c>
      <c r="C364" s="1" t="s">
        <v>54</v>
      </c>
      <c r="D364" s="224" t="s">
        <v>3497</v>
      </c>
      <c r="E364" s="1" t="s">
        <v>2071</v>
      </c>
      <c r="F364" s="102" t="s">
        <v>824</v>
      </c>
      <c r="G364" s="1" t="s">
        <v>825</v>
      </c>
      <c r="H364" s="8">
        <v>1</v>
      </c>
      <c r="I364" s="8">
        <v>1</v>
      </c>
      <c r="J364" s="115">
        <f>Table224[[#This Row],[Qty]]-Table224[[#This Row],[Issue Qty]]</f>
        <v>0</v>
      </c>
      <c r="K364" s="195"/>
      <c r="L364" s="195" t="s">
        <v>3480</v>
      </c>
      <c r="M364" s="5">
        <v>413</v>
      </c>
      <c r="N364" s="5">
        <f t="shared" si="18"/>
        <v>413</v>
      </c>
      <c r="O364" s="82">
        <v>0.12</v>
      </c>
      <c r="P364" s="9">
        <f t="shared" si="19"/>
        <v>49.559999999999995</v>
      </c>
      <c r="Q364" s="5">
        <v>0</v>
      </c>
      <c r="R364" s="5"/>
      <c r="S364" s="5">
        <f t="shared" si="20"/>
        <v>462.56</v>
      </c>
      <c r="T364" s="1" t="s">
        <v>606</v>
      </c>
      <c r="U364" s="1" t="s">
        <v>606</v>
      </c>
      <c r="V364" s="1" t="s">
        <v>601</v>
      </c>
      <c r="W364" s="1">
        <v>40925</v>
      </c>
      <c r="X364" s="1"/>
      <c r="Y364" s="2"/>
      <c r="Z364" s="21"/>
      <c r="AA364" s="21"/>
      <c r="AB364" s="21">
        <v>1</v>
      </c>
      <c r="AC364" s="12" t="s">
        <v>802</v>
      </c>
      <c r="AD364" s="2"/>
      <c r="AE364" s="29" t="s">
        <v>826</v>
      </c>
      <c r="AF364" s="2"/>
      <c r="AG364" s="50"/>
    </row>
    <row r="365" spans="1:33" s="51" customFormat="1" x14ac:dyDescent="0.25">
      <c r="A365" s="4"/>
      <c r="B365" s="4">
        <v>45741</v>
      </c>
      <c r="C365" s="1" t="s">
        <v>54</v>
      </c>
      <c r="D365" s="224" t="s">
        <v>3497</v>
      </c>
      <c r="E365" s="1" t="s">
        <v>2071</v>
      </c>
      <c r="F365" s="102" t="s">
        <v>824</v>
      </c>
      <c r="G365" s="1" t="s">
        <v>825</v>
      </c>
      <c r="H365" s="8">
        <v>4</v>
      </c>
      <c r="I365" s="8">
        <v>1</v>
      </c>
      <c r="J365" s="115">
        <f>Table224[[#This Row],[Qty]]-Table224[[#This Row],[Issue Qty]]</f>
        <v>3</v>
      </c>
      <c r="K365" s="195"/>
      <c r="L365" s="195" t="s">
        <v>3480</v>
      </c>
      <c r="M365" s="5">
        <v>413</v>
      </c>
      <c r="N365" s="5">
        <f t="shared" si="18"/>
        <v>1652</v>
      </c>
      <c r="O365" s="82">
        <v>0.12</v>
      </c>
      <c r="P365" s="9">
        <f t="shared" si="19"/>
        <v>198.23999999999998</v>
      </c>
      <c r="Q365" s="5">
        <v>0</v>
      </c>
      <c r="R365" s="5"/>
      <c r="S365" s="5">
        <f t="shared" si="20"/>
        <v>1850.24</v>
      </c>
      <c r="T365" s="1" t="s">
        <v>606</v>
      </c>
      <c r="U365" s="1" t="s">
        <v>606</v>
      </c>
      <c r="V365" s="1" t="s">
        <v>601</v>
      </c>
      <c r="W365" s="1">
        <v>40925</v>
      </c>
      <c r="X365" s="1"/>
      <c r="Y365" s="2"/>
      <c r="Z365" s="21" t="s">
        <v>89</v>
      </c>
      <c r="AA365" s="21" t="s">
        <v>217</v>
      </c>
      <c r="AB365" s="21">
        <v>1</v>
      </c>
      <c r="AC365" s="12"/>
      <c r="AD365" s="2"/>
      <c r="AE365" s="29" t="s">
        <v>826</v>
      </c>
      <c r="AF365" s="2"/>
      <c r="AG365" s="50"/>
    </row>
    <row r="366" spans="1:33" s="51" customFormat="1" x14ac:dyDescent="0.25">
      <c r="A366" s="4"/>
      <c r="B366" s="4">
        <v>45745</v>
      </c>
      <c r="C366" s="6" t="s">
        <v>1683</v>
      </c>
      <c r="D366" s="224" t="s">
        <v>1663</v>
      </c>
      <c r="E366" s="1" t="s">
        <v>2072</v>
      </c>
      <c r="F366" s="102" t="s">
        <v>827</v>
      </c>
      <c r="G366" s="1" t="s">
        <v>827</v>
      </c>
      <c r="H366" s="58">
        <v>5</v>
      </c>
      <c r="I366" s="58">
        <v>4</v>
      </c>
      <c r="J366" s="159">
        <f>Table224[[#This Row],[Qty]]-Table224[[#This Row],[Issue Qty]]</f>
        <v>1</v>
      </c>
      <c r="K366" s="228"/>
      <c r="L366" s="228" t="s">
        <v>3480</v>
      </c>
      <c r="M366" s="5">
        <v>14500</v>
      </c>
      <c r="N366" s="5">
        <f t="shared" si="18"/>
        <v>72500</v>
      </c>
      <c r="O366" s="82">
        <v>0.18</v>
      </c>
      <c r="P366" s="9">
        <f t="shared" si="19"/>
        <v>13050</v>
      </c>
      <c r="Q366" s="5">
        <v>0</v>
      </c>
      <c r="R366" s="5"/>
      <c r="S366" s="5">
        <f t="shared" si="20"/>
        <v>85550</v>
      </c>
      <c r="T366" s="1" t="s">
        <v>606</v>
      </c>
      <c r="U366" s="1" t="s">
        <v>606</v>
      </c>
      <c r="V366" s="1" t="s">
        <v>828</v>
      </c>
      <c r="W366" s="1" t="s">
        <v>2073</v>
      </c>
      <c r="X366" s="1"/>
      <c r="Y366" s="1"/>
      <c r="Z366" s="8"/>
      <c r="AA366" s="8"/>
      <c r="AB366" s="8">
        <v>5</v>
      </c>
      <c r="AC366" s="22" t="s">
        <v>3526</v>
      </c>
      <c r="AD366" s="1"/>
      <c r="AE366" s="29"/>
      <c r="AF366" s="2"/>
      <c r="AG366" s="207"/>
    </row>
    <row r="367" spans="1:33" s="51" customFormat="1" ht="30" x14ac:dyDescent="0.25">
      <c r="A367" s="4"/>
      <c r="B367" s="4">
        <v>45747</v>
      </c>
      <c r="C367" s="1" t="s">
        <v>54</v>
      </c>
      <c r="D367" s="224" t="s">
        <v>3494</v>
      </c>
      <c r="E367" s="1" t="s">
        <v>2060</v>
      </c>
      <c r="F367" s="102" t="s">
        <v>806</v>
      </c>
      <c r="G367" s="1" t="s">
        <v>806</v>
      </c>
      <c r="H367" s="8">
        <v>10</v>
      </c>
      <c r="I367" s="8">
        <v>4</v>
      </c>
      <c r="J367" s="115">
        <f>Table224[[#This Row],[Qty]]-Table224[[#This Row],[Issue Qty]]</f>
        <v>6</v>
      </c>
      <c r="K367" s="195"/>
      <c r="L367" s="195" t="s">
        <v>3480</v>
      </c>
      <c r="M367" s="5">
        <v>4410</v>
      </c>
      <c r="N367" s="5">
        <f t="shared" si="18"/>
        <v>44100</v>
      </c>
      <c r="O367" s="82">
        <v>0.18</v>
      </c>
      <c r="P367" s="9">
        <f t="shared" si="19"/>
        <v>7938</v>
      </c>
      <c r="Q367" s="5">
        <v>1180</v>
      </c>
      <c r="R367" s="5"/>
      <c r="S367" s="5">
        <f t="shared" si="20"/>
        <v>53218</v>
      </c>
      <c r="T367" s="1" t="s">
        <v>606</v>
      </c>
      <c r="U367" s="1" t="s">
        <v>606</v>
      </c>
      <c r="V367" s="1" t="s">
        <v>829</v>
      </c>
      <c r="W367" s="1" t="s">
        <v>2074</v>
      </c>
      <c r="X367" s="1"/>
      <c r="Y367" s="2"/>
      <c r="Z367" s="8" t="s">
        <v>809</v>
      </c>
      <c r="AA367" s="21"/>
      <c r="AB367" s="21">
        <v>4</v>
      </c>
      <c r="AC367" s="12" t="s">
        <v>3657</v>
      </c>
      <c r="AD367" s="12" t="s">
        <v>830</v>
      </c>
      <c r="AE367" s="29" t="s">
        <v>831</v>
      </c>
      <c r="AF367" s="2"/>
      <c r="AG367" s="50"/>
    </row>
    <row r="368" spans="1:33" s="208" customFormat="1" x14ac:dyDescent="0.25">
      <c r="A368" s="4"/>
      <c r="B368" s="4">
        <v>45749</v>
      </c>
      <c r="C368" s="1" t="s">
        <v>1991</v>
      </c>
      <c r="D368" s="224" t="s">
        <v>3560</v>
      </c>
      <c r="E368" s="1" t="s">
        <v>2077</v>
      </c>
      <c r="F368" s="232" t="s">
        <v>834</v>
      </c>
      <c r="G368" s="1" t="s">
        <v>834</v>
      </c>
      <c r="H368" s="8">
        <v>10</v>
      </c>
      <c r="I368" s="8">
        <v>10</v>
      </c>
      <c r="J368" s="115">
        <f>Table224[[#This Row],[Qty]]-Table224[[#This Row],[Issue Qty]]</f>
        <v>0</v>
      </c>
      <c r="K368" s="195"/>
      <c r="L368" s="195" t="s">
        <v>3480</v>
      </c>
      <c r="M368" s="5">
        <v>0.77</v>
      </c>
      <c r="N368" s="5">
        <f t="shared" si="18"/>
        <v>7.7</v>
      </c>
      <c r="O368" s="82">
        <v>0.18</v>
      </c>
      <c r="P368" s="9">
        <f t="shared" si="19"/>
        <v>1.3859999999999999</v>
      </c>
      <c r="Q368" s="5">
        <v>0.21</v>
      </c>
      <c r="R368" s="5"/>
      <c r="S368" s="5">
        <f t="shared" si="20"/>
        <v>9.2960000000000012</v>
      </c>
      <c r="T368" s="1" t="s">
        <v>726</v>
      </c>
      <c r="U368" s="1" t="s">
        <v>726</v>
      </c>
      <c r="V368" s="1" t="s">
        <v>312</v>
      </c>
      <c r="W368" s="1" t="s">
        <v>2076</v>
      </c>
      <c r="X368" s="1"/>
      <c r="Y368" s="2"/>
      <c r="Z368" s="21" t="s">
        <v>38</v>
      </c>
      <c r="AA368" s="21"/>
      <c r="AB368" s="21">
        <v>10</v>
      </c>
      <c r="AC368" s="12" t="s">
        <v>81</v>
      </c>
      <c r="AD368" s="2"/>
      <c r="AE368" s="29"/>
      <c r="AF368" s="2"/>
      <c r="AG368" s="50"/>
    </row>
    <row r="369" spans="1:33" s="51" customFormat="1" x14ac:dyDescent="0.25">
      <c r="A369" s="4"/>
      <c r="B369" s="4">
        <v>45749</v>
      </c>
      <c r="C369" s="1" t="s">
        <v>1991</v>
      </c>
      <c r="D369" s="224" t="s">
        <v>3588</v>
      </c>
      <c r="E369" s="1" t="s">
        <v>2080</v>
      </c>
      <c r="F369" s="232" t="s">
        <v>836</v>
      </c>
      <c r="G369" s="1" t="s">
        <v>836</v>
      </c>
      <c r="H369" s="8">
        <v>8</v>
      </c>
      <c r="I369" s="8">
        <v>8</v>
      </c>
      <c r="J369" s="115">
        <f>Table224[[#This Row],[Qty]]-Table224[[#This Row],[Issue Qty]]</f>
        <v>0</v>
      </c>
      <c r="K369" s="195"/>
      <c r="L369" s="195" t="s">
        <v>3480</v>
      </c>
      <c r="M369" s="5">
        <v>47.24</v>
      </c>
      <c r="N369" s="5">
        <f t="shared" si="18"/>
        <v>377.92</v>
      </c>
      <c r="O369" s="82">
        <v>0.18</v>
      </c>
      <c r="P369" s="9">
        <f t="shared" si="19"/>
        <v>68.025599999999997</v>
      </c>
      <c r="Q369" s="5">
        <v>0</v>
      </c>
      <c r="R369" s="5"/>
      <c r="S369" s="5">
        <f t="shared" si="20"/>
        <v>445.94560000000001</v>
      </c>
      <c r="T369" s="1" t="s">
        <v>726</v>
      </c>
      <c r="U369" s="1" t="s">
        <v>726</v>
      </c>
      <c r="V369" s="1" t="s">
        <v>312</v>
      </c>
      <c r="W369" s="1" t="s">
        <v>2079</v>
      </c>
      <c r="X369" s="1"/>
      <c r="Y369" s="2"/>
      <c r="Z369" s="21" t="s">
        <v>650</v>
      </c>
      <c r="AA369" s="21" t="s">
        <v>3617</v>
      </c>
      <c r="AB369" s="21">
        <v>8</v>
      </c>
      <c r="AC369" s="12" t="s">
        <v>81</v>
      </c>
      <c r="AD369" s="2"/>
      <c r="AE369" s="29"/>
      <c r="AF369" s="2"/>
      <c r="AG369" s="50"/>
    </row>
    <row r="370" spans="1:33" s="51" customFormat="1" x14ac:dyDescent="0.25">
      <c r="A370" s="4"/>
      <c r="B370" s="4">
        <v>45749</v>
      </c>
      <c r="C370" s="6" t="s">
        <v>1683</v>
      </c>
      <c r="D370" s="224" t="s">
        <v>3487</v>
      </c>
      <c r="E370" s="1" t="s">
        <v>2075</v>
      </c>
      <c r="F370" s="102" t="s">
        <v>832</v>
      </c>
      <c r="G370" s="1" t="s">
        <v>832</v>
      </c>
      <c r="H370" s="8">
        <v>2</v>
      </c>
      <c r="I370" s="8">
        <v>2</v>
      </c>
      <c r="J370" s="115">
        <f>Table224[[#This Row],[Qty]]-Table224[[#This Row],[Issue Qty]]</f>
        <v>0</v>
      </c>
      <c r="K370" s="195"/>
      <c r="L370" s="195" t="s">
        <v>3480</v>
      </c>
      <c r="M370" s="5">
        <v>300.3</v>
      </c>
      <c r="N370" s="5">
        <f t="shared" si="18"/>
        <v>600.6</v>
      </c>
      <c r="O370" s="82">
        <v>0.18</v>
      </c>
      <c r="P370" s="9">
        <f t="shared" si="19"/>
        <v>108.108</v>
      </c>
      <c r="Q370" s="5">
        <v>0</v>
      </c>
      <c r="R370" s="5"/>
      <c r="S370" s="5">
        <f t="shared" si="20"/>
        <v>708.70800000000008</v>
      </c>
      <c r="T370" s="1" t="s">
        <v>726</v>
      </c>
      <c r="U370" s="1" t="s">
        <v>726</v>
      </c>
      <c r="V370" s="1" t="s">
        <v>312</v>
      </c>
      <c r="W370" s="1" t="s">
        <v>2076</v>
      </c>
      <c r="X370" s="1"/>
      <c r="Y370" s="2"/>
      <c r="Z370" s="21" t="s">
        <v>52</v>
      </c>
      <c r="AA370" s="21"/>
      <c r="AB370" s="21"/>
      <c r="AC370" s="12"/>
      <c r="AD370" s="2"/>
      <c r="AE370" s="29"/>
      <c r="AF370" s="2"/>
      <c r="AG370" s="50"/>
    </row>
    <row r="371" spans="1:33" s="51" customFormat="1" x14ac:dyDescent="0.25">
      <c r="A371" s="4"/>
      <c r="B371" s="4">
        <v>45749</v>
      </c>
      <c r="C371" s="1" t="s">
        <v>1991</v>
      </c>
      <c r="D371" s="224" t="s">
        <v>3463</v>
      </c>
      <c r="E371" s="1" t="s">
        <v>2078</v>
      </c>
      <c r="F371" s="102" t="s">
        <v>835</v>
      </c>
      <c r="G371" s="1" t="s">
        <v>835</v>
      </c>
      <c r="H371" s="8">
        <v>1</v>
      </c>
      <c r="I371" s="8"/>
      <c r="J371" s="115">
        <f>Table224[[#This Row],[Qty]]-Table224[[#This Row],[Issue Qty]]</f>
        <v>1</v>
      </c>
      <c r="K371" s="195"/>
      <c r="L371" s="195" t="s">
        <v>3480</v>
      </c>
      <c r="M371" s="5">
        <v>2438.48</v>
      </c>
      <c r="N371" s="5">
        <f t="shared" ref="N371:N434" si="21">H371*M371</f>
        <v>2438.48</v>
      </c>
      <c r="O371" s="82">
        <v>0.18</v>
      </c>
      <c r="P371" s="9">
        <f t="shared" ref="P371:P434" si="22">N371*O371</f>
        <v>438.9264</v>
      </c>
      <c r="Q371" s="5">
        <v>236</v>
      </c>
      <c r="R371" s="5"/>
      <c r="S371" s="5">
        <f t="shared" ref="S371:S434" si="23">N371+P371+Q371+R371</f>
        <v>3113.4063999999998</v>
      </c>
      <c r="T371" s="1" t="s">
        <v>726</v>
      </c>
      <c r="U371" s="1" t="s">
        <v>726</v>
      </c>
      <c r="V371" s="1" t="s">
        <v>312</v>
      </c>
      <c r="W371" s="1" t="s">
        <v>2079</v>
      </c>
      <c r="X371" s="1"/>
      <c r="Y371" s="2"/>
      <c r="Z371" s="21" t="s">
        <v>965</v>
      </c>
      <c r="AA371" s="21" t="s">
        <v>3658</v>
      </c>
      <c r="AB371" s="21"/>
      <c r="AC371" s="12" t="s">
        <v>3659</v>
      </c>
      <c r="AD371" s="2"/>
      <c r="AE371" s="29"/>
      <c r="AF371" s="2"/>
      <c r="AG371" s="50"/>
    </row>
    <row r="372" spans="1:33" s="51" customFormat="1" x14ac:dyDescent="0.25">
      <c r="A372" s="4"/>
      <c r="B372" s="4">
        <v>45751</v>
      </c>
      <c r="C372" s="1" t="s">
        <v>2003</v>
      </c>
      <c r="D372" s="224" t="s">
        <v>3499</v>
      </c>
      <c r="E372" s="1" t="s">
        <v>2081</v>
      </c>
      <c r="F372" s="254" t="s">
        <v>837</v>
      </c>
      <c r="G372" s="1" t="s">
        <v>837</v>
      </c>
      <c r="H372" s="8">
        <v>3</v>
      </c>
      <c r="I372" s="8"/>
      <c r="J372" s="115">
        <f>Table224[[#This Row],[Qty]]-Table224[[#This Row],[Issue Qty]]</f>
        <v>3</v>
      </c>
      <c r="K372" s="195"/>
      <c r="L372" s="195" t="s">
        <v>3486</v>
      </c>
      <c r="M372" s="5">
        <v>112</v>
      </c>
      <c r="N372" s="5">
        <f t="shared" si="21"/>
        <v>336</v>
      </c>
      <c r="O372" s="82">
        <v>0.18</v>
      </c>
      <c r="P372" s="9">
        <f t="shared" si="22"/>
        <v>60.48</v>
      </c>
      <c r="Q372" s="5">
        <v>0</v>
      </c>
      <c r="R372" s="5"/>
      <c r="S372" s="5">
        <f t="shared" si="23"/>
        <v>396.48</v>
      </c>
      <c r="T372" s="1" t="s">
        <v>838</v>
      </c>
      <c r="U372" s="1" t="s">
        <v>838</v>
      </c>
      <c r="V372" s="1" t="s">
        <v>444</v>
      </c>
      <c r="W372" s="1" t="s">
        <v>2082</v>
      </c>
      <c r="X372" s="1"/>
      <c r="Y372" s="26"/>
      <c r="Z372" s="21" t="s">
        <v>261</v>
      </c>
      <c r="AA372" s="204"/>
      <c r="AB372" s="21">
        <v>3</v>
      </c>
      <c r="AC372" s="12" t="s">
        <v>839</v>
      </c>
      <c r="AD372" s="26"/>
      <c r="AE372" s="29"/>
      <c r="AF372" s="26"/>
      <c r="AG372" s="50"/>
    </row>
    <row r="373" spans="1:33" s="51" customFormat="1" x14ac:dyDescent="0.25">
      <c r="A373" s="4"/>
      <c r="B373" s="4">
        <v>45752</v>
      </c>
      <c r="C373" s="1" t="s">
        <v>54</v>
      </c>
      <c r="D373" s="224" t="s">
        <v>3494</v>
      </c>
      <c r="E373" s="1" t="s">
        <v>2083</v>
      </c>
      <c r="F373" s="102" t="s">
        <v>840</v>
      </c>
      <c r="G373" s="1" t="s">
        <v>841</v>
      </c>
      <c r="H373" s="8">
        <v>1</v>
      </c>
      <c r="I373" s="8"/>
      <c r="J373" s="115">
        <f>Table224[[#This Row],[Qty]]-Table224[[#This Row],[Issue Qty]]</f>
        <v>1</v>
      </c>
      <c r="K373" s="195"/>
      <c r="L373" s="195" t="s">
        <v>3480</v>
      </c>
      <c r="M373" s="5">
        <v>86</v>
      </c>
      <c r="N373" s="5">
        <f t="shared" si="21"/>
        <v>86</v>
      </c>
      <c r="O373" s="82">
        <v>0.18</v>
      </c>
      <c r="P373" s="9">
        <f t="shared" si="22"/>
        <v>15.479999999999999</v>
      </c>
      <c r="Q373" s="5">
        <v>0</v>
      </c>
      <c r="R373" s="5"/>
      <c r="S373" s="5">
        <f t="shared" si="23"/>
        <v>101.48</v>
      </c>
      <c r="T373" s="1" t="s">
        <v>726</v>
      </c>
      <c r="U373" s="1" t="s">
        <v>726</v>
      </c>
      <c r="V373" s="1" t="s">
        <v>358</v>
      </c>
      <c r="W373" s="1" t="s">
        <v>2084</v>
      </c>
      <c r="X373" s="1"/>
      <c r="Y373" s="26"/>
      <c r="Z373" s="21" t="s">
        <v>688</v>
      </c>
      <c r="AA373" s="204"/>
      <c r="AB373" s="21"/>
      <c r="AC373" s="12"/>
      <c r="AD373" s="26"/>
      <c r="AE373" s="29" t="s">
        <v>842</v>
      </c>
      <c r="AF373" s="26"/>
      <c r="AG373" s="50"/>
    </row>
    <row r="374" spans="1:33" s="51" customFormat="1" x14ac:dyDescent="0.25">
      <c r="A374" s="4"/>
      <c r="B374" s="4">
        <v>45752</v>
      </c>
      <c r="C374" s="1" t="s">
        <v>2003</v>
      </c>
      <c r="D374" s="224" t="s">
        <v>3499</v>
      </c>
      <c r="E374" s="1" t="s">
        <v>2094</v>
      </c>
      <c r="F374" s="102" t="s">
        <v>854</v>
      </c>
      <c r="G374" s="1" t="s">
        <v>854</v>
      </c>
      <c r="H374" s="8">
        <v>1</v>
      </c>
      <c r="I374" s="8">
        <v>1</v>
      </c>
      <c r="J374" s="115">
        <f>Table224[[#This Row],[Qty]]-Table224[[#This Row],[Issue Qty]]</f>
        <v>0</v>
      </c>
      <c r="K374" s="195"/>
      <c r="L374" s="195" t="s">
        <v>3486</v>
      </c>
      <c r="M374" s="5">
        <v>91</v>
      </c>
      <c r="N374" s="5">
        <f t="shared" si="21"/>
        <v>91</v>
      </c>
      <c r="O374" s="82">
        <v>0.18</v>
      </c>
      <c r="P374" s="9">
        <f t="shared" si="22"/>
        <v>16.38</v>
      </c>
      <c r="Q374" s="5">
        <v>0</v>
      </c>
      <c r="R374" s="5"/>
      <c r="S374" s="5">
        <f t="shared" si="23"/>
        <v>107.38</v>
      </c>
      <c r="T374" s="1" t="s">
        <v>606</v>
      </c>
      <c r="U374" s="1" t="s">
        <v>606</v>
      </c>
      <c r="V374" s="1" t="s">
        <v>444</v>
      </c>
      <c r="W374" s="1" t="s">
        <v>2087</v>
      </c>
      <c r="X374" s="1"/>
      <c r="Y374" s="26"/>
      <c r="Z374" s="21" t="s">
        <v>261</v>
      </c>
      <c r="AA374" s="204"/>
      <c r="AB374" s="8">
        <v>1</v>
      </c>
      <c r="AC374" s="12" t="s">
        <v>847</v>
      </c>
      <c r="AD374" s="26"/>
      <c r="AE374" s="29"/>
      <c r="AF374" s="26"/>
      <c r="AG374" s="50"/>
    </row>
    <row r="375" spans="1:33" s="51" customFormat="1" x14ac:dyDescent="0.25">
      <c r="A375" s="4"/>
      <c r="B375" s="4">
        <v>45752</v>
      </c>
      <c r="C375" s="1" t="s">
        <v>2003</v>
      </c>
      <c r="D375" s="224" t="s">
        <v>3499</v>
      </c>
      <c r="E375" s="1" t="s">
        <v>2086</v>
      </c>
      <c r="F375" s="102" t="s">
        <v>846</v>
      </c>
      <c r="G375" s="1" t="s">
        <v>846</v>
      </c>
      <c r="H375" s="8">
        <v>1</v>
      </c>
      <c r="I375" s="8">
        <v>1</v>
      </c>
      <c r="J375" s="115">
        <f>Table224[[#This Row],[Qty]]-Table224[[#This Row],[Issue Qty]]</f>
        <v>0</v>
      </c>
      <c r="K375" s="195"/>
      <c r="L375" s="195" t="s">
        <v>3514</v>
      </c>
      <c r="M375" s="5">
        <v>78</v>
      </c>
      <c r="N375" s="5">
        <f t="shared" si="21"/>
        <v>78</v>
      </c>
      <c r="O375" s="82">
        <v>0.18</v>
      </c>
      <c r="P375" s="9">
        <f t="shared" si="22"/>
        <v>14.04</v>
      </c>
      <c r="Q375" s="5">
        <v>0</v>
      </c>
      <c r="R375" s="5"/>
      <c r="S375" s="5">
        <f t="shared" si="23"/>
        <v>92.039999999999992</v>
      </c>
      <c r="T375" s="1" t="s">
        <v>606</v>
      </c>
      <c r="U375" s="1" t="s">
        <v>606</v>
      </c>
      <c r="V375" s="1" t="s">
        <v>444</v>
      </c>
      <c r="W375" s="1" t="s">
        <v>2087</v>
      </c>
      <c r="X375" s="1"/>
      <c r="Y375" s="26"/>
      <c r="Z375" s="204" t="s">
        <v>261</v>
      </c>
      <c r="AA375" s="204"/>
      <c r="AB375" s="8">
        <v>1</v>
      </c>
      <c r="AC375" s="12" t="s">
        <v>847</v>
      </c>
      <c r="AD375" s="26"/>
      <c r="AE375" s="29"/>
      <c r="AF375" s="26"/>
      <c r="AG375" s="50"/>
    </row>
    <row r="376" spans="1:33" s="51" customFormat="1" x14ac:dyDescent="0.25">
      <c r="A376" s="4"/>
      <c r="B376" s="4">
        <v>45752</v>
      </c>
      <c r="C376" s="1" t="s">
        <v>2003</v>
      </c>
      <c r="D376" s="224" t="s">
        <v>3499</v>
      </c>
      <c r="E376" s="1" t="s">
        <v>2088</v>
      </c>
      <c r="F376" s="102" t="s">
        <v>848</v>
      </c>
      <c r="G376" s="1" t="s">
        <v>848</v>
      </c>
      <c r="H376" s="8">
        <v>1</v>
      </c>
      <c r="I376" s="8"/>
      <c r="J376" s="115">
        <f>Table224[[#This Row],[Qty]]-Table224[[#This Row],[Issue Qty]]</f>
        <v>1</v>
      </c>
      <c r="K376" s="195"/>
      <c r="L376" s="195" t="s">
        <v>3514</v>
      </c>
      <c r="M376" s="5">
        <v>88</v>
      </c>
      <c r="N376" s="5">
        <f t="shared" si="21"/>
        <v>88</v>
      </c>
      <c r="O376" s="82">
        <v>0.18</v>
      </c>
      <c r="P376" s="9">
        <f t="shared" si="22"/>
        <v>15.84</v>
      </c>
      <c r="Q376" s="5">
        <v>0</v>
      </c>
      <c r="R376" s="5"/>
      <c r="S376" s="5">
        <f t="shared" si="23"/>
        <v>103.84</v>
      </c>
      <c r="T376" s="1" t="s">
        <v>606</v>
      </c>
      <c r="U376" s="1" t="s">
        <v>606</v>
      </c>
      <c r="V376" s="1" t="s">
        <v>444</v>
      </c>
      <c r="W376" s="1" t="s">
        <v>2087</v>
      </c>
      <c r="X376" s="1"/>
      <c r="Y376" s="26"/>
      <c r="Z376" s="204" t="s">
        <v>261</v>
      </c>
      <c r="AA376" s="204"/>
      <c r="AB376" s="8">
        <v>1</v>
      </c>
      <c r="AC376" s="12" t="s">
        <v>847</v>
      </c>
      <c r="AD376" s="26"/>
      <c r="AE376" s="29"/>
      <c r="AF376" s="26"/>
      <c r="AG376" s="50"/>
    </row>
    <row r="377" spans="1:33" s="51" customFormat="1" x14ac:dyDescent="0.25">
      <c r="A377" s="4"/>
      <c r="B377" s="4">
        <v>45752</v>
      </c>
      <c r="C377" s="1" t="s">
        <v>2003</v>
      </c>
      <c r="D377" s="224" t="s">
        <v>3499</v>
      </c>
      <c r="E377" s="1" t="s">
        <v>2089</v>
      </c>
      <c r="F377" s="102" t="s">
        <v>849</v>
      </c>
      <c r="G377" s="1" t="s">
        <v>849</v>
      </c>
      <c r="H377" s="8">
        <v>4</v>
      </c>
      <c r="I377" s="8">
        <v>3</v>
      </c>
      <c r="J377" s="115">
        <f>Table224[[#This Row],[Qty]]-Table224[[#This Row],[Issue Qty]]</f>
        <v>1</v>
      </c>
      <c r="K377" s="195"/>
      <c r="L377" s="195" t="s">
        <v>3514</v>
      </c>
      <c r="M377" s="5">
        <v>46</v>
      </c>
      <c r="N377" s="5">
        <f t="shared" si="21"/>
        <v>184</v>
      </c>
      <c r="O377" s="82">
        <v>0.18</v>
      </c>
      <c r="P377" s="9">
        <f t="shared" si="22"/>
        <v>33.119999999999997</v>
      </c>
      <c r="Q377" s="5">
        <v>0</v>
      </c>
      <c r="R377" s="5"/>
      <c r="S377" s="5">
        <f t="shared" si="23"/>
        <v>217.12</v>
      </c>
      <c r="T377" s="1" t="s">
        <v>606</v>
      </c>
      <c r="U377" s="1" t="s">
        <v>606</v>
      </c>
      <c r="V377" s="1" t="s">
        <v>444</v>
      </c>
      <c r="W377" s="1" t="s">
        <v>2087</v>
      </c>
      <c r="X377" s="1"/>
      <c r="Y377" s="26"/>
      <c r="Z377" s="204" t="s">
        <v>261</v>
      </c>
      <c r="AA377" s="204"/>
      <c r="AB377" s="8">
        <v>3</v>
      </c>
      <c r="AC377" s="12" t="s">
        <v>3875</v>
      </c>
      <c r="AD377" s="26" t="s">
        <v>3541</v>
      </c>
      <c r="AE377" s="29"/>
      <c r="AF377" s="26"/>
      <c r="AG377" s="50"/>
    </row>
    <row r="378" spans="1:33" s="51" customFormat="1" x14ac:dyDescent="0.25">
      <c r="A378" s="4"/>
      <c r="B378" s="4">
        <v>45752</v>
      </c>
      <c r="C378" s="1" t="s">
        <v>2003</v>
      </c>
      <c r="D378" s="224" t="s">
        <v>3499</v>
      </c>
      <c r="E378" s="1" t="s">
        <v>2090</v>
      </c>
      <c r="F378" s="102" t="s">
        <v>850</v>
      </c>
      <c r="G378" s="1" t="s">
        <v>850</v>
      </c>
      <c r="H378" s="8">
        <v>2</v>
      </c>
      <c r="I378" s="8"/>
      <c r="J378" s="115">
        <f>Table224[[#This Row],[Qty]]-Table224[[#This Row],[Issue Qty]]</f>
        <v>2</v>
      </c>
      <c r="K378" s="195"/>
      <c r="L378" s="195" t="s">
        <v>3514</v>
      </c>
      <c r="M378" s="5">
        <v>58</v>
      </c>
      <c r="N378" s="5">
        <f t="shared" si="21"/>
        <v>116</v>
      </c>
      <c r="O378" s="82">
        <v>0.18</v>
      </c>
      <c r="P378" s="9">
        <f t="shared" si="22"/>
        <v>20.88</v>
      </c>
      <c r="Q378" s="5">
        <v>0</v>
      </c>
      <c r="R378" s="5"/>
      <c r="S378" s="5">
        <f t="shared" si="23"/>
        <v>136.88</v>
      </c>
      <c r="T378" s="1" t="s">
        <v>606</v>
      </c>
      <c r="U378" s="1" t="s">
        <v>606</v>
      </c>
      <c r="V378" s="1" t="s">
        <v>444</v>
      </c>
      <c r="W378" s="1" t="s">
        <v>2087</v>
      </c>
      <c r="X378" s="1"/>
      <c r="Y378" s="26"/>
      <c r="Z378" s="204" t="s">
        <v>261</v>
      </c>
      <c r="AA378" s="204"/>
      <c r="AB378" s="8">
        <v>2</v>
      </c>
      <c r="AC378" s="12" t="s">
        <v>847</v>
      </c>
      <c r="AD378" s="26"/>
      <c r="AE378" s="29"/>
      <c r="AF378" s="26"/>
      <c r="AG378" s="50"/>
    </row>
    <row r="379" spans="1:33" s="51" customFormat="1" x14ac:dyDescent="0.25">
      <c r="A379" s="4"/>
      <c r="B379" s="4">
        <v>45752</v>
      </c>
      <c r="C379" s="1" t="s">
        <v>2003</v>
      </c>
      <c r="D379" s="224" t="s">
        <v>3499</v>
      </c>
      <c r="E379" s="1" t="s">
        <v>2095</v>
      </c>
      <c r="F379" s="102" t="s">
        <v>855</v>
      </c>
      <c r="G379" s="1" t="s">
        <v>855</v>
      </c>
      <c r="H379" s="8">
        <v>1</v>
      </c>
      <c r="I379" s="8"/>
      <c r="J379" s="115">
        <f>Table224[[#This Row],[Qty]]-Table224[[#This Row],[Issue Qty]]</f>
        <v>1</v>
      </c>
      <c r="K379" s="195"/>
      <c r="L379" s="195" t="s">
        <v>3486</v>
      </c>
      <c r="M379" s="5">
        <v>81</v>
      </c>
      <c r="N379" s="5">
        <f t="shared" si="21"/>
        <v>81</v>
      </c>
      <c r="O379" s="82">
        <v>0.18</v>
      </c>
      <c r="P379" s="9">
        <f t="shared" si="22"/>
        <v>14.58</v>
      </c>
      <c r="Q379" s="5">
        <v>0</v>
      </c>
      <c r="R379" s="5"/>
      <c r="S379" s="5">
        <f t="shared" si="23"/>
        <v>95.58</v>
      </c>
      <c r="T379" s="1" t="s">
        <v>606</v>
      </c>
      <c r="U379" s="1" t="s">
        <v>606</v>
      </c>
      <c r="V379" s="1" t="s">
        <v>444</v>
      </c>
      <c r="W379" s="1" t="s">
        <v>2087</v>
      </c>
      <c r="X379" s="1"/>
      <c r="Y379" s="26"/>
      <c r="Z379" s="21" t="s">
        <v>261</v>
      </c>
      <c r="AA379" s="204"/>
      <c r="AB379" s="21"/>
      <c r="AC379" s="12" t="s">
        <v>3538</v>
      </c>
      <c r="AD379" s="26"/>
      <c r="AE379" s="29"/>
      <c r="AF379" s="26"/>
      <c r="AG379" s="50"/>
    </row>
    <row r="380" spans="1:33" s="51" customFormat="1" x14ac:dyDescent="0.25">
      <c r="A380" s="4"/>
      <c r="B380" s="4">
        <v>45752</v>
      </c>
      <c r="C380" s="1" t="s">
        <v>54</v>
      </c>
      <c r="D380" s="224" t="s">
        <v>3502</v>
      </c>
      <c r="E380" s="1" t="s">
        <v>2085</v>
      </c>
      <c r="F380" s="236" t="s">
        <v>843</v>
      </c>
      <c r="G380" s="1" t="s">
        <v>844</v>
      </c>
      <c r="H380" s="8">
        <v>1</v>
      </c>
      <c r="I380" s="8">
        <v>1</v>
      </c>
      <c r="J380" s="115">
        <f>Table224[[#This Row],[Qty]]-Table224[[#This Row],[Issue Qty]]</f>
        <v>0</v>
      </c>
      <c r="K380" s="332">
        <v>1</v>
      </c>
      <c r="L380" s="195" t="s">
        <v>3480</v>
      </c>
      <c r="M380" s="5">
        <v>335.4</v>
      </c>
      <c r="N380" s="5">
        <f t="shared" si="21"/>
        <v>335.4</v>
      </c>
      <c r="O380" s="82">
        <v>0.18</v>
      </c>
      <c r="P380" s="9">
        <f t="shared" si="22"/>
        <v>60.371999999999993</v>
      </c>
      <c r="Q380" s="5">
        <v>0</v>
      </c>
      <c r="R380" s="5"/>
      <c r="S380" s="5">
        <f t="shared" si="23"/>
        <v>395.77199999999999</v>
      </c>
      <c r="T380" s="1" t="s">
        <v>726</v>
      </c>
      <c r="U380" s="1" t="s">
        <v>726</v>
      </c>
      <c r="V380" s="1" t="s">
        <v>358</v>
      </c>
      <c r="W380" s="1" t="s">
        <v>2084</v>
      </c>
      <c r="X380" s="1"/>
      <c r="Y380" s="26"/>
      <c r="Z380" s="21" t="s">
        <v>650</v>
      </c>
      <c r="AA380" s="21" t="s">
        <v>3617</v>
      </c>
      <c r="AB380" s="21">
        <v>1</v>
      </c>
      <c r="AC380" s="22" t="s">
        <v>736</v>
      </c>
      <c r="AD380" s="26"/>
      <c r="AE380" s="29" t="s">
        <v>845</v>
      </c>
      <c r="AF380" s="26"/>
      <c r="AG380" s="50"/>
    </row>
    <row r="381" spans="1:33" s="51" customFormat="1" x14ac:dyDescent="0.25">
      <c r="A381" s="4"/>
      <c r="B381" s="4">
        <v>45752</v>
      </c>
      <c r="C381" s="1" t="s">
        <v>2003</v>
      </c>
      <c r="D381" s="224" t="s">
        <v>3499</v>
      </c>
      <c r="E381" s="1" t="s">
        <v>2091</v>
      </c>
      <c r="F381" s="102" t="s">
        <v>851</v>
      </c>
      <c r="G381" s="1" t="s">
        <v>851</v>
      </c>
      <c r="H381" s="8">
        <v>4</v>
      </c>
      <c r="I381" s="8">
        <v>3</v>
      </c>
      <c r="J381" s="115">
        <f>Table224[[#This Row],[Qty]]-Table224[[#This Row],[Issue Qty]]</f>
        <v>1</v>
      </c>
      <c r="K381" s="195"/>
      <c r="L381" s="195" t="s">
        <v>3486</v>
      </c>
      <c r="M381" s="5">
        <v>36</v>
      </c>
      <c r="N381" s="5">
        <f t="shared" si="21"/>
        <v>144</v>
      </c>
      <c r="O381" s="82">
        <v>0.18</v>
      </c>
      <c r="P381" s="9">
        <f t="shared" si="22"/>
        <v>25.919999999999998</v>
      </c>
      <c r="Q381" s="5">
        <v>0</v>
      </c>
      <c r="R381" s="5"/>
      <c r="S381" s="5">
        <f t="shared" si="23"/>
        <v>169.92</v>
      </c>
      <c r="T381" s="1" t="s">
        <v>606</v>
      </c>
      <c r="U381" s="1" t="s">
        <v>606</v>
      </c>
      <c r="V381" s="1" t="s">
        <v>444</v>
      </c>
      <c r="W381" s="1" t="s">
        <v>2087</v>
      </c>
      <c r="X381" s="1"/>
      <c r="Y381" s="26"/>
      <c r="Z381" s="21" t="s">
        <v>261</v>
      </c>
      <c r="AA381" s="204"/>
      <c r="AB381" s="8">
        <v>4</v>
      </c>
      <c r="AC381" s="12" t="s">
        <v>3540</v>
      </c>
      <c r="AD381" s="26"/>
      <c r="AE381" s="29"/>
      <c r="AF381" s="26"/>
      <c r="AG381" s="50"/>
    </row>
    <row r="382" spans="1:33" s="51" customFormat="1" x14ac:dyDescent="0.25">
      <c r="A382" s="4"/>
      <c r="B382" s="4">
        <v>45752</v>
      </c>
      <c r="C382" s="1" t="s">
        <v>2003</v>
      </c>
      <c r="D382" s="224" t="s">
        <v>3499</v>
      </c>
      <c r="E382" s="1" t="s">
        <v>2092</v>
      </c>
      <c r="F382" s="102" t="s">
        <v>852</v>
      </c>
      <c r="G382" s="1" t="s">
        <v>852</v>
      </c>
      <c r="H382" s="8">
        <v>2</v>
      </c>
      <c r="I382" s="8">
        <v>1</v>
      </c>
      <c r="J382" s="115">
        <f>Table224[[#This Row],[Qty]]-Table224[[#This Row],[Issue Qty]]</f>
        <v>1</v>
      </c>
      <c r="K382" s="195"/>
      <c r="L382" s="195" t="s">
        <v>3486</v>
      </c>
      <c r="M382" s="5">
        <v>65</v>
      </c>
      <c r="N382" s="5">
        <f t="shared" si="21"/>
        <v>130</v>
      </c>
      <c r="O382" s="82">
        <v>0.18</v>
      </c>
      <c r="P382" s="9">
        <f t="shared" si="22"/>
        <v>23.4</v>
      </c>
      <c r="Q382" s="5">
        <v>0</v>
      </c>
      <c r="R382" s="5"/>
      <c r="S382" s="5">
        <f t="shared" si="23"/>
        <v>153.4</v>
      </c>
      <c r="T382" s="1" t="s">
        <v>606</v>
      </c>
      <c r="U382" s="1" t="s">
        <v>606</v>
      </c>
      <c r="V382" s="1" t="s">
        <v>444</v>
      </c>
      <c r="W382" s="1" t="s">
        <v>2087</v>
      </c>
      <c r="X382" s="1"/>
      <c r="Y382" s="26"/>
      <c r="Z382" s="21" t="s">
        <v>261</v>
      </c>
      <c r="AA382" s="204"/>
      <c r="AB382" s="8">
        <v>7</v>
      </c>
      <c r="AC382" s="12" t="s">
        <v>3539</v>
      </c>
      <c r="AD382" s="26"/>
      <c r="AE382" s="29"/>
      <c r="AF382" s="26"/>
      <c r="AG382" s="50"/>
    </row>
    <row r="383" spans="1:33" s="51" customFormat="1" x14ac:dyDescent="0.25">
      <c r="A383" s="4"/>
      <c r="B383" s="4">
        <v>45752</v>
      </c>
      <c r="C383" s="1" t="s">
        <v>2003</v>
      </c>
      <c r="D383" s="224" t="s">
        <v>3499</v>
      </c>
      <c r="E383" s="1" t="s">
        <v>2093</v>
      </c>
      <c r="F383" s="102" t="s">
        <v>853</v>
      </c>
      <c r="G383" s="1" t="s">
        <v>853</v>
      </c>
      <c r="H383" s="8">
        <v>1</v>
      </c>
      <c r="I383" s="8"/>
      <c r="J383" s="115">
        <f>Table224[[#This Row],[Qty]]-Table224[[#This Row],[Issue Qty]]</f>
        <v>1</v>
      </c>
      <c r="K383" s="195"/>
      <c r="L383" s="195" t="s">
        <v>3486</v>
      </c>
      <c r="M383" s="5">
        <v>76</v>
      </c>
      <c r="N383" s="5">
        <f t="shared" si="21"/>
        <v>76</v>
      </c>
      <c r="O383" s="82">
        <v>0.18</v>
      </c>
      <c r="P383" s="9">
        <f t="shared" si="22"/>
        <v>13.68</v>
      </c>
      <c r="Q383" s="5">
        <v>0</v>
      </c>
      <c r="R383" s="5"/>
      <c r="S383" s="5">
        <f t="shared" si="23"/>
        <v>89.68</v>
      </c>
      <c r="T383" s="1" t="s">
        <v>606</v>
      </c>
      <c r="U383" s="1" t="s">
        <v>606</v>
      </c>
      <c r="V383" s="1" t="s">
        <v>444</v>
      </c>
      <c r="W383" s="1" t="s">
        <v>2087</v>
      </c>
      <c r="X383" s="1"/>
      <c r="Y383" s="26"/>
      <c r="Z383" s="21" t="s">
        <v>261</v>
      </c>
      <c r="AA383" s="204"/>
      <c r="AB383" s="8"/>
      <c r="AC383" s="12" t="s">
        <v>3537</v>
      </c>
      <c r="AD383" s="26"/>
      <c r="AE383" s="29"/>
      <c r="AF383" s="26"/>
      <c r="AG383" s="50"/>
    </row>
    <row r="384" spans="1:33" s="51" customFormat="1" x14ac:dyDescent="0.25">
      <c r="A384" s="4"/>
      <c r="B384" s="4">
        <v>45754</v>
      </c>
      <c r="C384" s="1" t="s">
        <v>2096</v>
      </c>
      <c r="D384" s="224" t="s">
        <v>3451</v>
      </c>
      <c r="E384" s="1" t="s">
        <v>2097</v>
      </c>
      <c r="F384" s="102" t="s">
        <v>856</v>
      </c>
      <c r="G384" s="1" t="s">
        <v>857</v>
      </c>
      <c r="H384" s="8">
        <v>2</v>
      </c>
      <c r="I384" s="8">
        <v>2</v>
      </c>
      <c r="J384" s="115">
        <f>Table224[[#This Row],[Qty]]-Table224[[#This Row],[Issue Qty]]</f>
        <v>0</v>
      </c>
      <c r="K384" s="195"/>
      <c r="L384" s="195" t="s">
        <v>3480</v>
      </c>
      <c r="M384" s="5">
        <v>33623</v>
      </c>
      <c r="N384" s="5">
        <f t="shared" si="21"/>
        <v>67246</v>
      </c>
      <c r="O384" s="82">
        <v>0.18</v>
      </c>
      <c r="P384" s="9">
        <f t="shared" si="22"/>
        <v>12104.279999999999</v>
      </c>
      <c r="Q384" s="5">
        <v>0</v>
      </c>
      <c r="R384" s="5"/>
      <c r="S384" s="5">
        <f t="shared" si="23"/>
        <v>79350.28</v>
      </c>
      <c r="T384" s="1" t="s">
        <v>606</v>
      </c>
      <c r="U384" s="1" t="s">
        <v>606</v>
      </c>
      <c r="V384" s="1" t="s">
        <v>444</v>
      </c>
      <c r="W384" s="1" t="s">
        <v>2082</v>
      </c>
      <c r="X384" s="1"/>
      <c r="Y384" s="26"/>
      <c r="Z384" s="21" t="s">
        <v>717</v>
      </c>
      <c r="AA384" s="204"/>
      <c r="AB384" s="21">
        <v>2</v>
      </c>
      <c r="AC384" s="12" t="s">
        <v>3423</v>
      </c>
      <c r="AD384" s="12"/>
      <c r="AE384" s="29"/>
      <c r="AF384" s="26"/>
      <c r="AG384" s="50"/>
    </row>
    <row r="385" spans="1:33" s="51" customFormat="1" x14ac:dyDescent="0.25">
      <c r="A385" s="4"/>
      <c r="B385" s="4">
        <v>45755</v>
      </c>
      <c r="C385" s="1" t="s">
        <v>1991</v>
      </c>
      <c r="D385" s="224" t="s">
        <v>3560</v>
      </c>
      <c r="E385" s="1" t="s">
        <v>2098</v>
      </c>
      <c r="F385" s="232" t="s">
        <v>858</v>
      </c>
      <c r="G385" s="1" t="s">
        <v>858</v>
      </c>
      <c r="H385" s="8">
        <v>3</v>
      </c>
      <c r="I385" s="8">
        <v>3</v>
      </c>
      <c r="J385" s="115">
        <f>Table224[[#This Row],[Qty]]-Table224[[#This Row],[Issue Qty]]</f>
        <v>0</v>
      </c>
      <c r="K385" s="195"/>
      <c r="L385" s="195" t="s">
        <v>3480</v>
      </c>
      <c r="M385" s="5">
        <v>9.6999999999999993</v>
      </c>
      <c r="N385" s="5">
        <f t="shared" si="21"/>
        <v>29.099999999999998</v>
      </c>
      <c r="O385" s="82">
        <v>0.18</v>
      </c>
      <c r="P385" s="9">
        <f t="shared" si="22"/>
        <v>5.2379999999999995</v>
      </c>
      <c r="Q385" s="5">
        <v>0</v>
      </c>
      <c r="R385" s="5"/>
      <c r="S385" s="5">
        <f t="shared" si="23"/>
        <v>34.337999999999994</v>
      </c>
      <c r="T385" s="1" t="s">
        <v>726</v>
      </c>
      <c r="U385" s="1" t="s">
        <v>726</v>
      </c>
      <c r="V385" s="1" t="s">
        <v>312</v>
      </c>
      <c r="W385" s="1" t="s">
        <v>2099</v>
      </c>
      <c r="X385" s="1"/>
      <c r="Y385" s="1"/>
      <c r="Z385" s="21" t="s">
        <v>650</v>
      </c>
      <c r="AA385" s="21" t="s">
        <v>3617</v>
      </c>
      <c r="AB385" s="8">
        <v>1</v>
      </c>
      <c r="AC385" s="22" t="s">
        <v>3424</v>
      </c>
      <c r="AD385" s="1"/>
      <c r="AE385" s="29" t="s">
        <v>859</v>
      </c>
      <c r="AF385" s="1"/>
      <c r="AG385" s="50"/>
    </row>
    <row r="386" spans="1:33" s="51" customFormat="1" x14ac:dyDescent="0.25">
      <c r="A386" s="4"/>
      <c r="B386" s="4">
        <v>45755</v>
      </c>
      <c r="C386" s="1" t="s">
        <v>1991</v>
      </c>
      <c r="D386" s="224" t="s">
        <v>3560</v>
      </c>
      <c r="E386" s="1" t="s">
        <v>2100</v>
      </c>
      <c r="F386" s="232" t="s">
        <v>860</v>
      </c>
      <c r="G386" s="1" t="s">
        <v>860</v>
      </c>
      <c r="H386" s="8">
        <v>3</v>
      </c>
      <c r="I386" s="8">
        <v>3</v>
      </c>
      <c r="J386" s="115">
        <f>Table224[[#This Row],[Qty]]-Table224[[#This Row],[Issue Qty]]</f>
        <v>0</v>
      </c>
      <c r="K386" s="195"/>
      <c r="L386" s="195" t="s">
        <v>3480</v>
      </c>
      <c r="M386" s="5">
        <v>48.77</v>
      </c>
      <c r="N386" s="5">
        <f t="shared" si="21"/>
        <v>146.31</v>
      </c>
      <c r="O386" s="82">
        <v>0.18</v>
      </c>
      <c r="P386" s="9">
        <f t="shared" si="22"/>
        <v>26.335799999999999</v>
      </c>
      <c r="Q386" s="5">
        <v>0</v>
      </c>
      <c r="R386" s="5"/>
      <c r="S386" s="5">
        <f t="shared" si="23"/>
        <v>172.64580000000001</v>
      </c>
      <c r="T386" s="1" t="s">
        <v>726</v>
      </c>
      <c r="U386" s="1" t="s">
        <v>726</v>
      </c>
      <c r="V386" s="1" t="s">
        <v>312</v>
      </c>
      <c r="W386" s="1" t="s">
        <v>2099</v>
      </c>
      <c r="X386" s="1"/>
      <c r="Y386" s="1"/>
      <c r="Z386" s="21" t="s">
        <v>650</v>
      </c>
      <c r="AA386" s="21" t="s">
        <v>3617</v>
      </c>
      <c r="AB386" s="201">
        <v>1</v>
      </c>
      <c r="AC386" s="202" t="s">
        <v>3425</v>
      </c>
      <c r="AD386" s="1"/>
      <c r="AE386" s="29" t="s">
        <v>861</v>
      </c>
      <c r="AF386" s="1"/>
      <c r="AG386" s="50"/>
    </row>
    <row r="387" spans="1:33" s="51" customFormat="1" x14ac:dyDescent="0.25">
      <c r="A387" s="4"/>
      <c r="B387" s="4">
        <v>45755</v>
      </c>
      <c r="C387" s="1" t="s">
        <v>1991</v>
      </c>
      <c r="D387" s="224" t="s">
        <v>3560</v>
      </c>
      <c r="E387" s="1" t="s">
        <v>2101</v>
      </c>
      <c r="F387" s="232" t="s">
        <v>862</v>
      </c>
      <c r="G387" s="1" t="s">
        <v>862</v>
      </c>
      <c r="H387" s="8">
        <v>10</v>
      </c>
      <c r="I387" s="8">
        <v>10</v>
      </c>
      <c r="J387" s="115">
        <f>Table224[[#This Row],[Qty]]-Table224[[#This Row],[Issue Qty]]</f>
        <v>0</v>
      </c>
      <c r="K387" s="195"/>
      <c r="L387" s="195" t="s">
        <v>3480</v>
      </c>
      <c r="M387" s="5">
        <v>12.53</v>
      </c>
      <c r="N387" s="5">
        <f t="shared" si="21"/>
        <v>125.3</v>
      </c>
      <c r="O387" s="82">
        <v>0.18</v>
      </c>
      <c r="P387" s="9">
        <f t="shared" si="22"/>
        <v>22.553999999999998</v>
      </c>
      <c r="Q387" s="5">
        <v>0</v>
      </c>
      <c r="R387" s="5"/>
      <c r="S387" s="5">
        <f t="shared" si="23"/>
        <v>147.85399999999998</v>
      </c>
      <c r="T387" s="1" t="s">
        <v>726</v>
      </c>
      <c r="U387" s="1" t="s">
        <v>726</v>
      </c>
      <c r="V387" s="1" t="s">
        <v>312</v>
      </c>
      <c r="W387" s="1" t="s">
        <v>2099</v>
      </c>
      <c r="X387" s="1"/>
      <c r="Y387" s="1"/>
      <c r="Z387" s="21" t="s">
        <v>650</v>
      </c>
      <c r="AA387" s="21" t="s">
        <v>3617</v>
      </c>
      <c r="AB387" s="195">
        <v>10</v>
      </c>
      <c r="AC387" s="222" t="s">
        <v>474</v>
      </c>
      <c r="AD387" s="1"/>
      <c r="AE387" s="29" t="s">
        <v>863</v>
      </c>
      <c r="AF387" s="1"/>
      <c r="AG387" s="50"/>
    </row>
    <row r="388" spans="1:33" s="51" customFormat="1" x14ac:dyDescent="0.25">
      <c r="A388" s="4"/>
      <c r="B388" s="4">
        <v>45755</v>
      </c>
      <c r="C388" s="1" t="s">
        <v>1991</v>
      </c>
      <c r="D388" s="224" t="s">
        <v>3579</v>
      </c>
      <c r="E388" s="26" t="s">
        <v>2103</v>
      </c>
      <c r="F388" s="231" t="s">
        <v>865</v>
      </c>
      <c r="G388" s="1" t="s">
        <v>865</v>
      </c>
      <c r="H388" s="8">
        <v>5</v>
      </c>
      <c r="I388" s="8">
        <v>5</v>
      </c>
      <c r="J388" s="115">
        <f>Table224[[#This Row],[Qty]]-Table224[[#This Row],[Issue Qty]]</f>
        <v>0</v>
      </c>
      <c r="K388" s="195"/>
      <c r="L388" s="195" t="s">
        <v>3480</v>
      </c>
      <c r="M388" s="5">
        <v>8.84</v>
      </c>
      <c r="N388" s="5">
        <f t="shared" si="21"/>
        <v>44.2</v>
      </c>
      <c r="O388" s="82">
        <v>0.18</v>
      </c>
      <c r="P388" s="9">
        <f t="shared" si="22"/>
        <v>7.9560000000000004</v>
      </c>
      <c r="Q388" s="5">
        <v>0</v>
      </c>
      <c r="R388" s="5"/>
      <c r="S388" s="5">
        <f t="shared" si="23"/>
        <v>52.156000000000006</v>
      </c>
      <c r="T388" s="1" t="s">
        <v>726</v>
      </c>
      <c r="U388" s="1" t="s">
        <v>726</v>
      </c>
      <c r="V388" s="1" t="s">
        <v>312</v>
      </c>
      <c r="W388" s="1" t="s">
        <v>2099</v>
      </c>
      <c r="X388" s="1"/>
      <c r="Y388" s="1"/>
      <c r="Z388" s="21" t="s">
        <v>650</v>
      </c>
      <c r="AA388" s="21" t="s">
        <v>3617</v>
      </c>
      <c r="AB388" s="195">
        <v>5</v>
      </c>
      <c r="AC388" s="222" t="s">
        <v>736</v>
      </c>
      <c r="AD388" s="1"/>
      <c r="AE388" s="29"/>
      <c r="AF388" s="1"/>
      <c r="AG388" s="50"/>
    </row>
    <row r="389" spans="1:33" s="51" customFormat="1" x14ac:dyDescent="0.25">
      <c r="A389" s="4"/>
      <c r="B389" s="4">
        <v>45755</v>
      </c>
      <c r="C389" s="1" t="s">
        <v>1991</v>
      </c>
      <c r="D389" s="224" t="s">
        <v>3579</v>
      </c>
      <c r="E389" s="26" t="s">
        <v>2104</v>
      </c>
      <c r="F389" s="231" t="s">
        <v>866</v>
      </c>
      <c r="G389" s="1" t="s">
        <v>866</v>
      </c>
      <c r="H389" s="8">
        <v>5</v>
      </c>
      <c r="I389" s="8">
        <v>5</v>
      </c>
      <c r="J389" s="115">
        <f>Table224[[#This Row],[Qty]]-Table224[[#This Row],[Issue Qty]]</f>
        <v>0</v>
      </c>
      <c r="K389" s="195"/>
      <c r="L389" s="195" t="s">
        <v>3480</v>
      </c>
      <c r="M389" s="5">
        <v>8.84</v>
      </c>
      <c r="N389" s="5">
        <f t="shared" si="21"/>
        <v>44.2</v>
      </c>
      <c r="O389" s="82">
        <v>0.18</v>
      </c>
      <c r="P389" s="9">
        <f t="shared" si="22"/>
        <v>7.9560000000000004</v>
      </c>
      <c r="Q389" s="5">
        <v>0</v>
      </c>
      <c r="R389" s="5"/>
      <c r="S389" s="5">
        <f t="shared" si="23"/>
        <v>52.156000000000006</v>
      </c>
      <c r="T389" s="1" t="s">
        <v>726</v>
      </c>
      <c r="U389" s="1" t="s">
        <v>726</v>
      </c>
      <c r="V389" s="1" t="s">
        <v>312</v>
      </c>
      <c r="W389" s="1" t="s">
        <v>2099</v>
      </c>
      <c r="X389" s="1"/>
      <c r="Y389" s="1"/>
      <c r="Z389" s="21" t="s">
        <v>650</v>
      </c>
      <c r="AA389" s="21" t="s">
        <v>3617</v>
      </c>
      <c r="AB389" s="8">
        <v>5</v>
      </c>
      <c r="AC389" s="22" t="s">
        <v>736</v>
      </c>
      <c r="AD389" s="1"/>
      <c r="AE389" s="29"/>
      <c r="AF389" s="1"/>
      <c r="AG389" s="50"/>
    </row>
    <row r="390" spans="1:33" s="206" customFormat="1" x14ac:dyDescent="0.25">
      <c r="A390" s="4"/>
      <c r="B390" s="4">
        <v>45755</v>
      </c>
      <c r="C390" s="1" t="s">
        <v>1991</v>
      </c>
      <c r="D390" s="224" t="s">
        <v>3463</v>
      </c>
      <c r="E390" s="26" t="s">
        <v>2102</v>
      </c>
      <c r="F390" s="233" t="s">
        <v>864</v>
      </c>
      <c r="G390" s="1" t="s">
        <v>864</v>
      </c>
      <c r="H390" s="8">
        <v>1</v>
      </c>
      <c r="I390" s="8">
        <v>1</v>
      </c>
      <c r="J390" s="115">
        <f>Table224[[#This Row],[Qty]]-Table224[[#This Row],[Issue Qty]]</f>
        <v>0</v>
      </c>
      <c r="K390" s="195"/>
      <c r="L390" s="195" t="s">
        <v>3480</v>
      </c>
      <c r="M390" s="5">
        <v>1873.46</v>
      </c>
      <c r="N390" s="5">
        <f t="shared" si="21"/>
        <v>1873.46</v>
      </c>
      <c r="O390" s="82">
        <v>0.18</v>
      </c>
      <c r="P390" s="9">
        <f t="shared" si="22"/>
        <v>337.22280000000001</v>
      </c>
      <c r="Q390" s="5">
        <f>250*0.18+250</f>
        <v>295</v>
      </c>
      <c r="R390" s="5"/>
      <c r="S390" s="5">
        <f t="shared" si="23"/>
        <v>2505.6828</v>
      </c>
      <c r="T390" s="1" t="s">
        <v>726</v>
      </c>
      <c r="U390" s="1" t="s">
        <v>726</v>
      </c>
      <c r="V390" s="1" t="s">
        <v>312</v>
      </c>
      <c r="W390" s="1" t="s">
        <v>2099</v>
      </c>
      <c r="X390" s="1"/>
      <c r="Y390" s="1"/>
      <c r="Z390" s="21" t="s">
        <v>965</v>
      </c>
      <c r="AA390" s="21" t="s">
        <v>3658</v>
      </c>
      <c r="AB390" s="8">
        <v>1</v>
      </c>
      <c r="AC390" s="22" t="s">
        <v>3660</v>
      </c>
      <c r="AD390" s="1"/>
      <c r="AE390" s="29"/>
      <c r="AF390" s="1"/>
      <c r="AG390" s="26"/>
    </row>
    <row r="391" spans="1:33" s="51" customFormat="1" ht="30" x14ac:dyDescent="0.25">
      <c r="A391" s="4"/>
      <c r="B391" s="4">
        <v>45755</v>
      </c>
      <c r="C391" s="1" t="s">
        <v>1991</v>
      </c>
      <c r="D391" s="224" t="s">
        <v>3463</v>
      </c>
      <c r="E391" s="1" t="s">
        <v>2105</v>
      </c>
      <c r="F391" s="102" t="s">
        <v>867</v>
      </c>
      <c r="G391" s="1" t="s">
        <v>868</v>
      </c>
      <c r="H391" s="8">
        <v>3</v>
      </c>
      <c r="I391" s="8">
        <v>3</v>
      </c>
      <c r="J391" s="115">
        <f>Table224[[#This Row],[Qty]]-Table224[[#This Row],[Issue Qty]]</f>
        <v>0</v>
      </c>
      <c r="K391" s="195"/>
      <c r="L391" s="195" t="s">
        <v>3480</v>
      </c>
      <c r="M391" s="5">
        <v>597.25</v>
      </c>
      <c r="N391" s="5">
        <f t="shared" si="21"/>
        <v>1791.75</v>
      </c>
      <c r="O391" s="82">
        <v>0.18</v>
      </c>
      <c r="P391" s="9">
        <f t="shared" si="22"/>
        <v>322.51499999999999</v>
      </c>
      <c r="Q391" s="5">
        <v>0</v>
      </c>
      <c r="R391" s="5"/>
      <c r="S391" s="5">
        <f t="shared" si="23"/>
        <v>2114.2649999999999</v>
      </c>
      <c r="T391" s="1" t="s">
        <v>726</v>
      </c>
      <c r="U391" s="1" t="s">
        <v>726</v>
      </c>
      <c r="V391" s="1" t="s">
        <v>312</v>
      </c>
      <c r="W391" s="1" t="s">
        <v>2099</v>
      </c>
      <c r="X391" s="1"/>
      <c r="Y391" s="1"/>
      <c r="Z391" s="21" t="s">
        <v>650</v>
      </c>
      <c r="AA391" s="21" t="s">
        <v>3617</v>
      </c>
      <c r="AB391" s="8">
        <v>3</v>
      </c>
      <c r="AC391" s="22" t="s">
        <v>3813</v>
      </c>
      <c r="AD391" s="1"/>
      <c r="AE391" s="29" t="s">
        <v>869</v>
      </c>
      <c r="AF391" s="1"/>
      <c r="AG391" s="50"/>
    </row>
    <row r="392" spans="1:33" s="51" customFormat="1" ht="30" x14ac:dyDescent="0.25">
      <c r="A392" s="4"/>
      <c r="B392" s="4">
        <v>45756</v>
      </c>
      <c r="C392" s="1" t="s">
        <v>54</v>
      </c>
      <c r="D392" s="224" t="s">
        <v>3494</v>
      </c>
      <c r="E392" s="1" t="s">
        <v>2062</v>
      </c>
      <c r="F392" s="102" t="s">
        <v>810</v>
      </c>
      <c r="G392" s="1" t="s">
        <v>870</v>
      </c>
      <c r="H392" s="8">
        <v>3</v>
      </c>
      <c r="I392" s="8">
        <v>2</v>
      </c>
      <c r="J392" s="115">
        <f>Table224[[#This Row],[Qty]]-Table224[[#This Row],[Issue Qty]]</f>
        <v>1</v>
      </c>
      <c r="K392" s="195"/>
      <c r="L392" s="195" t="s">
        <v>3480</v>
      </c>
      <c r="M392" s="5">
        <v>14454</v>
      </c>
      <c r="N392" s="5">
        <f t="shared" si="21"/>
        <v>43362</v>
      </c>
      <c r="O392" s="82">
        <v>0.18</v>
      </c>
      <c r="P392" s="9">
        <f t="shared" si="22"/>
        <v>7805.16</v>
      </c>
      <c r="Q392" s="5"/>
      <c r="R392" s="5"/>
      <c r="S392" s="5">
        <f t="shared" si="23"/>
        <v>51167.16</v>
      </c>
      <c r="T392" s="1" t="s">
        <v>606</v>
      </c>
      <c r="U392" s="1" t="s">
        <v>606</v>
      </c>
      <c r="V392" s="1" t="s">
        <v>829</v>
      </c>
      <c r="W392" s="1" t="s">
        <v>2074</v>
      </c>
      <c r="X392" s="1"/>
      <c r="Y392" s="1"/>
      <c r="Z392" s="8" t="s">
        <v>809</v>
      </c>
      <c r="AA392" s="8"/>
      <c r="AB392" s="8">
        <v>1</v>
      </c>
      <c r="AC392" s="22" t="s">
        <v>2903</v>
      </c>
      <c r="AD392" s="1"/>
      <c r="AE392" s="29" t="s">
        <v>813</v>
      </c>
      <c r="AF392" s="1"/>
      <c r="AG392" s="50"/>
    </row>
    <row r="393" spans="1:33" s="51" customFormat="1" x14ac:dyDescent="0.25">
      <c r="A393" s="4"/>
      <c r="B393" s="4">
        <v>45756</v>
      </c>
      <c r="C393" s="1" t="s">
        <v>1991</v>
      </c>
      <c r="D393" s="224" t="s">
        <v>3492</v>
      </c>
      <c r="E393" s="1" t="s">
        <v>1831</v>
      </c>
      <c r="F393" s="102" t="s">
        <v>379</v>
      </c>
      <c r="G393" s="1" t="s">
        <v>379</v>
      </c>
      <c r="H393" s="8">
        <v>8</v>
      </c>
      <c r="I393" s="8">
        <v>4</v>
      </c>
      <c r="J393" s="115">
        <f>Table224[[#This Row],[Qty]]-Table224[[#This Row],[Issue Qty]]</f>
        <v>4</v>
      </c>
      <c r="K393" s="195"/>
      <c r="L393" s="195" t="s">
        <v>3480</v>
      </c>
      <c r="M393" s="5">
        <v>608.48599999999999</v>
      </c>
      <c r="N393" s="5">
        <f t="shared" si="21"/>
        <v>4867.8879999999999</v>
      </c>
      <c r="O393" s="82">
        <v>0.05</v>
      </c>
      <c r="P393" s="9">
        <f t="shared" si="22"/>
        <v>243.39440000000002</v>
      </c>
      <c r="Q393" s="5">
        <f>155/4</f>
        <v>38.75</v>
      </c>
      <c r="R393" s="5"/>
      <c r="S393" s="5">
        <f t="shared" si="23"/>
        <v>5150.0324000000001</v>
      </c>
      <c r="T393" s="1" t="s">
        <v>606</v>
      </c>
      <c r="U393" s="1" t="s">
        <v>606</v>
      </c>
      <c r="V393" s="1" t="s">
        <v>691</v>
      </c>
      <c r="W393" s="1" t="s">
        <v>2106</v>
      </c>
      <c r="X393" s="1"/>
      <c r="Y393" s="26"/>
      <c r="Z393" s="8" t="s">
        <v>72</v>
      </c>
      <c r="AA393" s="21" t="s">
        <v>262</v>
      </c>
      <c r="AB393" s="21">
        <v>4</v>
      </c>
      <c r="AC393" s="12" t="s">
        <v>3822</v>
      </c>
      <c r="AD393" s="26"/>
      <c r="AE393" s="29" t="s">
        <v>382</v>
      </c>
      <c r="AF393" s="26"/>
      <c r="AG393" s="50"/>
    </row>
    <row r="394" spans="1:33" s="51" customFormat="1" ht="30" x14ac:dyDescent="0.25">
      <c r="A394" s="4"/>
      <c r="B394" s="4">
        <v>45758</v>
      </c>
      <c r="C394" s="1" t="s">
        <v>54</v>
      </c>
      <c r="D394" s="224" t="s">
        <v>3430</v>
      </c>
      <c r="E394" s="26" t="s">
        <v>1971</v>
      </c>
      <c r="F394" s="236" t="s">
        <v>654</v>
      </c>
      <c r="G394" s="1" t="s">
        <v>871</v>
      </c>
      <c r="H394" s="8">
        <v>2</v>
      </c>
      <c r="I394" s="8">
        <v>2</v>
      </c>
      <c r="J394" s="115">
        <f>Table224[[#This Row],[Qty]]-Table224[[#This Row],[Issue Qty]]</f>
        <v>0</v>
      </c>
      <c r="K394" s="332">
        <v>2</v>
      </c>
      <c r="L394" s="195" t="s">
        <v>3479</v>
      </c>
      <c r="M394" s="5">
        <v>429.56</v>
      </c>
      <c r="N394" s="5">
        <f t="shared" si="21"/>
        <v>859.12</v>
      </c>
      <c r="O394" s="82">
        <v>0.18</v>
      </c>
      <c r="P394" s="9">
        <f t="shared" si="22"/>
        <v>154.64159999999998</v>
      </c>
      <c r="Q394" s="5">
        <f>99/2</f>
        <v>49.5</v>
      </c>
      <c r="R394" s="5"/>
      <c r="S394" s="5">
        <f t="shared" si="23"/>
        <v>1063.2616</v>
      </c>
      <c r="T394" s="1" t="s">
        <v>726</v>
      </c>
      <c r="U394" s="1" t="s">
        <v>726</v>
      </c>
      <c r="V394" s="1" t="s">
        <v>691</v>
      </c>
      <c r="W394" s="1" t="s">
        <v>2107</v>
      </c>
      <c r="X394" s="1"/>
      <c r="Y394" s="1"/>
      <c r="Z394" s="8" t="s">
        <v>3470</v>
      </c>
      <c r="AA394" s="8"/>
      <c r="AB394" s="8">
        <v>2</v>
      </c>
      <c r="AC394" s="22" t="s">
        <v>736</v>
      </c>
      <c r="AD394" s="1"/>
      <c r="AE394" s="29"/>
      <c r="AF394" s="1"/>
      <c r="AG394" s="50"/>
    </row>
    <row r="395" spans="1:33" s="51" customFormat="1" ht="30" x14ac:dyDescent="0.25">
      <c r="A395" s="4"/>
      <c r="B395" s="4">
        <v>45758</v>
      </c>
      <c r="C395" s="1" t="s">
        <v>54</v>
      </c>
      <c r="D395" s="224" t="s">
        <v>3430</v>
      </c>
      <c r="E395" s="26" t="s">
        <v>2015</v>
      </c>
      <c r="F395" s="233" t="s">
        <v>733</v>
      </c>
      <c r="G395" s="1" t="s">
        <v>872</v>
      </c>
      <c r="H395" s="8">
        <v>2</v>
      </c>
      <c r="I395" s="8"/>
      <c r="J395" s="115">
        <f>Table224[[#This Row],[Qty]]-Table224[[#This Row],[Issue Qty]]</f>
        <v>2</v>
      </c>
      <c r="K395" s="195"/>
      <c r="L395" s="195" t="s">
        <v>3479</v>
      </c>
      <c r="M395" s="5">
        <v>479.06</v>
      </c>
      <c r="N395" s="5">
        <f t="shared" si="21"/>
        <v>958.12</v>
      </c>
      <c r="O395" s="82">
        <v>0.18</v>
      </c>
      <c r="P395" s="9">
        <f t="shared" si="22"/>
        <v>172.4616</v>
      </c>
      <c r="Q395" s="5">
        <f>99/2</f>
        <v>49.5</v>
      </c>
      <c r="R395" s="5"/>
      <c r="S395" s="5">
        <f t="shared" si="23"/>
        <v>1180.0816</v>
      </c>
      <c r="T395" s="1" t="s">
        <v>726</v>
      </c>
      <c r="U395" s="1" t="s">
        <v>726</v>
      </c>
      <c r="V395" s="1" t="s">
        <v>691</v>
      </c>
      <c r="W395" s="1" t="s">
        <v>2107</v>
      </c>
      <c r="X395" s="1"/>
      <c r="Y395" s="1"/>
      <c r="Z395" s="8" t="s">
        <v>3470</v>
      </c>
      <c r="AA395" s="8"/>
      <c r="AB395" s="8">
        <v>2</v>
      </c>
      <c r="AC395" s="22"/>
      <c r="AD395" s="1"/>
      <c r="AE395" s="29"/>
      <c r="AF395" s="1"/>
      <c r="AG395" s="50"/>
    </row>
    <row r="396" spans="1:33" s="51" customFormat="1" ht="45" x14ac:dyDescent="0.25">
      <c r="A396" s="4"/>
      <c r="B396" s="4">
        <v>45758</v>
      </c>
      <c r="C396" s="1" t="s">
        <v>1688</v>
      </c>
      <c r="D396" s="224" t="s">
        <v>3451</v>
      </c>
      <c r="E396" s="26" t="s">
        <v>2113</v>
      </c>
      <c r="F396" s="233" t="s">
        <v>877</v>
      </c>
      <c r="G396" s="1" t="s">
        <v>877</v>
      </c>
      <c r="H396" s="8">
        <v>1</v>
      </c>
      <c r="I396" s="8"/>
      <c r="J396" s="115">
        <f>Table224[[#This Row],[Qty]]-Table224[[#This Row],[Issue Qty]]</f>
        <v>1</v>
      </c>
      <c r="K396" s="195"/>
      <c r="L396" s="195" t="s">
        <v>3480</v>
      </c>
      <c r="M396" s="5">
        <v>9490</v>
      </c>
      <c r="N396" s="5">
        <f t="shared" si="21"/>
        <v>9490</v>
      </c>
      <c r="O396" s="82">
        <v>0.18</v>
      </c>
      <c r="P396" s="9">
        <f t="shared" si="22"/>
        <v>1708.2</v>
      </c>
      <c r="Q396" s="5"/>
      <c r="R396" s="5"/>
      <c r="S396" s="5">
        <f t="shared" si="23"/>
        <v>11198.2</v>
      </c>
      <c r="T396" s="1" t="s">
        <v>763</v>
      </c>
      <c r="U396" s="1" t="s">
        <v>763</v>
      </c>
      <c r="V396" s="1" t="s">
        <v>875</v>
      </c>
      <c r="W396" s="1" t="s">
        <v>2111</v>
      </c>
      <c r="X396" s="1"/>
      <c r="Y396" s="1"/>
      <c r="Z396" s="8" t="s">
        <v>339</v>
      </c>
      <c r="AA396" s="8"/>
      <c r="AB396" s="8"/>
      <c r="AC396" s="22"/>
      <c r="AD396" s="1"/>
      <c r="AE396" s="29"/>
      <c r="AF396" s="1"/>
      <c r="AG396" s="50"/>
    </row>
    <row r="397" spans="1:33" s="51" customFormat="1" ht="30" x14ac:dyDescent="0.25">
      <c r="A397" s="4"/>
      <c r="B397" s="4">
        <v>45758</v>
      </c>
      <c r="C397" s="6" t="s">
        <v>1683</v>
      </c>
      <c r="D397" s="224" t="s">
        <v>3487</v>
      </c>
      <c r="E397" s="26" t="s">
        <v>2108</v>
      </c>
      <c r="F397" s="233" t="s">
        <v>873</v>
      </c>
      <c r="G397" s="1" t="s">
        <v>873</v>
      </c>
      <c r="H397" s="8">
        <f>27-5</f>
        <v>22</v>
      </c>
      <c r="I397" s="8">
        <v>22</v>
      </c>
      <c r="J397" s="115">
        <f>Table224[[#This Row],[Qty]]-Table224[[#This Row],[Issue Qty]]</f>
        <v>0</v>
      </c>
      <c r="K397" s="195"/>
      <c r="L397" s="195" t="s">
        <v>3486</v>
      </c>
      <c r="M397" s="5">
        <v>11.5</v>
      </c>
      <c r="N397" s="5">
        <f t="shared" si="21"/>
        <v>253</v>
      </c>
      <c r="O397" s="82">
        <v>0.18</v>
      </c>
      <c r="P397" s="9">
        <f t="shared" si="22"/>
        <v>45.54</v>
      </c>
      <c r="Q397" s="5"/>
      <c r="R397" s="5"/>
      <c r="S397" s="5">
        <f t="shared" si="23"/>
        <v>298.54000000000002</v>
      </c>
      <c r="T397" s="1" t="s">
        <v>606</v>
      </c>
      <c r="U397" s="1" t="s">
        <v>606</v>
      </c>
      <c r="V397" s="1" t="s">
        <v>444</v>
      </c>
      <c r="W397" s="1" t="s">
        <v>2109</v>
      </c>
      <c r="X397" s="1"/>
      <c r="Y397" s="1"/>
      <c r="Z397" s="21" t="s">
        <v>573</v>
      </c>
      <c r="AA397" s="21" t="s">
        <v>1963</v>
      </c>
      <c r="AB397" s="8">
        <v>25</v>
      </c>
      <c r="AC397" s="22" t="s">
        <v>2959</v>
      </c>
      <c r="AD397" s="1"/>
      <c r="AE397" s="29"/>
      <c r="AF397" s="1"/>
      <c r="AG397" s="50"/>
    </row>
    <row r="398" spans="1:33" s="51" customFormat="1" ht="30" x14ac:dyDescent="0.25">
      <c r="A398" s="4"/>
      <c r="B398" s="4">
        <v>45758</v>
      </c>
      <c r="C398" s="1" t="s">
        <v>2096</v>
      </c>
      <c r="D398" s="224" t="s">
        <v>3452</v>
      </c>
      <c r="E398" s="26" t="s">
        <v>2110</v>
      </c>
      <c r="F398" s="233" t="s">
        <v>874</v>
      </c>
      <c r="G398" s="1" t="s">
        <v>874</v>
      </c>
      <c r="H398" s="8">
        <v>1</v>
      </c>
      <c r="I398" s="8"/>
      <c r="J398" s="115">
        <f>Table224[[#This Row],[Qty]]-Table224[[#This Row],[Issue Qty]]</f>
        <v>1</v>
      </c>
      <c r="K398" s="195"/>
      <c r="L398" s="195" t="s">
        <v>3480</v>
      </c>
      <c r="M398" s="5">
        <v>64990</v>
      </c>
      <c r="N398" s="5">
        <f t="shared" si="21"/>
        <v>64990</v>
      </c>
      <c r="O398" s="82">
        <v>0.18</v>
      </c>
      <c r="P398" s="9">
        <f t="shared" si="22"/>
        <v>11698.199999999999</v>
      </c>
      <c r="Q398" s="5"/>
      <c r="R398" s="5"/>
      <c r="S398" s="5">
        <f t="shared" si="23"/>
        <v>76688.2</v>
      </c>
      <c r="T398" s="1" t="s">
        <v>763</v>
      </c>
      <c r="U398" s="1" t="s">
        <v>763</v>
      </c>
      <c r="V398" s="1" t="s">
        <v>875</v>
      </c>
      <c r="W398" s="1" t="s">
        <v>2111</v>
      </c>
      <c r="X398" s="1"/>
      <c r="Y398" s="1"/>
      <c r="Z398" s="8" t="s">
        <v>339</v>
      </c>
      <c r="AA398" s="8"/>
      <c r="AB398" s="8"/>
      <c r="AC398" s="22"/>
      <c r="AD398" s="1"/>
      <c r="AE398" s="29"/>
      <c r="AF398" s="1"/>
      <c r="AG398" s="50"/>
    </row>
    <row r="399" spans="1:33" s="24" customFormat="1" ht="45" x14ac:dyDescent="0.25">
      <c r="A399" s="4"/>
      <c r="B399" s="4">
        <v>45758</v>
      </c>
      <c r="C399" s="1" t="s">
        <v>1991</v>
      </c>
      <c r="D399" s="224" t="s">
        <v>3452</v>
      </c>
      <c r="E399" s="26" t="s">
        <v>2112</v>
      </c>
      <c r="F399" s="305" t="s">
        <v>876</v>
      </c>
      <c r="G399" s="1" t="s">
        <v>876</v>
      </c>
      <c r="H399" s="8">
        <v>1</v>
      </c>
      <c r="I399" s="8"/>
      <c r="J399" s="115">
        <f>Table224[[#This Row],[Qty]]-Table224[[#This Row],[Issue Qty]]</f>
        <v>1</v>
      </c>
      <c r="K399" s="195"/>
      <c r="L399" s="195" t="s">
        <v>3480</v>
      </c>
      <c r="M399" s="10">
        <v>9990</v>
      </c>
      <c r="N399" s="10">
        <f t="shared" si="21"/>
        <v>9990</v>
      </c>
      <c r="O399" s="82">
        <v>0.18</v>
      </c>
      <c r="P399" s="79">
        <f t="shared" si="22"/>
        <v>1798.2</v>
      </c>
      <c r="Q399" s="10"/>
      <c r="R399" s="10"/>
      <c r="S399" s="10">
        <f t="shared" si="23"/>
        <v>11788.2</v>
      </c>
      <c r="T399" s="1" t="s">
        <v>763</v>
      </c>
      <c r="U399" s="1" t="s">
        <v>763</v>
      </c>
      <c r="V399" s="1" t="s">
        <v>875</v>
      </c>
      <c r="W399" s="1" t="s">
        <v>2111</v>
      </c>
      <c r="X399" s="1"/>
      <c r="Y399" s="26"/>
      <c r="Z399" s="8" t="s">
        <v>339</v>
      </c>
      <c r="AA399" s="204"/>
      <c r="AB399" s="21"/>
      <c r="AC399" s="12"/>
      <c r="AD399" s="26"/>
      <c r="AE399" s="29"/>
      <c r="AF399" s="26"/>
      <c r="AG399" s="2"/>
    </row>
    <row r="400" spans="1:33" s="51" customFormat="1" ht="45" x14ac:dyDescent="0.25">
      <c r="A400" s="4"/>
      <c r="B400" s="4">
        <v>45759</v>
      </c>
      <c r="C400" s="1" t="s">
        <v>54</v>
      </c>
      <c r="D400" s="224" t="s">
        <v>3494</v>
      </c>
      <c r="E400" s="1" t="s">
        <v>2115</v>
      </c>
      <c r="F400" s="232" t="s">
        <v>881</v>
      </c>
      <c r="G400" s="1" t="s">
        <v>881</v>
      </c>
      <c r="H400" s="8">
        <v>9</v>
      </c>
      <c r="I400" s="8">
        <v>5</v>
      </c>
      <c r="J400" s="115">
        <f>Table224[[#This Row],[Qty]]-Table224[[#This Row],[Issue Qty]]</f>
        <v>4</v>
      </c>
      <c r="K400" s="195"/>
      <c r="L400" s="195" t="s">
        <v>3480</v>
      </c>
      <c r="M400" s="5">
        <v>420</v>
      </c>
      <c r="N400" s="5">
        <f t="shared" si="21"/>
        <v>3780</v>
      </c>
      <c r="O400" s="82">
        <v>0.18</v>
      </c>
      <c r="P400" s="9">
        <f t="shared" si="22"/>
        <v>680.4</v>
      </c>
      <c r="Q400" s="5"/>
      <c r="R400" s="5"/>
      <c r="S400" s="5">
        <f t="shared" si="23"/>
        <v>4460.3999999999996</v>
      </c>
      <c r="T400" s="1" t="s">
        <v>606</v>
      </c>
      <c r="U400" s="1" t="s">
        <v>606</v>
      </c>
      <c r="V400" s="1" t="s">
        <v>829</v>
      </c>
      <c r="W400" s="1" t="s">
        <v>2074</v>
      </c>
      <c r="X400" s="1"/>
      <c r="Y400" s="26"/>
      <c r="Z400" s="21" t="s">
        <v>809</v>
      </c>
      <c r="AA400" s="204"/>
      <c r="AB400" s="21">
        <v>9</v>
      </c>
      <c r="AC400" s="12" t="s">
        <v>2951</v>
      </c>
      <c r="AD400" s="26"/>
      <c r="AE400" s="29" t="s">
        <v>882</v>
      </c>
      <c r="AF400" s="26"/>
      <c r="AG400" s="50"/>
    </row>
    <row r="401" spans="1:33" s="51" customFormat="1" ht="30" x14ac:dyDescent="0.25">
      <c r="A401" s="4"/>
      <c r="B401" s="4">
        <v>45759</v>
      </c>
      <c r="C401" s="1" t="s">
        <v>54</v>
      </c>
      <c r="D401" s="224" t="s">
        <v>3494</v>
      </c>
      <c r="E401" s="1" t="s">
        <v>2114</v>
      </c>
      <c r="F401" s="102" t="s">
        <v>878</v>
      </c>
      <c r="G401" s="1" t="s">
        <v>879</v>
      </c>
      <c r="H401" s="8">
        <v>7</v>
      </c>
      <c r="I401" s="8">
        <v>7</v>
      </c>
      <c r="J401" s="115">
        <f>Table224[[#This Row],[Qty]]-Table224[[#This Row],[Issue Qty]]</f>
        <v>0</v>
      </c>
      <c r="K401" s="195"/>
      <c r="L401" s="195" t="s">
        <v>3480</v>
      </c>
      <c r="M401" s="5">
        <v>1512</v>
      </c>
      <c r="N401" s="5">
        <f t="shared" si="21"/>
        <v>10584</v>
      </c>
      <c r="O401" s="82">
        <v>0.18</v>
      </c>
      <c r="P401" s="9">
        <f t="shared" si="22"/>
        <v>1905.12</v>
      </c>
      <c r="Q401" s="5"/>
      <c r="R401" s="5"/>
      <c r="S401" s="5">
        <f t="shared" si="23"/>
        <v>12489.119999999999</v>
      </c>
      <c r="T401" s="1" t="s">
        <v>606</v>
      </c>
      <c r="U401" s="1" t="s">
        <v>606</v>
      </c>
      <c r="V401" s="1" t="s">
        <v>829</v>
      </c>
      <c r="W401" s="1" t="s">
        <v>2074</v>
      </c>
      <c r="X401" s="1"/>
      <c r="Y401" s="26"/>
      <c r="Z401" s="204" t="s">
        <v>809</v>
      </c>
      <c r="AA401" s="204"/>
      <c r="AB401" s="21">
        <v>7</v>
      </c>
      <c r="AC401" s="12" t="s">
        <v>2950</v>
      </c>
      <c r="AD401" s="26"/>
      <c r="AE401" s="29" t="s">
        <v>880</v>
      </c>
      <c r="AF401" s="26"/>
      <c r="AG401" s="50"/>
    </row>
    <row r="402" spans="1:33" s="51" customFormat="1" x14ac:dyDescent="0.25">
      <c r="A402" s="4"/>
      <c r="B402" s="4">
        <v>45762</v>
      </c>
      <c r="C402" s="1" t="s">
        <v>54</v>
      </c>
      <c r="D402" s="224" t="s">
        <v>3494</v>
      </c>
      <c r="E402" s="1" t="s">
        <v>2083</v>
      </c>
      <c r="F402" s="102" t="s">
        <v>840</v>
      </c>
      <c r="G402" s="1" t="s">
        <v>883</v>
      </c>
      <c r="H402" s="8">
        <v>1</v>
      </c>
      <c r="I402" s="8"/>
      <c r="J402" s="115">
        <f>Table224[[#This Row],[Qty]]-Table224[[#This Row],[Issue Qty]]</f>
        <v>1</v>
      </c>
      <c r="K402" s="195"/>
      <c r="L402" s="195" t="s">
        <v>3480</v>
      </c>
      <c r="M402" s="5">
        <v>2000</v>
      </c>
      <c r="N402" s="5">
        <f t="shared" si="21"/>
        <v>2000</v>
      </c>
      <c r="O402" s="82">
        <v>0.18</v>
      </c>
      <c r="P402" s="9">
        <f t="shared" si="22"/>
        <v>360</v>
      </c>
      <c r="Q402" s="5">
        <v>0</v>
      </c>
      <c r="R402" s="5"/>
      <c r="S402" s="5">
        <f t="shared" si="23"/>
        <v>2360</v>
      </c>
      <c r="T402" s="1" t="s">
        <v>726</v>
      </c>
      <c r="U402" s="1" t="s">
        <v>726</v>
      </c>
      <c r="V402" s="1" t="s">
        <v>358</v>
      </c>
      <c r="W402" s="1" t="s">
        <v>2116</v>
      </c>
      <c r="X402" s="1"/>
      <c r="Y402" s="1"/>
      <c r="Z402" s="8" t="s">
        <v>688</v>
      </c>
      <c r="AA402" s="8"/>
      <c r="AB402" s="8"/>
      <c r="AC402" s="22"/>
      <c r="AD402" s="1"/>
      <c r="AE402" s="29" t="s">
        <v>842</v>
      </c>
      <c r="AF402" s="1"/>
      <c r="AG402" s="50"/>
    </row>
    <row r="403" spans="1:33" s="51" customFormat="1" x14ac:dyDescent="0.25">
      <c r="A403" s="4"/>
      <c r="B403" s="4">
        <v>45762</v>
      </c>
      <c r="C403" s="6" t="s">
        <v>1683</v>
      </c>
      <c r="D403" s="224" t="s">
        <v>1663</v>
      </c>
      <c r="E403" s="1" t="s">
        <v>2117</v>
      </c>
      <c r="F403" s="102" t="s">
        <v>884</v>
      </c>
      <c r="G403" s="1" t="s">
        <v>885</v>
      </c>
      <c r="H403" s="8">
        <v>4</v>
      </c>
      <c r="I403" s="8">
        <v>4</v>
      </c>
      <c r="J403" s="115">
        <f>Table224[[#This Row],[Qty]]-Table224[[#This Row],[Issue Qty]]</f>
        <v>0</v>
      </c>
      <c r="K403" s="195"/>
      <c r="L403" s="195" t="s">
        <v>3480</v>
      </c>
      <c r="M403" s="5">
        <v>461.86</v>
      </c>
      <c r="N403" s="5">
        <f t="shared" si="21"/>
        <v>1847.44</v>
      </c>
      <c r="O403" s="82">
        <v>0.18</v>
      </c>
      <c r="P403" s="9">
        <f t="shared" si="22"/>
        <v>332.53919999999999</v>
      </c>
      <c r="Q403" s="5">
        <f>75*0.18+75+0.52</f>
        <v>89.02</v>
      </c>
      <c r="R403" s="5"/>
      <c r="S403" s="5">
        <f t="shared" si="23"/>
        <v>2268.9992000000002</v>
      </c>
      <c r="T403" s="1" t="s">
        <v>726</v>
      </c>
      <c r="U403" s="1" t="s">
        <v>726</v>
      </c>
      <c r="V403" s="1" t="s">
        <v>886</v>
      </c>
      <c r="W403" s="1" t="s">
        <v>2118</v>
      </c>
      <c r="X403" s="1"/>
      <c r="Y403" s="1"/>
      <c r="Z403" s="8" t="s">
        <v>638</v>
      </c>
      <c r="AA403" s="8" t="s">
        <v>1960</v>
      </c>
      <c r="AB403" s="8">
        <v>4</v>
      </c>
      <c r="AC403" s="22" t="s">
        <v>481</v>
      </c>
      <c r="AD403" s="1"/>
      <c r="AE403" s="29" t="s">
        <v>887</v>
      </c>
      <c r="AF403" s="1"/>
      <c r="AG403" s="50"/>
    </row>
    <row r="404" spans="1:33" s="51" customFormat="1" ht="45" x14ac:dyDescent="0.25">
      <c r="A404" s="4"/>
      <c r="B404" s="4">
        <v>45762</v>
      </c>
      <c r="C404" s="6" t="s">
        <v>1683</v>
      </c>
      <c r="D404" s="224" t="s">
        <v>3431</v>
      </c>
      <c r="E404" s="26" t="s">
        <v>2119</v>
      </c>
      <c r="F404" s="233" t="s">
        <v>888</v>
      </c>
      <c r="G404" s="1" t="s">
        <v>889</v>
      </c>
      <c r="H404" s="8">
        <v>2</v>
      </c>
      <c r="I404" s="8">
        <v>2</v>
      </c>
      <c r="J404" s="115">
        <f>Table224[[#This Row],[Qty]]-Table224[[#This Row],[Issue Qty]]</f>
        <v>0</v>
      </c>
      <c r="K404" s="195"/>
      <c r="L404" s="195" t="s">
        <v>3486</v>
      </c>
      <c r="M404" s="5">
        <v>12000</v>
      </c>
      <c r="N404" s="5">
        <f t="shared" si="21"/>
        <v>24000</v>
      </c>
      <c r="O404" s="82">
        <v>0.18</v>
      </c>
      <c r="P404" s="9">
        <f t="shared" si="22"/>
        <v>4320</v>
      </c>
      <c r="Q404" s="5">
        <v>0</v>
      </c>
      <c r="R404" s="5"/>
      <c r="S404" s="5">
        <f t="shared" si="23"/>
        <v>28320</v>
      </c>
      <c r="T404" s="1" t="s">
        <v>890</v>
      </c>
      <c r="U404" s="1" t="s">
        <v>890</v>
      </c>
      <c r="V404" s="1" t="s">
        <v>794</v>
      </c>
      <c r="W404" s="1" t="s">
        <v>2120</v>
      </c>
      <c r="X404" s="1"/>
      <c r="Y404" s="26"/>
      <c r="Z404" s="204"/>
      <c r="AA404" s="204"/>
      <c r="AB404" s="21">
        <v>2</v>
      </c>
      <c r="AC404" s="12" t="s">
        <v>3432</v>
      </c>
      <c r="AD404" s="26"/>
      <c r="AE404" s="29"/>
      <c r="AF404" s="26"/>
      <c r="AG404" s="50"/>
    </row>
    <row r="405" spans="1:33" s="51" customFormat="1" x14ac:dyDescent="0.25">
      <c r="A405" s="4"/>
      <c r="B405" s="4">
        <v>45763</v>
      </c>
      <c r="C405" s="1" t="s">
        <v>1991</v>
      </c>
      <c r="D405" s="224" t="s">
        <v>3502</v>
      </c>
      <c r="E405" s="26" t="s">
        <v>2121</v>
      </c>
      <c r="F405" s="233" t="s">
        <v>891</v>
      </c>
      <c r="G405" s="1" t="s">
        <v>892</v>
      </c>
      <c r="H405" s="8">
        <v>1</v>
      </c>
      <c r="I405" s="8"/>
      <c r="J405" s="115">
        <f>Table224[[#This Row],[Qty]]-Table224[[#This Row],[Issue Qty]]</f>
        <v>1</v>
      </c>
      <c r="K405" s="195"/>
      <c r="L405" s="195" t="s">
        <v>3480</v>
      </c>
      <c r="M405" s="5">
        <v>8400</v>
      </c>
      <c r="N405" s="5">
        <f t="shared" si="21"/>
        <v>8400</v>
      </c>
      <c r="O405" s="82">
        <v>0.18</v>
      </c>
      <c r="P405" s="9">
        <f t="shared" si="22"/>
        <v>1512</v>
      </c>
      <c r="Q405" s="5"/>
      <c r="R405" s="5"/>
      <c r="S405" s="5">
        <f t="shared" si="23"/>
        <v>9912</v>
      </c>
      <c r="T405" s="1" t="s">
        <v>726</v>
      </c>
      <c r="U405" s="1" t="s">
        <v>726</v>
      </c>
      <c r="V405" s="1" t="s">
        <v>893</v>
      </c>
      <c r="W405" s="1" t="s">
        <v>2122</v>
      </c>
      <c r="X405" s="1"/>
      <c r="Y405" s="1"/>
      <c r="Z405" s="21" t="s">
        <v>965</v>
      </c>
      <c r="AA405" s="8"/>
      <c r="AB405" s="8"/>
      <c r="AC405" s="22"/>
      <c r="AD405" s="1"/>
      <c r="AE405" s="29"/>
      <c r="AF405" s="1"/>
      <c r="AG405" s="50"/>
    </row>
    <row r="406" spans="1:33" s="51" customFormat="1" x14ac:dyDescent="0.25">
      <c r="A406" s="4"/>
      <c r="B406" s="4">
        <v>45763</v>
      </c>
      <c r="C406" s="1" t="s">
        <v>1991</v>
      </c>
      <c r="D406" s="224" t="s">
        <v>3502</v>
      </c>
      <c r="E406" s="26" t="s">
        <v>2121</v>
      </c>
      <c r="F406" s="233" t="s">
        <v>891</v>
      </c>
      <c r="G406" s="1" t="s">
        <v>894</v>
      </c>
      <c r="H406" s="8">
        <v>1</v>
      </c>
      <c r="I406" s="8"/>
      <c r="J406" s="115">
        <f>Table224[[#This Row],[Qty]]-Table224[[#This Row],[Issue Qty]]</f>
        <v>1</v>
      </c>
      <c r="K406" s="195"/>
      <c r="L406" s="195" t="s">
        <v>3480</v>
      </c>
      <c r="M406" s="5">
        <v>8400</v>
      </c>
      <c r="N406" s="5">
        <f t="shared" si="21"/>
        <v>8400</v>
      </c>
      <c r="O406" s="82">
        <v>0.18</v>
      </c>
      <c r="P406" s="9">
        <f t="shared" si="22"/>
        <v>1512</v>
      </c>
      <c r="Q406" s="5">
        <v>0</v>
      </c>
      <c r="R406" s="5"/>
      <c r="S406" s="5">
        <f t="shared" si="23"/>
        <v>9912</v>
      </c>
      <c r="T406" s="1" t="s">
        <v>726</v>
      </c>
      <c r="U406" s="1" t="s">
        <v>726</v>
      </c>
      <c r="V406" s="1" t="s">
        <v>893</v>
      </c>
      <c r="W406" s="1" t="s">
        <v>2123</v>
      </c>
      <c r="X406" s="1"/>
      <c r="Y406" s="1"/>
      <c r="Z406" s="21" t="s">
        <v>965</v>
      </c>
      <c r="AA406" s="8"/>
      <c r="AB406" s="8"/>
      <c r="AC406" s="22"/>
      <c r="AD406" s="1"/>
      <c r="AE406" s="29"/>
      <c r="AF406" s="1"/>
      <c r="AG406" s="50"/>
    </row>
    <row r="407" spans="1:33" s="51" customFormat="1" x14ac:dyDescent="0.25">
      <c r="A407" s="4"/>
      <c r="B407" s="4">
        <v>45763</v>
      </c>
      <c r="C407" s="6" t="s">
        <v>1683</v>
      </c>
      <c r="D407" s="224" t="s">
        <v>3487</v>
      </c>
      <c r="E407" s="1" t="s">
        <v>2049</v>
      </c>
      <c r="F407" s="102" t="s">
        <v>790</v>
      </c>
      <c r="G407" s="1" t="s">
        <v>895</v>
      </c>
      <c r="H407" s="8">
        <v>12</v>
      </c>
      <c r="I407" s="8">
        <v>12</v>
      </c>
      <c r="J407" s="115">
        <f>Table224[[#This Row],[Qty]]-Table224[[#This Row],[Issue Qty]]</f>
        <v>0</v>
      </c>
      <c r="K407" s="195"/>
      <c r="L407" s="195" t="s">
        <v>3479</v>
      </c>
      <c r="M407" s="5">
        <v>400</v>
      </c>
      <c r="N407" s="5">
        <f t="shared" si="21"/>
        <v>4800</v>
      </c>
      <c r="O407" s="82">
        <v>0.18</v>
      </c>
      <c r="P407" s="9">
        <f t="shared" si="22"/>
        <v>864</v>
      </c>
      <c r="Q407" s="5">
        <v>0</v>
      </c>
      <c r="R407" s="5"/>
      <c r="S407" s="5">
        <f t="shared" si="23"/>
        <v>5664</v>
      </c>
      <c r="T407" s="1" t="s">
        <v>606</v>
      </c>
      <c r="U407" s="1" t="s">
        <v>606</v>
      </c>
      <c r="V407" s="1" t="s">
        <v>896</v>
      </c>
      <c r="W407" s="1" t="s">
        <v>2124</v>
      </c>
      <c r="X407" s="1"/>
      <c r="Y407" s="26"/>
      <c r="Z407" s="204"/>
      <c r="AA407" s="204"/>
      <c r="AB407" s="21">
        <v>12</v>
      </c>
      <c r="AC407" s="12" t="s">
        <v>81</v>
      </c>
      <c r="AD407" s="26"/>
      <c r="AE407" s="29" t="s">
        <v>793</v>
      </c>
      <c r="AF407" s="26"/>
      <c r="AG407" s="50"/>
    </row>
    <row r="408" spans="1:33" s="51" customFormat="1" x14ac:dyDescent="0.25">
      <c r="A408" s="4"/>
      <c r="B408" s="4">
        <v>45764</v>
      </c>
      <c r="C408" s="1" t="s">
        <v>54</v>
      </c>
      <c r="D408" s="224" t="s">
        <v>3494</v>
      </c>
      <c r="E408" s="1" t="s">
        <v>2062</v>
      </c>
      <c r="F408" s="102" t="s">
        <v>810</v>
      </c>
      <c r="G408" s="1" t="s">
        <v>870</v>
      </c>
      <c r="H408" s="8">
        <v>1</v>
      </c>
      <c r="I408" s="8">
        <v>0</v>
      </c>
      <c r="J408" s="115">
        <f>Table224[[#This Row],[Qty]]-Table224[[#This Row],[Issue Qty]]</f>
        <v>1</v>
      </c>
      <c r="K408" s="195"/>
      <c r="L408" s="195" t="s">
        <v>3480</v>
      </c>
      <c r="M408" s="5">
        <v>14454</v>
      </c>
      <c r="N408" s="5">
        <f t="shared" si="21"/>
        <v>14454</v>
      </c>
      <c r="O408" s="82">
        <v>0.18</v>
      </c>
      <c r="P408" s="9">
        <f t="shared" si="22"/>
        <v>2601.7199999999998</v>
      </c>
      <c r="Q408" s="5">
        <v>0</v>
      </c>
      <c r="R408" s="5"/>
      <c r="S408" s="5">
        <f t="shared" si="23"/>
        <v>17055.72</v>
      </c>
      <c r="T408" s="1" t="s">
        <v>606</v>
      </c>
      <c r="U408" s="1" t="s">
        <v>606</v>
      </c>
      <c r="V408" s="1" t="s">
        <v>829</v>
      </c>
      <c r="W408" s="1" t="s">
        <v>2074</v>
      </c>
      <c r="X408" s="1"/>
      <c r="Y408" s="26"/>
      <c r="Z408" s="8" t="s">
        <v>809</v>
      </c>
      <c r="AA408" s="204"/>
      <c r="AB408" s="21">
        <v>1</v>
      </c>
      <c r="AC408" s="12" t="s">
        <v>3557</v>
      </c>
      <c r="AD408" s="26"/>
      <c r="AE408" s="29" t="s">
        <v>813</v>
      </c>
      <c r="AF408" s="26"/>
      <c r="AG408" s="50"/>
    </row>
    <row r="409" spans="1:33" s="51" customFormat="1" x14ac:dyDescent="0.25">
      <c r="A409" s="4"/>
      <c r="B409" s="4">
        <v>45768</v>
      </c>
      <c r="C409" s="6" t="s">
        <v>1683</v>
      </c>
      <c r="D409" s="224" t="s">
        <v>1663</v>
      </c>
      <c r="E409" s="1" t="s">
        <v>2117</v>
      </c>
      <c r="F409" s="102" t="s">
        <v>884</v>
      </c>
      <c r="G409" s="1" t="s">
        <v>898</v>
      </c>
      <c r="H409" s="8">
        <v>4</v>
      </c>
      <c r="I409" s="8">
        <v>4</v>
      </c>
      <c r="J409" s="115">
        <f>Table224[[#This Row],[Qty]]-Table224[[#This Row],[Issue Qty]]</f>
        <v>0</v>
      </c>
      <c r="K409" s="195"/>
      <c r="L409" s="195" t="s">
        <v>3480</v>
      </c>
      <c r="M409" s="5">
        <v>249.99</v>
      </c>
      <c r="N409" s="5">
        <f t="shared" si="21"/>
        <v>999.96</v>
      </c>
      <c r="O409" s="82">
        <v>0.18</v>
      </c>
      <c r="P409" s="9">
        <f t="shared" si="22"/>
        <v>179.99279999999999</v>
      </c>
      <c r="Q409" s="5">
        <v>0</v>
      </c>
      <c r="R409" s="5"/>
      <c r="S409" s="5">
        <f t="shared" si="23"/>
        <v>1179.9528</v>
      </c>
      <c r="T409" s="1" t="s">
        <v>726</v>
      </c>
      <c r="U409" s="1" t="s">
        <v>726</v>
      </c>
      <c r="V409" s="1" t="s">
        <v>899</v>
      </c>
      <c r="W409" s="1" t="s">
        <v>2127</v>
      </c>
      <c r="X409" s="1"/>
      <c r="Y409" s="1"/>
      <c r="Z409" s="8" t="s">
        <v>638</v>
      </c>
      <c r="AA409" s="8"/>
      <c r="AB409" s="8">
        <v>4</v>
      </c>
      <c r="AC409" s="22" t="s">
        <v>481</v>
      </c>
      <c r="AD409" s="1"/>
      <c r="AE409" s="29" t="s">
        <v>887</v>
      </c>
      <c r="AF409" s="1"/>
      <c r="AG409" s="50"/>
    </row>
    <row r="410" spans="1:33" s="51" customFormat="1" x14ac:dyDescent="0.25">
      <c r="A410" s="4"/>
      <c r="B410" s="4">
        <v>45768</v>
      </c>
      <c r="C410" s="6" t="s">
        <v>1683</v>
      </c>
      <c r="D410" s="224" t="s">
        <v>1663</v>
      </c>
      <c r="E410" s="1" t="s">
        <v>2128</v>
      </c>
      <c r="F410" s="102" t="s">
        <v>900</v>
      </c>
      <c r="G410" s="1" t="s">
        <v>901</v>
      </c>
      <c r="H410" s="8">
        <v>1</v>
      </c>
      <c r="I410" s="8">
        <v>0</v>
      </c>
      <c r="J410" s="115">
        <f>Table224[[#This Row],[Qty]]-Table224[[#This Row],[Issue Qty]]</f>
        <v>1</v>
      </c>
      <c r="K410" s="195"/>
      <c r="L410" s="195" t="s">
        <v>3480</v>
      </c>
      <c r="M410" s="5">
        <v>2495.2800000000002</v>
      </c>
      <c r="N410" s="5">
        <f t="shared" si="21"/>
        <v>2495.2800000000002</v>
      </c>
      <c r="O410" s="82">
        <v>0</v>
      </c>
      <c r="P410" s="9">
        <f t="shared" si="22"/>
        <v>0</v>
      </c>
      <c r="Q410" s="5">
        <f>150+27</f>
        <v>177</v>
      </c>
      <c r="R410" s="5"/>
      <c r="S410" s="5">
        <f t="shared" si="23"/>
        <v>2672.28</v>
      </c>
      <c r="T410" s="1" t="s">
        <v>726</v>
      </c>
      <c r="U410" s="1" t="s">
        <v>726</v>
      </c>
      <c r="V410" s="1" t="s">
        <v>746</v>
      </c>
      <c r="W410" s="1" t="s">
        <v>2129</v>
      </c>
      <c r="X410" s="1"/>
      <c r="Y410" s="26"/>
      <c r="Z410" s="204"/>
      <c r="AA410" s="204"/>
      <c r="AB410" s="21">
        <v>1</v>
      </c>
      <c r="AC410" s="12" t="s">
        <v>81</v>
      </c>
      <c r="AD410" s="26"/>
      <c r="AE410" s="29"/>
      <c r="AF410" s="26"/>
      <c r="AG410" s="50"/>
    </row>
    <row r="411" spans="1:33" s="51" customFormat="1" ht="30" x14ac:dyDescent="0.25">
      <c r="A411" s="4"/>
      <c r="B411" s="4">
        <v>45768</v>
      </c>
      <c r="C411" s="1" t="s">
        <v>54</v>
      </c>
      <c r="D411" s="224" t="s">
        <v>3430</v>
      </c>
      <c r="E411" s="26" t="s">
        <v>2125</v>
      </c>
      <c r="F411" s="233" t="s">
        <v>897</v>
      </c>
      <c r="G411" s="1" t="s">
        <v>897</v>
      </c>
      <c r="H411" s="8">
        <v>1</v>
      </c>
      <c r="I411" s="8"/>
      <c r="J411" s="115">
        <f>Table224[[#This Row],[Qty]]-Table224[[#This Row],[Issue Qty]]</f>
        <v>1</v>
      </c>
      <c r="K411" s="195"/>
      <c r="L411" s="195" t="s">
        <v>3479</v>
      </c>
      <c r="M411" s="5">
        <v>239</v>
      </c>
      <c r="N411" s="5">
        <f t="shared" si="21"/>
        <v>239</v>
      </c>
      <c r="O411" s="82">
        <v>0.05</v>
      </c>
      <c r="P411" s="9">
        <f t="shared" si="22"/>
        <v>11.950000000000001</v>
      </c>
      <c r="Q411" s="5">
        <v>108</v>
      </c>
      <c r="R411" s="5"/>
      <c r="S411" s="5">
        <f t="shared" si="23"/>
        <v>358.95</v>
      </c>
      <c r="T411" s="1" t="s">
        <v>726</v>
      </c>
      <c r="U411" s="1" t="s">
        <v>726</v>
      </c>
      <c r="V411" s="1" t="s">
        <v>749</v>
      </c>
      <c r="W411" s="1" t="s">
        <v>2126</v>
      </c>
      <c r="X411" s="1"/>
      <c r="Y411" s="1"/>
      <c r="Z411" s="8" t="s">
        <v>688</v>
      </c>
      <c r="AA411" s="8"/>
      <c r="AB411" s="8">
        <v>3</v>
      </c>
      <c r="AC411" s="22" t="s">
        <v>3471</v>
      </c>
      <c r="AD411" s="1"/>
      <c r="AE411" s="29"/>
      <c r="AF411" s="1"/>
      <c r="AG411" s="50"/>
    </row>
    <row r="412" spans="1:33" s="51" customFormat="1" ht="30" x14ac:dyDescent="0.25">
      <c r="A412" s="4"/>
      <c r="B412" s="4">
        <v>45771</v>
      </c>
      <c r="C412" s="1" t="s">
        <v>54</v>
      </c>
      <c r="D412" s="224" t="s">
        <v>3430</v>
      </c>
      <c r="E412" s="26" t="s">
        <v>1971</v>
      </c>
      <c r="F412" s="233" t="s">
        <v>654</v>
      </c>
      <c r="G412" s="1" t="s">
        <v>871</v>
      </c>
      <c r="H412" s="8">
        <v>100</v>
      </c>
      <c r="I412" s="8">
        <v>40</v>
      </c>
      <c r="J412" s="115">
        <f>Table224[[#This Row],[Qty]]-Table224[[#This Row],[Issue Qty]]</f>
        <v>60</v>
      </c>
      <c r="K412" s="195"/>
      <c r="L412" s="195" t="s">
        <v>3479</v>
      </c>
      <c r="M412" s="5">
        <v>59.676200000000001</v>
      </c>
      <c r="N412" s="5">
        <f t="shared" si="21"/>
        <v>5967.62</v>
      </c>
      <c r="O412" s="82">
        <v>0.05</v>
      </c>
      <c r="P412" s="9">
        <f t="shared" si="22"/>
        <v>298.38100000000003</v>
      </c>
      <c r="Q412" s="5">
        <v>203</v>
      </c>
      <c r="R412" s="5"/>
      <c r="S412" s="5">
        <f t="shared" si="23"/>
        <v>6469.0010000000002</v>
      </c>
      <c r="T412" s="1" t="s">
        <v>726</v>
      </c>
      <c r="U412" s="1" t="s">
        <v>726</v>
      </c>
      <c r="V412" s="1" t="s">
        <v>691</v>
      </c>
      <c r="W412" s="1" t="s">
        <v>2130</v>
      </c>
      <c r="X412" s="1"/>
      <c r="Y412" s="1"/>
      <c r="Z412" s="8" t="s">
        <v>3470</v>
      </c>
      <c r="AA412" s="21" t="s">
        <v>34</v>
      </c>
      <c r="AB412" s="8">
        <v>40</v>
      </c>
      <c r="AC412" s="22" t="s">
        <v>902</v>
      </c>
      <c r="AD412" s="1"/>
      <c r="AE412" s="29"/>
      <c r="AF412" s="1"/>
      <c r="AG412" s="50"/>
    </row>
    <row r="413" spans="1:33" s="51" customFormat="1" ht="30" x14ac:dyDescent="0.25">
      <c r="A413" s="4"/>
      <c r="B413" s="4">
        <v>45771</v>
      </c>
      <c r="C413" s="6" t="s">
        <v>1683</v>
      </c>
      <c r="D413" s="224" t="s">
        <v>3431</v>
      </c>
      <c r="E413" s="26" t="s">
        <v>2020</v>
      </c>
      <c r="F413" s="233" t="s">
        <v>740</v>
      </c>
      <c r="G413" s="1" t="s">
        <v>741</v>
      </c>
      <c r="H413" s="8">
        <v>100</v>
      </c>
      <c r="I413" s="8">
        <v>50</v>
      </c>
      <c r="J413" s="115">
        <f>Table224[[#This Row],[Qty]]-Table224[[#This Row],[Issue Qty]]</f>
        <v>50</v>
      </c>
      <c r="K413" s="195"/>
      <c r="L413" s="195" t="s">
        <v>3486</v>
      </c>
      <c r="M413" s="5">
        <v>371.42860000000002</v>
      </c>
      <c r="N413" s="5">
        <f t="shared" si="21"/>
        <v>37142.86</v>
      </c>
      <c r="O413" s="82">
        <v>0.05</v>
      </c>
      <c r="P413" s="9">
        <f t="shared" si="22"/>
        <v>1857.143</v>
      </c>
      <c r="Q413" s="5">
        <v>450</v>
      </c>
      <c r="R413" s="5"/>
      <c r="S413" s="5">
        <f t="shared" si="23"/>
        <v>39450.002999999997</v>
      </c>
      <c r="T413" s="1" t="s">
        <v>726</v>
      </c>
      <c r="U413" s="1" t="s">
        <v>726</v>
      </c>
      <c r="V413" s="1" t="s">
        <v>691</v>
      </c>
      <c r="W413" s="1" t="s">
        <v>2132</v>
      </c>
      <c r="X413" s="1"/>
      <c r="Y413" s="1"/>
      <c r="Z413" s="21" t="s">
        <v>22</v>
      </c>
      <c r="AA413" s="21" t="s">
        <v>1963</v>
      </c>
      <c r="AB413" s="8">
        <v>50</v>
      </c>
      <c r="AC413" s="22" t="s">
        <v>474</v>
      </c>
      <c r="AD413" s="1"/>
      <c r="AE413" s="29"/>
      <c r="AF413" s="1"/>
      <c r="AG413" s="50"/>
    </row>
    <row r="414" spans="1:33" s="51" customFormat="1" x14ac:dyDescent="0.25">
      <c r="A414" s="4"/>
      <c r="B414" s="4">
        <v>45771</v>
      </c>
      <c r="C414" s="1" t="s">
        <v>54</v>
      </c>
      <c r="D414" s="224" t="s">
        <v>3494</v>
      </c>
      <c r="E414" s="1" t="s">
        <v>2062</v>
      </c>
      <c r="F414" s="102" t="s">
        <v>810</v>
      </c>
      <c r="G414" s="1" t="s">
        <v>870</v>
      </c>
      <c r="H414" s="8">
        <v>7</v>
      </c>
      <c r="I414" s="8">
        <v>0</v>
      </c>
      <c r="J414" s="115">
        <f>Table224[[#This Row],[Qty]]-Table224[[#This Row],[Issue Qty]]</f>
        <v>7</v>
      </c>
      <c r="K414" s="195"/>
      <c r="L414" s="195" t="s">
        <v>3480</v>
      </c>
      <c r="M414" s="5">
        <v>14454</v>
      </c>
      <c r="N414" s="5">
        <f t="shared" si="21"/>
        <v>101178</v>
      </c>
      <c r="O414" s="82">
        <v>0.18</v>
      </c>
      <c r="P414" s="9">
        <f t="shared" si="22"/>
        <v>18212.04</v>
      </c>
      <c r="Q414" s="5"/>
      <c r="R414" s="5"/>
      <c r="S414" s="5">
        <f t="shared" si="23"/>
        <v>119390.04000000001</v>
      </c>
      <c r="T414" s="1" t="s">
        <v>606</v>
      </c>
      <c r="U414" s="1" t="s">
        <v>606</v>
      </c>
      <c r="V414" s="1" t="s">
        <v>829</v>
      </c>
      <c r="W414" s="1" t="s">
        <v>2074</v>
      </c>
      <c r="X414" s="1"/>
      <c r="Y414" s="26"/>
      <c r="Z414" s="8" t="s">
        <v>809</v>
      </c>
      <c r="AA414" s="204"/>
      <c r="AB414" s="21"/>
      <c r="AC414" s="12"/>
      <c r="AD414" s="26"/>
      <c r="AE414" s="29" t="s">
        <v>813</v>
      </c>
      <c r="AF414" s="26"/>
      <c r="AG414" s="50"/>
    </row>
    <row r="415" spans="1:33" s="51" customFormat="1" x14ac:dyDescent="0.25">
      <c r="A415" s="4"/>
      <c r="B415" s="4">
        <v>45771</v>
      </c>
      <c r="C415" s="1" t="s">
        <v>54</v>
      </c>
      <c r="D415" s="224" t="s">
        <v>3500</v>
      </c>
      <c r="E415" s="1" t="s">
        <v>1988</v>
      </c>
      <c r="F415" s="102" t="s">
        <v>685</v>
      </c>
      <c r="G415" s="1" t="s">
        <v>685</v>
      </c>
      <c r="H415" s="8">
        <v>2</v>
      </c>
      <c r="I415" s="8"/>
      <c r="J415" s="115">
        <f>Table224[[#This Row],[Qty]]-Table224[[#This Row],[Issue Qty]]</f>
        <v>2</v>
      </c>
      <c r="K415" s="195"/>
      <c r="L415" s="195" t="s">
        <v>3480</v>
      </c>
      <c r="M415" s="5"/>
      <c r="N415" s="5">
        <f t="shared" si="21"/>
        <v>0</v>
      </c>
      <c r="O415" s="82">
        <v>0</v>
      </c>
      <c r="P415" s="9">
        <f t="shared" si="22"/>
        <v>0</v>
      </c>
      <c r="Q415" s="5"/>
      <c r="R415" s="5"/>
      <c r="S415" s="5">
        <f t="shared" si="23"/>
        <v>0</v>
      </c>
      <c r="T415" s="1" t="s">
        <v>726</v>
      </c>
      <c r="U415" s="1" t="s">
        <v>726</v>
      </c>
      <c r="V415" s="1" t="s">
        <v>687</v>
      </c>
      <c r="W415" s="1"/>
      <c r="X415" s="1"/>
      <c r="Y415" s="26"/>
      <c r="Z415" s="8" t="s">
        <v>965</v>
      </c>
      <c r="AA415" s="21" t="s">
        <v>3627</v>
      </c>
      <c r="AB415" s="21"/>
      <c r="AC415" s="12"/>
      <c r="AD415" s="26"/>
      <c r="AE415" s="29" t="s">
        <v>689</v>
      </c>
      <c r="AF415" s="26"/>
      <c r="AG415" s="50"/>
    </row>
    <row r="416" spans="1:33" s="51" customFormat="1" x14ac:dyDescent="0.25">
      <c r="A416" s="4"/>
      <c r="B416" s="4">
        <v>45771</v>
      </c>
      <c r="C416" s="6" t="s">
        <v>1683</v>
      </c>
      <c r="D416" s="224" t="s">
        <v>3487</v>
      </c>
      <c r="E416" s="1" t="s">
        <v>2049</v>
      </c>
      <c r="F416" s="102" t="s">
        <v>790</v>
      </c>
      <c r="G416" s="1" t="s">
        <v>903</v>
      </c>
      <c r="H416" s="8">
        <v>12</v>
      </c>
      <c r="I416" s="8">
        <v>12</v>
      </c>
      <c r="J416" s="115">
        <f>Table224[[#This Row],[Qty]]-Table224[[#This Row],[Issue Qty]]</f>
        <v>0</v>
      </c>
      <c r="K416" s="195"/>
      <c r="L416" s="195" t="s">
        <v>3479</v>
      </c>
      <c r="M416" s="5">
        <v>300</v>
      </c>
      <c r="N416" s="5">
        <f t="shared" si="21"/>
        <v>3600</v>
      </c>
      <c r="O416" s="82">
        <v>0.18</v>
      </c>
      <c r="P416" s="9">
        <f t="shared" si="22"/>
        <v>648</v>
      </c>
      <c r="Q416" s="5">
        <v>0</v>
      </c>
      <c r="R416" s="5"/>
      <c r="S416" s="5">
        <f t="shared" si="23"/>
        <v>4248</v>
      </c>
      <c r="T416" s="1" t="s">
        <v>606</v>
      </c>
      <c r="U416" s="1" t="s">
        <v>606</v>
      </c>
      <c r="V416" s="1" t="s">
        <v>896</v>
      </c>
      <c r="W416" s="1" t="s">
        <v>2131</v>
      </c>
      <c r="X416" s="1"/>
      <c r="Y416" s="26"/>
      <c r="Z416" s="204"/>
      <c r="AA416" s="204"/>
      <c r="AB416" s="21">
        <v>12</v>
      </c>
      <c r="AC416" s="12" t="s">
        <v>606</v>
      </c>
      <c r="AD416" s="26"/>
      <c r="AE416" s="29" t="s">
        <v>793</v>
      </c>
      <c r="AF416" s="26"/>
      <c r="AG416" s="50"/>
    </row>
    <row r="417" spans="1:33" s="51" customFormat="1" x14ac:dyDescent="0.25">
      <c r="A417" s="4"/>
      <c r="B417" s="4">
        <v>45775</v>
      </c>
      <c r="C417" s="1" t="s">
        <v>54</v>
      </c>
      <c r="D417" s="224" t="s">
        <v>3494</v>
      </c>
      <c r="E417" s="1" t="s">
        <v>2083</v>
      </c>
      <c r="F417" s="102" t="s">
        <v>840</v>
      </c>
      <c r="G417" s="1" t="s">
        <v>904</v>
      </c>
      <c r="H417" s="8">
        <v>5</v>
      </c>
      <c r="I417" s="8"/>
      <c r="J417" s="115">
        <f>Table224[[#This Row],[Qty]]-Table224[[#This Row],[Issue Qty]]</f>
        <v>5</v>
      </c>
      <c r="K417" s="195"/>
      <c r="L417" s="195" t="s">
        <v>3480</v>
      </c>
      <c r="M417" s="5">
        <v>1531.2</v>
      </c>
      <c r="N417" s="5">
        <f t="shared" si="21"/>
        <v>7656</v>
      </c>
      <c r="O417" s="82">
        <v>0.18</v>
      </c>
      <c r="P417" s="9">
        <f t="shared" si="22"/>
        <v>1378.08</v>
      </c>
      <c r="Q417" s="5">
        <f>1000*0.18+1000</f>
        <v>1180</v>
      </c>
      <c r="R417" s="5"/>
      <c r="S417" s="5">
        <f t="shared" si="23"/>
        <v>10214.08</v>
      </c>
      <c r="T417" s="1" t="s">
        <v>726</v>
      </c>
      <c r="U417" s="1" t="s">
        <v>726</v>
      </c>
      <c r="V417" s="1" t="s">
        <v>358</v>
      </c>
      <c r="W417" s="1" t="s">
        <v>2133</v>
      </c>
      <c r="X417" s="1"/>
      <c r="Y417" s="1"/>
      <c r="Z417" s="21" t="s">
        <v>688</v>
      </c>
      <c r="AA417" s="8"/>
      <c r="AB417" s="8"/>
      <c r="AC417" s="22"/>
      <c r="AD417" s="1"/>
      <c r="AE417" s="29" t="s">
        <v>842</v>
      </c>
      <c r="AF417" s="1"/>
      <c r="AG417" s="50"/>
    </row>
    <row r="418" spans="1:33" s="51" customFormat="1" x14ac:dyDescent="0.25">
      <c r="A418" s="4"/>
      <c r="B418" s="4">
        <v>45775</v>
      </c>
      <c r="C418" s="1" t="s">
        <v>54</v>
      </c>
      <c r="D418" s="224" t="s">
        <v>3494</v>
      </c>
      <c r="E418" s="1" t="s">
        <v>2083</v>
      </c>
      <c r="F418" s="102" t="s">
        <v>840</v>
      </c>
      <c r="G418" s="1" t="s">
        <v>905</v>
      </c>
      <c r="H418" s="8">
        <v>5</v>
      </c>
      <c r="I418" s="8"/>
      <c r="J418" s="115">
        <f>Table224[[#This Row],[Qty]]-Table224[[#This Row],[Issue Qty]]</f>
        <v>5</v>
      </c>
      <c r="K418" s="195"/>
      <c r="L418" s="195" t="s">
        <v>3480</v>
      </c>
      <c r="M418" s="5">
        <v>1142.5999999999999</v>
      </c>
      <c r="N418" s="5">
        <f t="shared" si="21"/>
        <v>5713</v>
      </c>
      <c r="O418" s="82">
        <v>0.18</v>
      </c>
      <c r="P418" s="9">
        <f t="shared" si="22"/>
        <v>1028.3399999999999</v>
      </c>
      <c r="Q418" s="5">
        <v>0</v>
      </c>
      <c r="R418" s="5"/>
      <c r="S418" s="5">
        <f t="shared" si="23"/>
        <v>6741.34</v>
      </c>
      <c r="T418" s="1" t="s">
        <v>726</v>
      </c>
      <c r="U418" s="1" t="s">
        <v>726</v>
      </c>
      <c r="V418" s="1" t="s">
        <v>358</v>
      </c>
      <c r="W418" s="1" t="s">
        <v>2134</v>
      </c>
      <c r="X418" s="1"/>
      <c r="Y418" s="1"/>
      <c r="Z418" s="21" t="s">
        <v>688</v>
      </c>
      <c r="AA418" s="8"/>
      <c r="AB418" s="8"/>
      <c r="AC418" s="22"/>
      <c r="AD418" s="1"/>
      <c r="AE418" s="29"/>
      <c r="AF418" s="1"/>
      <c r="AG418" s="50"/>
    </row>
    <row r="419" spans="1:33" s="51" customFormat="1" x14ac:dyDescent="0.25">
      <c r="A419" s="4"/>
      <c r="B419" s="4">
        <v>45775</v>
      </c>
      <c r="C419" s="1" t="s">
        <v>2003</v>
      </c>
      <c r="D419" s="224" t="s">
        <v>3496</v>
      </c>
      <c r="E419" s="26" t="s">
        <v>2135</v>
      </c>
      <c r="F419" s="233" t="s">
        <v>906</v>
      </c>
      <c r="G419" s="1" t="s">
        <v>906</v>
      </c>
      <c r="H419" s="8">
        <v>1</v>
      </c>
      <c r="I419" s="8"/>
      <c r="J419" s="115">
        <f>Table224[[#This Row],[Qty]]-Table224[[#This Row],[Issue Qty]]</f>
        <v>1</v>
      </c>
      <c r="K419" s="195"/>
      <c r="L419" s="195" t="s">
        <v>3480</v>
      </c>
      <c r="M419" s="5">
        <v>4989</v>
      </c>
      <c r="N419" s="5">
        <f t="shared" si="21"/>
        <v>4989</v>
      </c>
      <c r="O419" s="82">
        <v>0.05</v>
      </c>
      <c r="P419" s="9">
        <f t="shared" si="22"/>
        <v>249.45000000000002</v>
      </c>
      <c r="Q419" s="5">
        <v>21.55</v>
      </c>
      <c r="R419" s="5"/>
      <c r="S419" s="5">
        <f t="shared" si="23"/>
        <v>5260</v>
      </c>
      <c r="T419" s="1" t="s">
        <v>907</v>
      </c>
      <c r="U419" s="1" t="s">
        <v>907</v>
      </c>
      <c r="V419" s="1" t="s">
        <v>691</v>
      </c>
      <c r="W419" s="1" t="s">
        <v>2136</v>
      </c>
      <c r="X419" s="1"/>
      <c r="Y419" s="1"/>
      <c r="Z419" s="21" t="s">
        <v>908</v>
      </c>
      <c r="AA419" s="8"/>
      <c r="AB419" s="8"/>
      <c r="AC419" s="22"/>
      <c r="AD419" s="1"/>
      <c r="AE419" s="29"/>
      <c r="AF419" s="1"/>
      <c r="AG419" s="50"/>
    </row>
    <row r="420" spans="1:33" s="51" customFormat="1" x14ac:dyDescent="0.25">
      <c r="A420" s="4"/>
      <c r="B420" s="4">
        <v>45777</v>
      </c>
      <c r="C420" s="1" t="s">
        <v>54</v>
      </c>
      <c r="D420" s="224" t="s">
        <v>3494</v>
      </c>
      <c r="E420" s="1" t="s">
        <v>2083</v>
      </c>
      <c r="F420" s="102" t="s">
        <v>840</v>
      </c>
      <c r="G420" s="1" t="s">
        <v>909</v>
      </c>
      <c r="H420" s="8">
        <v>2</v>
      </c>
      <c r="I420" s="8"/>
      <c r="J420" s="115">
        <f>Table224[[#This Row],[Qty]]-Table224[[#This Row],[Issue Qty]]</f>
        <v>2</v>
      </c>
      <c r="K420" s="195"/>
      <c r="L420" s="195" t="s">
        <v>3480</v>
      </c>
      <c r="M420" s="5">
        <v>1363</v>
      </c>
      <c r="N420" s="5">
        <f t="shared" si="21"/>
        <v>2726</v>
      </c>
      <c r="O420" s="82">
        <v>0.18</v>
      </c>
      <c r="P420" s="9">
        <f t="shared" si="22"/>
        <v>490.68</v>
      </c>
      <c r="Q420" s="5">
        <v>0</v>
      </c>
      <c r="R420" s="5"/>
      <c r="S420" s="5">
        <f t="shared" si="23"/>
        <v>3216.68</v>
      </c>
      <c r="T420" s="1" t="s">
        <v>726</v>
      </c>
      <c r="U420" s="1" t="s">
        <v>726</v>
      </c>
      <c r="V420" s="1" t="s">
        <v>358</v>
      </c>
      <c r="W420" s="1" t="s">
        <v>2137</v>
      </c>
      <c r="X420" s="1"/>
      <c r="Y420" s="1"/>
      <c r="Z420" s="21" t="s">
        <v>688</v>
      </c>
      <c r="AA420" s="8"/>
      <c r="AB420" s="8"/>
      <c r="AC420" s="22"/>
      <c r="AD420" s="1"/>
      <c r="AE420" s="29"/>
      <c r="AF420" s="1"/>
      <c r="AG420" s="50"/>
    </row>
    <row r="421" spans="1:33" s="51" customFormat="1" x14ac:dyDescent="0.25">
      <c r="A421" s="4"/>
      <c r="B421" s="4">
        <v>45777</v>
      </c>
      <c r="C421" s="1" t="s">
        <v>54</v>
      </c>
      <c r="D421" s="224" t="s">
        <v>3494</v>
      </c>
      <c r="E421" s="1" t="s">
        <v>2083</v>
      </c>
      <c r="F421" s="102" t="s">
        <v>840</v>
      </c>
      <c r="G421" s="1" t="s">
        <v>910</v>
      </c>
      <c r="H421" s="8">
        <v>2</v>
      </c>
      <c r="I421" s="8"/>
      <c r="J421" s="115">
        <f>Table224[[#This Row],[Qty]]-Table224[[#This Row],[Issue Qty]]</f>
        <v>2</v>
      </c>
      <c r="K421" s="195"/>
      <c r="L421" s="195" t="s">
        <v>3480</v>
      </c>
      <c r="M421" s="5">
        <v>1276</v>
      </c>
      <c r="N421" s="5">
        <f t="shared" si="21"/>
        <v>2552</v>
      </c>
      <c r="O421" s="82">
        <v>0.18</v>
      </c>
      <c r="P421" s="9">
        <f t="shared" si="22"/>
        <v>459.35999999999996</v>
      </c>
      <c r="Q421" s="5">
        <v>0</v>
      </c>
      <c r="R421" s="5"/>
      <c r="S421" s="5">
        <f t="shared" si="23"/>
        <v>3011.36</v>
      </c>
      <c r="T421" s="1" t="s">
        <v>726</v>
      </c>
      <c r="U421" s="1" t="s">
        <v>726</v>
      </c>
      <c r="V421" s="1" t="s">
        <v>358</v>
      </c>
      <c r="W421" s="1" t="s">
        <v>2137</v>
      </c>
      <c r="X421" s="1"/>
      <c r="Y421" s="1"/>
      <c r="Z421" s="21" t="s">
        <v>688</v>
      </c>
      <c r="AA421" s="8"/>
      <c r="AB421" s="8"/>
      <c r="AC421" s="22"/>
      <c r="AD421" s="1"/>
      <c r="AE421" s="29"/>
      <c r="AF421" s="1"/>
      <c r="AG421" s="50"/>
    </row>
    <row r="422" spans="1:33" s="51" customFormat="1" x14ac:dyDescent="0.25">
      <c r="A422" s="4"/>
      <c r="B422" s="4">
        <v>45777</v>
      </c>
      <c r="C422" s="1" t="s">
        <v>54</v>
      </c>
      <c r="D422" s="224" t="s">
        <v>3494</v>
      </c>
      <c r="E422" s="1" t="s">
        <v>2138</v>
      </c>
      <c r="F422" s="102" t="s">
        <v>911</v>
      </c>
      <c r="G422" s="1" t="s">
        <v>912</v>
      </c>
      <c r="H422" s="58">
        <v>4</v>
      </c>
      <c r="I422" s="58"/>
      <c r="J422" s="159">
        <f>Table224[[#This Row],[Qty]]-Table224[[#This Row],[Issue Qty]]</f>
        <v>4</v>
      </c>
      <c r="K422" s="228"/>
      <c r="L422" s="228" t="s">
        <v>3480</v>
      </c>
      <c r="M422" s="5">
        <v>139.19999999999999</v>
      </c>
      <c r="N422" s="5">
        <f t="shared" si="21"/>
        <v>556.79999999999995</v>
      </c>
      <c r="O422" s="82">
        <v>0.18</v>
      </c>
      <c r="P422" s="9">
        <f t="shared" si="22"/>
        <v>100.22399999999999</v>
      </c>
      <c r="Q422" s="5">
        <v>0</v>
      </c>
      <c r="R422" s="5"/>
      <c r="S422" s="5">
        <f t="shared" si="23"/>
        <v>657.02399999999989</v>
      </c>
      <c r="T422" s="1" t="s">
        <v>726</v>
      </c>
      <c r="U422" s="1" t="s">
        <v>726</v>
      </c>
      <c r="V422" s="1" t="s">
        <v>358</v>
      </c>
      <c r="W422" s="1" t="s">
        <v>2137</v>
      </c>
      <c r="X422" s="1"/>
      <c r="Y422" s="1"/>
      <c r="Z422" s="21" t="s">
        <v>688</v>
      </c>
      <c r="AA422" s="8"/>
      <c r="AB422" s="8"/>
      <c r="AC422" s="22"/>
      <c r="AD422" s="1"/>
      <c r="AE422" s="29" t="s">
        <v>913</v>
      </c>
      <c r="AF422" s="1"/>
      <c r="AG422" s="50"/>
    </row>
    <row r="423" spans="1:33" s="51" customFormat="1" x14ac:dyDescent="0.25">
      <c r="A423" s="4"/>
      <c r="B423" s="4">
        <v>45779</v>
      </c>
      <c r="C423" s="1" t="s">
        <v>1991</v>
      </c>
      <c r="D423" s="224" t="s">
        <v>3492</v>
      </c>
      <c r="E423" s="1" t="s">
        <v>2139</v>
      </c>
      <c r="F423" s="102" t="s">
        <v>914</v>
      </c>
      <c r="G423" s="1" t="s">
        <v>914</v>
      </c>
      <c r="H423" s="8">
        <v>3</v>
      </c>
      <c r="I423" s="8"/>
      <c r="J423" s="115">
        <f>Table224[[#This Row],[Qty]]-Table224[[#This Row],[Issue Qty]]</f>
        <v>3</v>
      </c>
      <c r="K423" s="195"/>
      <c r="L423" s="195" t="s">
        <v>3480</v>
      </c>
      <c r="M423" s="5">
        <v>196.58</v>
      </c>
      <c r="N423" s="5">
        <f t="shared" si="21"/>
        <v>589.74</v>
      </c>
      <c r="O423" s="82">
        <v>0.05</v>
      </c>
      <c r="P423" s="9">
        <f t="shared" si="22"/>
        <v>29.487000000000002</v>
      </c>
      <c r="Q423" s="5">
        <v>0</v>
      </c>
      <c r="R423" s="5"/>
      <c r="S423" s="5">
        <f t="shared" si="23"/>
        <v>619.22699999999998</v>
      </c>
      <c r="T423" s="1" t="s">
        <v>907</v>
      </c>
      <c r="U423" s="1" t="s">
        <v>907</v>
      </c>
      <c r="V423" s="1" t="s">
        <v>691</v>
      </c>
      <c r="W423" s="1" t="s">
        <v>2140</v>
      </c>
      <c r="X423" s="1"/>
      <c r="Y423" s="26"/>
      <c r="Z423" s="21" t="s">
        <v>72</v>
      </c>
      <c r="AA423" s="21" t="s">
        <v>262</v>
      </c>
      <c r="AB423" s="21"/>
      <c r="AC423" s="12" t="s">
        <v>3549</v>
      </c>
      <c r="AD423" s="26"/>
      <c r="AE423" s="29" t="s">
        <v>914</v>
      </c>
      <c r="AF423" s="26"/>
      <c r="AG423" s="50"/>
    </row>
    <row r="424" spans="1:33" s="51" customFormat="1" ht="30" x14ac:dyDescent="0.25">
      <c r="A424" s="4"/>
      <c r="B424" s="4">
        <v>45779</v>
      </c>
      <c r="C424" s="1" t="s">
        <v>2003</v>
      </c>
      <c r="D424" s="224" t="s">
        <v>3499</v>
      </c>
      <c r="E424" s="1" t="s">
        <v>2141</v>
      </c>
      <c r="F424" s="102" t="s">
        <v>915</v>
      </c>
      <c r="G424" s="1" t="s">
        <v>915</v>
      </c>
      <c r="H424" s="8">
        <v>2</v>
      </c>
      <c r="I424" s="8"/>
      <c r="J424" s="115">
        <f>Table224[[#This Row],[Qty]]-Table224[[#This Row],[Issue Qty]]</f>
        <v>2</v>
      </c>
      <c r="K424" s="195"/>
      <c r="L424" s="195" t="s">
        <v>3480</v>
      </c>
      <c r="M424" s="5">
        <v>318.13499999999999</v>
      </c>
      <c r="N424" s="5">
        <f t="shared" si="21"/>
        <v>636.27</v>
      </c>
      <c r="O424" s="82">
        <v>0.18</v>
      </c>
      <c r="P424" s="9">
        <f t="shared" si="22"/>
        <v>114.5286</v>
      </c>
      <c r="Q424" s="5">
        <v>0</v>
      </c>
      <c r="R424" s="5"/>
      <c r="S424" s="5">
        <f t="shared" si="23"/>
        <v>750.79859999999996</v>
      </c>
      <c r="T424" s="1" t="s">
        <v>907</v>
      </c>
      <c r="U424" s="1" t="s">
        <v>907</v>
      </c>
      <c r="V424" s="1" t="s">
        <v>691</v>
      </c>
      <c r="W424" s="1" t="s">
        <v>2140</v>
      </c>
      <c r="X424" s="1"/>
      <c r="Y424" s="1"/>
      <c r="Z424" s="21" t="s">
        <v>48</v>
      </c>
      <c r="AA424" s="8"/>
      <c r="AB424" s="8"/>
      <c r="AC424" s="22"/>
      <c r="AD424" s="1"/>
      <c r="AE424" s="29" t="s">
        <v>916</v>
      </c>
      <c r="AF424" s="1"/>
      <c r="AG424" s="50"/>
    </row>
    <row r="425" spans="1:33" s="51" customFormat="1" ht="45" x14ac:dyDescent="0.25">
      <c r="A425" s="4"/>
      <c r="B425" s="4">
        <v>45779</v>
      </c>
      <c r="C425" s="1" t="s">
        <v>1991</v>
      </c>
      <c r="D425" s="224" t="s">
        <v>3492</v>
      </c>
      <c r="E425" s="1" t="s">
        <v>2142</v>
      </c>
      <c r="F425" s="102" t="s">
        <v>917</v>
      </c>
      <c r="G425" s="1" t="s">
        <v>917</v>
      </c>
      <c r="H425" s="8">
        <v>2</v>
      </c>
      <c r="I425" s="8"/>
      <c r="J425" s="115">
        <f>Table224[[#This Row],[Qty]]-Table224[[#This Row],[Issue Qty]]</f>
        <v>2</v>
      </c>
      <c r="K425" s="195"/>
      <c r="L425" s="195" t="s">
        <v>3480</v>
      </c>
      <c r="M425" s="5">
        <f>14635.29/2</f>
        <v>7317.6450000000004</v>
      </c>
      <c r="N425" s="5">
        <f t="shared" si="21"/>
        <v>14635.29</v>
      </c>
      <c r="O425" s="82">
        <v>0</v>
      </c>
      <c r="P425" s="9">
        <f t="shared" si="22"/>
        <v>0</v>
      </c>
      <c r="Q425" s="5">
        <v>0</v>
      </c>
      <c r="R425" s="5"/>
      <c r="S425" s="5">
        <f t="shared" si="23"/>
        <v>14635.29</v>
      </c>
      <c r="T425" s="1" t="s">
        <v>890</v>
      </c>
      <c r="U425" s="1" t="s">
        <v>890</v>
      </c>
      <c r="V425" s="1" t="s">
        <v>918</v>
      </c>
      <c r="W425" s="1" t="s">
        <v>2143</v>
      </c>
      <c r="X425" s="1"/>
      <c r="Y425" s="26"/>
      <c r="Z425" s="21" t="s">
        <v>89</v>
      </c>
      <c r="AA425" s="204" t="s">
        <v>3563</v>
      </c>
      <c r="AB425" s="21"/>
      <c r="AC425" s="12"/>
      <c r="AD425" s="26"/>
      <c r="AE425" s="29" t="s">
        <v>919</v>
      </c>
      <c r="AF425" s="26"/>
      <c r="AG425" s="50"/>
    </row>
    <row r="426" spans="1:33" s="51" customFormat="1" ht="30" x14ac:dyDescent="0.25">
      <c r="A426" s="4"/>
      <c r="B426" s="4">
        <v>45779</v>
      </c>
      <c r="C426" s="1" t="s">
        <v>1991</v>
      </c>
      <c r="D426" s="224" t="s">
        <v>3464</v>
      </c>
      <c r="E426" s="1" t="s">
        <v>2144</v>
      </c>
      <c r="F426" s="102" t="s">
        <v>920</v>
      </c>
      <c r="G426" s="1" t="s">
        <v>920</v>
      </c>
      <c r="H426" s="8">
        <v>1</v>
      </c>
      <c r="I426" s="8"/>
      <c r="J426" s="115">
        <f>Table224[[#This Row],[Qty]]-Table224[[#This Row],[Issue Qty]]</f>
        <v>1</v>
      </c>
      <c r="K426" s="195"/>
      <c r="L426" s="195" t="s">
        <v>3480</v>
      </c>
      <c r="M426" s="5">
        <v>14285.49</v>
      </c>
      <c r="N426" s="5">
        <f t="shared" si="21"/>
        <v>14285.49</v>
      </c>
      <c r="O426" s="82">
        <v>0</v>
      </c>
      <c r="P426" s="9">
        <f t="shared" si="22"/>
        <v>0</v>
      </c>
      <c r="Q426" s="5">
        <v>0</v>
      </c>
      <c r="R426" s="5"/>
      <c r="S426" s="5">
        <f t="shared" si="23"/>
        <v>14285.49</v>
      </c>
      <c r="T426" s="1" t="s">
        <v>890</v>
      </c>
      <c r="U426" s="1" t="s">
        <v>890</v>
      </c>
      <c r="V426" s="1" t="s">
        <v>918</v>
      </c>
      <c r="W426" s="1" t="s">
        <v>2143</v>
      </c>
      <c r="X426" s="1"/>
      <c r="Y426" s="26"/>
      <c r="Z426" s="21" t="s">
        <v>89</v>
      </c>
      <c r="AA426" s="204"/>
      <c r="AB426" s="21"/>
      <c r="AC426" s="12"/>
      <c r="AD426" s="26"/>
      <c r="AE426" s="29" t="s">
        <v>921</v>
      </c>
      <c r="AF426" s="26"/>
      <c r="AG426" s="50"/>
    </row>
    <row r="427" spans="1:33" s="51" customFormat="1" x14ac:dyDescent="0.25">
      <c r="A427" s="4"/>
      <c r="B427" s="4">
        <v>45779</v>
      </c>
      <c r="C427" s="6" t="s">
        <v>1683</v>
      </c>
      <c r="D427" s="224" t="s">
        <v>3488</v>
      </c>
      <c r="E427" s="1" t="s">
        <v>2145</v>
      </c>
      <c r="F427" s="236" t="s">
        <v>922</v>
      </c>
      <c r="G427" s="1" t="s">
        <v>922</v>
      </c>
      <c r="H427" s="8">
        <v>100</v>
      </c>
      <c r="I427" s="8">
        <v>3</v>
      </c>
      <c r="J427" s="115">
        <f>Table224[[#This Row],[Qty]]-Table224[[#This Row],[Issue Qty]]</f>
        <v>97</v>
      </c>
      <c r="K427" s="332">
        <v>3</v>
      </c>
      <c r="L427" s="195" t="s">
        <v>3480</v>
      </c>
      <c r="M427" s="5">
        <v>11.0169</v>
      </c>
      <c r="N427" s="5">
        <f t="shared" si="21"/>
        <v>1101.69</v>
      </c>
      <c r="O427" s="82">
        <v>0.18</v>
      </c>
      <c r="P427" s="9">
        <f t="shared" si="22"/>
        <v>198.30420000000001</v>
      </c>
      <c r="Q427" s="5">
        <v>0</v>
      </c>
      <c r="R427" s="5"/>
      <c r="S427" s="5">
        <f t="shared" si="23"/>
        <v>1299.9942000000001</v>
      </c>
      <c r="T427" s="1" t="s">
        <v>726</v>
      </c>
      <c r="U427" s="1" t="s">
        <v>726</v>
      </c>
      <c r="V427" s="1" t="s">
        <v>691</v>
      </c>
      <c r="W427" s="1" t="s">
        <v>2146</v>
      </c>
      <c r="X427" s="1"/>
      <c r="Y427" s="1"/>
      <c r="Z427" s="21" t="s">
        <v>638</v>
      </c>
      <c r="AA427" s="21" t="s">
        <v>1960</v>
      </c>
      <c r="AB427" s="8">
        <v>3</v>
      </c>
      <c r="AC427" s="22" t="s">
        <v>3471</v>
      </c>
      <c r="AD427" s="1"/>
      <c r="AE427" s="29" t="s">
        <v>923</v>
      </c>
      <c r="AF427" s="1"/>
      <c r="AG427" s="50"/>
    </row>
    <row r="428" spans="1:33" s="51" customFormat="1" x14ac:dyDescent="0.25">
      <c r="A428" s="4"/>
      <c r="B428" s="4">
        <v>45779</v>
      </c>
      <c r="C428" s="1" t="s">
        <v>1991</v>
      </c>
      <c r="D428" s="224" t="s">
        <v>3559</v>
      </c>
      <c r="E428" s="1" t="s">
        <v>2147</v>
      </c>
      <c r="F428" s="102" t="s">
        <v>924</v>
      </c>
      <c r="G428" s="1" t="s">
        <v>924</v>
      </c>
      <c r="H428" s="8">
        <v>1</v>
      </c>
      <c r="I428" s="8"/>
      <c r="J428" s="115">
        <f>Table224[[#This Row],[Qty]]-Table224[[#This Row],[Issue Qty]]</f>
        <v>1</v>
      </c>
      <c r="K428" s="195"/>
      <c r="L428" s="195" t="s">
        <v>3480</v>
      </c>
      <c r="M428" s="5">
        <v>23784.41</v>
      </c>
      <c r="N428" s="5">
        <f t="shared" si="21"/>
        <v>23784.41</v>
      </c>
      <c r="O428" s="82">
        <v>0</v>
      </c>
      <c r="P428" s="9">
        <f t="shared" si="22"/>
        <v>0</v>
      </c>
      <c r="Q428" s="5">
        <v>0</v>
      </c>
      <c r="R428" s="5"/>
      <c r="S428" s="5">
        <f t="shared" si="23"/>
        <v>23784.41</v>
      </c>
      <c r="T428" s="1" t="s">
        <v>890</v>
      </c>
      <c r="U428" s="1" t="s">
        <v>890</v>
      </c>
      <c r="V428" s="1" t="s">
        <v>918</v>
      </c>
      <c r="W428" s="1" t="s">
        <v>2143</v>
      </c>
      <c r="X428" s="1"/>
      <c r="Y428" s="26"/>
      <c r="Z428" s="21" t="s">
        <v>89</v>
      </c>
      <c r="AA428" s="204" t="s">
        <v>3563</v>
      </c>
      <c r="AB428" s="21"/>
      <c r="AC428" s="12"/>
      <c r="AD428" s="26"/>
      <c r="AE428" s="29" t="s">
        <v>925</v>
      </c>
      <c r="AF428" s="26"/>
      <c r="AG428" s="50"/>
    </row>
    <row r="429" spans="1:33" s="51" customFormat="1" x14ac:dyDescent="0.25">
      <c r="A429" s="4"/>
      <c r="B429" s="4">
        <v>45779</v>
      </c>
      <c r="C429" s="1" t="s">
        <v>1991</v>
      </c>
      <c r="D429" s="224" t="s">
        <v>3533</v>
      </c>
      <c r="E429" s="1" t="s">
        <v>2148</v>
      </c>
      <c r="F429" s="102" t="s">
        <v>926</v>
      </c>
      <c r="G429" s="1" t="s">
        <v>926</v>
      </c>
      <c r="H429" s="8">
        <v>1</v>
      </c>
      <c r="I429" s="8"/>
      <c r="J429" s="115">
        <f>Table224[[#This Row],[Qty]]-Table224[[#This Row],[Issue Qty]]</f>
        <v>1</v>
      </c>
      <c r="K429" s="195"/>
      <c r="L429" s="195" t="s">
        <v>3480</v>
      </c>
      <c r="M429" s="5">
        <v>9147.2900000000009</v>
      </c>
      <c r="N429" s="5">
        <f t="shared" si="21"/>
        <v>9147.2900000000009</v>
      </c>
      <c r="O429" s="82">
        <v>0</v>
      </c>
      <c r="P429" s="9">
        <f t="shared" si="22"/>
        <v>0</v>
      </c>
      <c r="Q429" s="5">
        <v>0</v>
      </c>
      <c r="R429" s="5"/>
      <c r="S429" s="5">
        <f t="shared" si="23"/>
        <v>9147.2900000000009</v>
      </c>
      <c r="T429" s="1" t="s">
        <v>890</v>
      </c>
      <c r="U429" s="1" t="s">
        <v>890</v>
      </c>
      <c r="V429" s="1" t="s">
        <v>918</v>
      </c>
      <c r="W429" s="1" t="s">
        <v>2143</v>
      </c>
      <c r="X429" s="1"/>
      <c r="Y429" s="26"/>
      <c r="Z429" s="21" t="s">
        <v>89</v>
      </c>
      <c r="AA429" s="204" t="s">
        <v>3563</v>
      </c>
      <c r="AB429" s="21"/>
      <c r="AC429" s="12"/>
      <c r="AD429" s="26"/>
      <c r="AE429" s="29" t="s">
        <v>927</v>
      </c>
      <c r="AF429" s="26"/>
      <c r="AG429" s="50"/>
    </row>
    <row r="430" spans="1:33" s="51" customFormat="1" x14ac:dyDescent="0.25">
      <c r="A430" s="4"/>
      <c r="B430" s="4">
        <v>45779</v>
      </c>
      <c r="C430" s="1" t="s">
        <v>1991</v>
      </c>
      <c r="D430" s="224" t="s">
        <v>3533</v>
      </c>
      <c r="E430" s="1" t="s">
        <v>2149</v>
      </c>
      <c r="F430" s="102" t="s">
        <v>928</v>
      </c>
      <c r="G430" s="1" t="s">
        <v>928</v>
      </c>
      <c r="H430" s="8">
        <v>1</v>
      </c>
      <c r="I430" s="8"/>
      <c r="J430" s="115">
        <f>Table224[[#This Row],[Qty]]-Table224[[#This Row],[Issue Qty]]</f>
        <v>1</v>
      </c>
      <c r="K430" s="195"/>
      <c r="L430" s="195" t="s">
        <v>3480</v>
      </c>
      <c r="M430" s="5">
        <v>214981.79</v>
      </c>
      <c r="N430" s="5">
        <f t="shared" si="21"/>
        <v>214981.79</v>
      </c>
      <c r="O430" s="82">
        <v>0</v>
      </c>
      <c r="P430" s="9">
        <f t="shared" si="22"/>
        <v>0</v>
      </c>
      <c r="Q430" s="5">
        <v>0</v>
      </c>
      <c r="R430" s="5"/>
      <c r="S430" s="5">
        <f t="shared" si="23"/>
        <v>214981.79</v>
      </c>
      <c r="T430" s="1" t="s">
        <v>890</v>
      </c>
      <c r="U430" s="1" t="s">
        <v>890</v>
      </c>
      <c r="V430" s="1" t="s">
        <v>918</v>
      </c>
      <c r="W430" s="1" t="s">
        <v>2143</v>
      </c>
      <c r="X430" s="1"/>
      <c r="Y430" s="26"/>
      <c r="Z430" s="21" t="s">
        <v>89</v>
      </c>
      <c r="AA430" s="204" t="s">
        <v>3563</v>
      </c>
      <c r="AB430" s="21"/>
      <c r="AC430" s="12"/>
      <c r="AD430" s="26"/>
      <c r="AE430" s="29" t="s">
        <v>929</v>
      </c>
      <c r="AF430" s="26"/>
      <c r="AG430" s="50"/>
    </row>
    <row r="431" spans="1:33" s="51" customFormat="1" ht="30" x14ac:dyDescent="0.25">
      <c r="A431" s="4"/>
      <c r="B431" s="4">
        <v>45779</v>
      </c>
      <c r="C431" s="1" t="s">
        <v>1991</v>
      </c>
      <c r="D431" s="224" t="s">
        <v>3463</v>
      </c>
      <c r="E431" s="1" t="s">
        <v>2150</v>
      </c>
      <c r="F431" s="102" t="s">
        <v>930</v>
      </c>
      <c r="G431" s="1" t="s">
        <v>930</v>
      </c>
      <c r="H431" s="8">
        <v>2</v>
      </c>
      <c r="I431" s="8">
        <v>0</v>
      </c>
      <c r="J431" s="115">
        <f>Table224[[#This Row],[Qty]]-Table224[[#This Row],[Issue Qty]]</f>
        <v>2</v>
      </c>
      <c r="K431" s="195"/>
      <c r="L431" s="195" t="s">
        <v>3480</v>
      </c>
      <c r="M431" s="5">
        <f>36590.97/2</f>
        <v>18295.485000000001</v>
      </c>
      <c r="N431" s="5">
        <f t="shared" si="21"/>
        <v>36590.97</v>
      </c>
      <c r="O431" s="82">
        <v>0</v>
      </c>
      <c r="P431" s="9">
        <f t="shared" si="22"/>
        <v>0</v>
      </c>
      <c r="Q431" s="5">
        <v>0</v>
      </c>
      <c r="R431" s="5"/>
      <c r="S431" s="5">
        <f t="shared" si="23"/>
        <v>36590.97</v>
      </c>
      <c r="T431" s="1" t="s">
        <v>890</v>
      </c>
      <c r="U431" s="1" t="s">
        <v>890</v>
      </c>
      <c r="V431" s="1" t="s">
        <v>918</v>
      </c>
      <c r="W431" s="1" t="s">
        <v>2143</v>
      </c>
      <c r="X431" s="1"/>
      <c r="Y431" s="26"/>
      <c r="Z431" s="21" t="s">
        <v>89</v>
      </c>
      <c r="AA431" s="204" t="s">
        <v>3563</v>
      </c>
      <c r="AB431" s="21"/>
      <c r="AC431" s="12" t="s">
        <v>3565</v>
      </c>
      <c r="AD431" s="26"/>
      <c r="AE431" s="29" t="s">
        <v>931</v>
      </c>
      <c r="AF431" s="26"/>
      <c r="AG431" s="50"/>
    </row>
    <row r="432" spans="1:33" s="51" customFormat="1" ht="30" x14ac:dyDescent="0.25">
      <c r="A432" s="4"/>
      <c r="B432" s="4">
        <v>45779</v>
      </c>
      <c r="C432" s="1" t="s">
        <v>1991</v>
      </c>
      <c r="D432" s="224" t="s">
        <v>3487</v>
      </c>
      <c r="E432" s="1" t="s">
        <v>2151</v>
      </c>
      <c r="F432" s="102" t="s">
        <v>932</v>
      </c>
      <c r="G432" s="1" t="s">
        <v>932</v>
      </c>
      <c r="H432" s="8">
        <v>1</v>
      </c>
      <c r="I432" s="8"/>
      <c r="J432" s="115">
        <f>Table224[[#This Row],[Qty]]-Table224[[#This Row],[Issue Qty]]</f>
        <v>1</v>
      </c>
      <c r="K432" s="195"/>
      <c r="L432" s="195" t="s">
        <v>3480</v>
      </c>
      <c r="M432" s="5">
        <v>9556.77</v>
      </c>
      <c r="N432" s="5">
        <f t="shared" si="21"/>
        <v>9556.77</v>
      </c>
      <c r="O432" s="82">
        <v>0</v>
      </c>
      <c r="P432" s="9">
        <f t="shared" si="22"/>
        <v>0</v>
      </c>
      <c r="Q432" s="5">
        <v>0</v>
      </c>
      <c r="R432" s="5"/>
      <c r="S432" s="5">
        <f t="shared" si="23"/>
        <v>9556.77</v>
      </c>
      <c r="T432" s="1" t="s">
        <v>890</v>
      </c>
      <c r="U432" s="1" t="s">
        <v>890</v>
      </c>
      <c r="V432" s="1" t="s">
        <v>918</v>
      </c>
      <c r="W432" s="1" t="s">
        <v>2143</v>
      </c>
      <c r="X432" s="1"/>
      <c r="Y432" s="26"/>
      <c r="Z432" s="21" t="s">
        <v>89</v>
      </c>
      <c r="AA432" s="204"/>
      <c r="AB432" s="21"/>
      <c r="AC432" s="12"/>
      <c r="AD432" s="26"/>
      <c r="AE432" s="29" t="s">
        <v>933</v>
      </c>
      <c r="AF432" s="26"/>
      <c r="AG432" s="50"/>
    </row>
    <row r="433" spans="1:33" s="51" customFormat="1" x14ac:dyDescent="0.25">
      <c r="A433" s="4"/>
      <c r="B433" s="4">
        <v>45779</v>
      </c>
      <c r="C433" s="1" t="s">
        <v>54</v>
      </c>
      <c r="D433" s="224" t="s">
        <v>3489</v>
      </c>
      <c r="E433" s="1" t="s">
        <v>2152</v>
      </c>
      <c r="F433" s="102" t="s">
        <v>934</v>
      </c>
      <c r="G433" s="1" t="s">
        <v>934</v>
      </c>
      <c r="H433" s="8">
        <v>2</v>
      </c>
      <c r="I433" s="8"/>
      <c r="J433" s="115">
        <f>Table224[[#This Row],[Qty]]-Table224[[#This Row],[Issue Qty]]</f>
        <v>2</v>
      </c>
      <c r="K433" s="195"/>
      <c r="L433" s="195" t="s">
        <v>3480</v>
      </c>
      <c r="M433" s="5">
        <v>1345.115</v>
      </c>
      <c r="N433" s="5">
        <f t="shared" si="21"/>
        <v>2690.23</v>
      </c>
      <c r="O433" s="82">
        <v>0.05</v>
      </c>
      <c r="P433" s="9">
        <f t="shared" si="22"/>
        <v>134.51150000000001</v>
      </c>
      <c r="Q433" s="5">
        <v>225.75</v>
      </c>
      <c r="R433" s="5"/>
      <c r="S433" s="5">
        <f t="shared" si="23"/>
        <v>3050.4915000000001</v>
      </c>
      <c r="T433" s="1" t="s">
        <v>907</v>
      </c>
      <c r="U433" s="1" t="s">
        <v>907</v>
      </c>
      <c r="V433" s="1" t="s">
        <v>691</v>
      </c>
      <c r="W433" s="1" t="s">
        <v>2140</v>
      </c>
      <c r="X433" s="1"/>
      <c r="Y433" s="1"/>
      <c r="Z433" s="21" t="s">
        <v>33</v>
      </c>
      <c r="AA433" s="8" t="s">
        <v>1963</v>
      </c>
      <c r="AB433" s="8"/>
      <c r="AC433" s="22"/>
      <c r="AD433" s="1"/>
      <c r="AE433" s="29" t="s">
        <v>935</v>
      </c>
      <c r="AF433" s="1"/>
      <c r="AG433" s="50"/>
    </row>
    <row r="434" spans="1:33" s="51" customFormat="1" x14ac:dyDescent="0.25">
      <c r="A434" s="4"/>
      <c r="B434" s="4">
        <v>45779</v>
      </c>
      <c r="C434" s="1" t="s">
        <v>54</v>
      </c>
      <c r="D434" s="224" t="s">
        <v>3489</v>
      </c>
      <c r="E434" s="1" t="s">
        <v>2152</v>
      </c>
      <c r="F434" s="102" t="s">
        <v>934</v>
      </c>
      <c r="G434" s="1" t="s">
        <v>934</v>
      </c>
      <c r="H434" s="8">
        <v>4</v>
      </c>
      <c r="I434" s="8">
        <v>4</v>
      </c>
      <c r="J434" s="115">
        <f>Table224[[#This Row],[Qty]]-Table224[[#This Row],[Issue Qty]]</f>
        <v>0</v>
      </c>
      <c r="K434" s="195"/>
      <c r="L434" s="195" t="s">
        <v>3480</v>
      </c>
      <c r="M434" s="5">
        <v>1345.115</v>
      </c>
      <c r="N434" s="5">
        <f t="shared" si="21"/>
        <v>5380.46</v>
      </c>
      <c r="O434" s="82">
        <v>0.05</v>
      </c>
      <c r="P434" s="9">
        <f t="shared" si="22"/>
        <v>269.02300000000002</v>
      </c>
      <c r="Q434" s="5">
        <v>225.75</v>
      </c>
      <c r="R434" s="5"/>
      <c r="S434" s="5">
        <f t="shared" si="23"/>
        <v>5875.2330000000002</v>
      </c>
      <c r="T434" s="1" t="s">
        <v>907</v>
      </c>
      <c r="U434" s="1" t="s">
        <v>907</v>
      </c>
      <c r="V434" s="1" t="s">
        <v>691</v>
      </c>
      <c r="W434" s="1" t="s">
        <v>2140</v>
      </c>
      <c r="X434" s="1"/>
      <c r="Y434" s="26"/>
      <c r="Z434" s="21"/>
      <c r="AA434" s="204"/>
      <c r="AB434" s="21">
        <v>4</v>
      </c>
      <c r="AC434" s="12" t="s">
        <v>2912</v>
      </c>
      <c r="AD434" s="26"/>
      <c r="AE434" s="29" t="s">
        <v>935</v>
      </c>
      <c r="AF434" s="26"/>
      <c r="AG434" s="50"/>
    </row>
    <row r="435" spans="1:33" s="51" customFormat="1" x14ac:dyDescent="0.25">
      <c r="A435" s="4"/>
      <c r="B435" s="4">
        <v>45780</v>
      </c>
      <c r="C435" s="1" t="s">
        <v>54</v>
      </c>
      <c r="D435" s="224" t="s">
        <v>3500</v>
      </c>
      <c r="E435" s="1" t="s">
        <v>2153</v>
      </c>
      <c r="F435" s="232" t="s">
        <v>937</v>
      </c>
      <c r="G435" s="1" t="s">
        <v>938</v>
      </c>
      <c r="H435" s="8">
        <v>2</v>
      </c>
      <c r="I435" s="8">
        <v>2</v>
      </c>
      <c r="J435" s="115">
        <f>Table224[[#This Row],[Qty]]-Table224[[#This Row],[Issue Qty]]</f>
        <v>0</v>
      </c>
      <c r="K435" s="195"/>
      <c r="L435" s="195" t="s">
        <v>3480</v>
      </c>
      <c r="M435" s="5">
        <v>1670</v>
      </c>
      <c r="N435" s="5">
        <f t="shared" ref="N435:N498" si="24">H435*M435</f>
        <v>3340</v>
      </c>
      <c r="O435" s="82">
        <v>0.05</v>
      </c>
      <c r="P435" s="9">
        <f t="shared" ref="P435:P498" si="25">N435*O435</f>
        <v>167</v>
      </c>
      <c r="Q435" s="5">
        <v>0</v>
      </c>
      <c r="R435" s="5"/>
      <c r="S435" s="5">
        <f t="shared" ref="S435:S498" si="26">N435+P435+Q435+R435</f>
        <v>3507</v>
      </c>
      <c r="T435" s="1" t="s">
        <v>939</v>
      </c>
      <c r="U435" s="1" t="s">
        <v>939</v>
      </c>
      <c r="V435" s="1" t="s">
        <v>444</v>
      </c>
      <c r="W435" s="1" t="s">
        <v>2154</v>
      </c>
      <c r="X435" s="1"/>
      <c r="Y435" s="26"/>
      <c r="Z435" s="21"/>
      <c r="AA435" s="204"/>
      <c r="AB435" s="21">
        <v>2</v>
      </c>
      <c r="AC435" s="12" t="s">
        <v>812</v>
      </c>
      <c r="AD435" s="26"/>
      <c r="AE435" s="29"/>
      <c r="AF435" s="26"/>
      <c r="AG435" s="50"/>
    </row>
    <row r="436" spans="1:33" s="51" customFormat="1" x14ac:dyDescent="0.25">
      <c r="A436" s="4"/>
      <c r="B436" s="4">
        <v>45780</v>
      </c>
      <c r="C436" s="6" t="s">
        <v>1730</v>
      </c>
      <c r="D436" s="224" t="s">
        <v>3625</v>
      </c>
      <c r="E436" s="1" t="s">
        <v>2155</v>
      </c>
      <c r="F436" s="102" t="s">
        <v>942</v>
      </c>
      <c r="G436" s="1" t="s">
        <v>942</v>
      </c>
      <c r="H436" s="8">
        <v>1</v>
      </c>
      <c r="I436" s="8"/>
      <c r="J436" s="115">
        <f>Table224[[#This Row],[Qty]]-Table224[[#This Row],[Issue Qty]]</f>
        <v>1</v>
      </c>
      <c r="K436" s="195"/>
      <c r="L436" s="195" t="s">
        <v>3514</v>
      </c>
      <c r="M436" s="5">
        <f>3*200</f>
        <v>600</v>
      </c>
      <c r="N436" s="5">
        <f t="shared" si="24"/>
        <v>600</v>
      </c>
      <c r="O436" s="82">
        <v>0.18</v>
      </c>
      <c r="P436" s="9">
        <f t="shared" si="25"/>
        <v>108</v>
      </c>
      <c r="Q436" s="5">
        <v>0</v>
      </c>
      <c r="R436" s="5"/>
      <c r="S436" s="5">
        <f t="shared" si="26"/>
        <v>708</v>
      </c>
      <c r="T436" s="1" t="s">
        <v>726</v>
      </c>
      <c r="U436" s="1" t="s">
        <v>726</v>
      </c>
      <c r="V436" s="1" t="s">
        <v>943</v>
      </c>
      <c r="W436" s="1" t="s">
        <v>2156</v>
      </c>
      <c r="X436" s="1"/>
      <c r="Y436" s="1"/>
      <c r="Z436" s="21"/>
      <c r="AA436" s="21" t="s">
        <v>3336</v>
      </c>
      <c r="AB436" s="8"/>
      <c r="AC436" s="22"/>
      <c r="AD436" s="1"/>
      <c r="AE436" s="29" t="s">
        <v>945</v>
      </c>
      <c r="AF436" s="1"/>
      <c r="AG436" s="50"/>
    </row>
    <row r="437" spans="1:33" s="51" customFormat="1" x14ac:dyDescent="0.25">
      <c r="A437" s="4"/>
      <c r="B437" s="4">
        <v>45780</v>
      </c>
      <c r="C437" s="6" t="s">
        <v>1730</v>
      </c>
      <c r="D437" s="224" t="s">
        <v>3625</v>
      </c>
      <c r="E437" s="1" t="s">
        <v>2157</v>
      </c>
      <c r="F437" s="102" t="s">
        <v>946</v>
      </c>
      <c r="G437" s="1" t="s">
        <v>946</v>
      </c>
      <c r="H437" s="8">
        <v>1</v>
      </c>
      <c r="I437" s="8"/>
      <c r="J437" s="115">
        <f>Table224[[#This Row],[Qty]]-Table224[[#This Row],[Issue Qty]]</f>
        <v>1</v>
      </c>
      <c r="K437" s="195"/>
      <c r="L437" s="195" t="s">
        <v>3514</v>
      </c>
      <c r="M437" s="5">
        <f>3.5*200</f>
        <v>700</v>
      </c>
      <c r="N437" s="5">
        <f t="shared" si="24"/>
        <v>700</v>
      </c>
      <c r="O437" s="82">
        <v>0.18</v>
      </c>
      <c r="P437" s="9">
        <f t="shared" si="25"/>
        <v>126</v>
      </c>
      <c r="Q437" s="5">
        <v>0</v>
      </c>
      <c r="R437" s="5"/>
      <c r="S437" s="5">
        <f t="shared" si="26"/>
        <v>826</v>
      </c>
      <c r="T437" s="1" t="s">
        <v>726</v>
      </c>
      <c r="U437" s="1" t="s">
        <v>726</v>
      </c>
      <c r="V437" s="1" t="s">
        <v>943</v>
      </c>
      <c r="W437" s="1" t="s">
        <v>2156</v>
      </c>
      <c r="X437" s="1"/>
      <c r="Y437" s="1"/>
      <c r="Z437" s="21"/>
      <c r="AA437" s="21" t="s">
        <v>3336</v>
      </c>
      <c r="AB437" s="8"/>
      <c r="AC437" s="22"/>
      <c r="AD437" s="1"/>
      <c r="AE437" s="29" t="s">
        <v>945</v>
      </c>
      <c r="AF437" s="1"/>
      <c r="AG437" s="50"/>
    </row>
    <row r="438" spans="1:33" s="51" customFormat="1" x14ac:dyDescent="0.25">
      <c r="A438" s="4"/>
      <c r="B438" s="4">
        <v>45780</v>
      </c>
      <c r="C438" s="6" t="s">
        <v>1683</v>
      </c>
      <c r="D438" s="224" t="s">
        <v>1663</v>
      </c>
      <c r="E438" s="1" t="s">
        <v>2117</v>
      </c>
      <c r="F438" s="102" t="s">
        <v>884</v>
      </c>
      <c r="G438" s="1" t="s">
        <v>884</v>
      </c>
      <c r="H438" s="8">
        <v>70</v>
      </c>
      <c r="I438" s="8"/>
      <c r="J438" s="115">
        <f>Table224[[#This Row],[Qty]]-Table224[[#This Row],[Issue Qty]]</f>
        <v>70</v>
      </c>
      <c r="K438" s="195"/>
      <c r="L438" s="195" t="s">
        <v>3480</v>
      </c>
      <c r="M438" s="5">
        <v>353</v>
      </c>
      <c r="N438" s="5">
        <f t="shared" si="24"/>
        <v>24710</v>
      </c>
      <c r="O438" s="82">
        <v>0.18</v>
      </c>
      <c r="P438" s="9">
        <f t="shared" si="25"/>
        <v>4447.8</v>
      </c>
      <c r="Q438" s="5">
        <v>0.2</v>
      </c>
      <c r="R438" s="5"/>
      <c r="S438" s="5">
        <f t="shared" si="26"/>
        <v>29158</v>
      </c>
      <c r="T438" s="1" t="s">
        <v>726</v>
      </c>
      <c r="U438" s="1" t="s">
        <v>726</v>
      </c>
      <c r="V438" s="1" t="s">
        <v>444</v>
      </c>
      <c r="W438" s="1" t="s">
        <v>2158</v>
      </c>
      <c r="X438" s="1"/>
      <c r="Y438" s="1"/>
      <c r="Z438" s="21" t="s">
        <v>638</v>
      </c>
      <c r="AA438" s="21" t="s">
        <v>1960</v>
      </c>
      <c r="AB438" s="8"/>
      <c r="AC438" s="22"/>
      <c r="AD438" s="1"/>
      <c r="AE438" s="29" t="s">
        <v>887</v>
      </c>
      <c r="AF438" s="1"/>
      <c r="AG438" s="50"/>
    </row>
    <row r="439" spans="1:33" s="51" customFormat="1" x14ac:dyDescent="0.25">
      <c r="A439" s="4"/>
      <c r="B439" s="4">
        <v>45780</v>
      </c>
      <c r="C439" s="1" t="s">
        <v>2003</v>
      </c>
      <c r="D439" s="23" t="s">
        <v>3499</v>
      </c>
      <c r="E439" s="1" t="s">
        <v>2159</v>
      </c>
      <c r="F439" s="102" t="s">
        <v>947</v>
      </c>
      <c r="G439" s="1" t="s">
        <v>948</v>
      </c>
      <c r="H439" s="8">
        <v>1</v>
      </c>
      <c r="I439" s="8"/>
      <c r="J439" s="115">
        <f>Table224[[#This Row],[Qty]]-Table224[[#This Row],[Issue Qty]]</f>
        <v>1</v>
      </c>
      <c r="K439" s="195"/>
      <c r="L439" s="195" t="s">
        <v>3480</v>
      </c>
      <c r="M439" s="5">
        <v>8000</v>
      </c>
      <c r="N439" s="5">
        <f t="shared" si="24"/>
        <v>8000</v>
      </c>
      <c r="O439" s="82">
        <v>0.05</v>
      </c>
      <c r="P439" s="9">
        <f t="shared" si="25"/>
        <v>400</v>
      </c>
      <c r="Q439" s="5">
        <v>0</v>
      </c>
      <c r="R439" s="5"/>
      <c r="S439" s="5">
        <f t="shared" si="26"/>
        <v>8400</v>
      </c>
      <c r="T439" s="1" t="s">
        <v>939</v>
      </c>
      <c r="U439" s="1" t="s">
        <v>939</v>
      </c>
      <c r="V439" s="1" t="s">
        <v>444</v>
      </c>
      <c r="W439" s="1" t="s">
        <v>2154</v>
      </c>
      <c r="X439" s="1"/>
      <c r="Y439" s="1"/>
      <c r="Z439" s="21" t="s">
        <v>44</v>
      </c>
      <c r="AA439" s="8"/>
      <c r="AB439" s="8"/>
      <c r="AC439" s="22"/>
      <c r="AD439" s="1"/>
      <c r="AE439" s="29" t="s">
        <v>948</v>
      </c>
      <c r="AF439" s="1"/>
      <c r="AG439" s="50"/>
    </row>
    <row r="440" spans="1:33" s="51" customFormat="1" x14ac:dyDescent="0.25">
      <c r="A440" s="4"/>
      <c r="B440" s="4">
        <v>45780</v>
      </c>
      <c r="C440" s="1" t="s">
        <v>54</v>
      </c>
      <c r="D440" s="224" t="s">
        <v>3430</v>
      </c>
      <c r="E440" s="26" t="s">
        <v>1946</v>
      </c>
      <c r="F440" s="233" t="s">
        <v>610</v>
      </c>
      <c r="G440" s="1" t="s">
        <v>940</v>
      </c>
      <c r="H440" s="8">
        <v>3</v>
      </c>
      <c r="I440" s="8">
        <v>3</v>
      </c>
      <c r="J440" s="115">
        <f>Table224[[#This Row],[Qty]]-Table224[[#This Row],[Issue Qty]]</f>
        <v>0</v>
      </c>
      <c r="K440" s="195"/>
      <c r="L440" s="195" t="s">
        <v>3480</v>
      </c>
      <c r="M440" s="5">
        <v>2500</v>
      </c>
      <c r="N440" s="5">
        <f t="shared" si="24"/>
        <v>7500</v>
      </c>
      <c r="O440" s="82">
        <v>0.05</v>
      </c>
      <c r="P440" s="9">
        <f t="shared" si="25"/>
        <v>375</v>
      </c>
      <c r="Q440" s="5">
        <v>0</v>
      </c>
      <c r="R440" s="5"/>
      <c r="S440" s="5">
        <f t="shared" si="26"/>
        <v>7875</v>
      </c>
      <c r="T440" s="1" t="s">
        <v>939</v>
      </c>
      <c r="U440" s="1" t="s">
        <v>939</v>
      </c>
      <c r="V440" s="1" t="s">
        <v>444</v>
      </c>
      <c r="W440" s="1" t="s">
        <v>2154</v>
      </c>
      <c r="X440" s="1"/>
      <c r="Y440" s="1"/>
      <c r="Z440" s="21" t="s">
        <v>33</v>
      </c>
      <c r="AA440" s="8"/>
      <c r="AB440" s="8">
        <v>3</v>
      </c>
      <c r="AC440" s="12" t="s">
        <v>509</v>
      </c>
      <c r="AD440" s="1"/>
      <c r="AE440" s="29"/>
      <c r="AF440" s="1"/>
      <c r="AG440" s="50"/>
    </row>
    <row r="441" spans="1:33" s="51" customFormat="1" x14ac:dyDescent="0.25">
      <c r="A441" s="4"/>
      <c r="B441" s="4">
        <v>45780</v>
      </c>
      <c r="C441" s="1" t="s">
        <v>54</v>
      </c>
      <c r="D441" s="224" t="s">
        <v>3430</v>
      </c>
      <c r="E441" s="26" t="s">
        <v>1948</v>
      </c>
      <c r="F441" s="233" t="s">
        <v>613</v>
      </c>
      <c r="G441" s="1" t="s">
        <v>941</v>
      </c>
      <c r="H441" s="8">
        <v>3</v>
      </c>
      <c r="I441" s="8">
        <v>3</v>
      </c>
      <c r="J441" s="115">
        <f>Table224[[#This Row],[Qty]]-Table224[[#This Row],[Issue Qty]]</f>
        <v>0</v>
      </c>
      <c r="K441" s="195"/>
      <c r="L441" s="195" t="s">
        <v>3480</v>
      </c>
      <c r="M441" s="5">
        <v>2500</v>
      </c>
      <c r="N441" s="5">
        <f t="shared" si="24"/>
        <v>7500</v>
      </c>
      <c r="O441" s="82">
        <v>0.05</v>
      </c>
      <c r="P441" s="9">
        <f t="shared" si="25"/>
        <v>375</v>
      </c>
      <c r="Q441" s="5">
        <v>0</v>
      </c>
      <c r="R441" s="5"/>
      <c r="S441" s="5">
        <f t="shared" si="26"/>
        <v>7875</v>
      </c>
      <c r="T441" s="1" t="s">
        <v>939</v>
      </c>
      <c r="U441" s="1" t="s">
        <v>939</v>
      </c>
      <c r="V441" s="1" t="s">
        <v>444</v>
      </c>
      <c r="W441" s="1" t="s">
        <v>2154</v>
      </c>
      <c r="X441" s="1"/>
      <c r="Y441" s="1"/>
      <c r="Z441" s="21" t="s">
        <v>33</v>
      </c>
      <c r="AA441" s="8"/>
      <c r="AB441" s="8">
        <v>3</v>
      </c>
      <c r="AC441" s="12" t="s">
        <v>509</v>
      </c>
      <c r="AD441" s="1"/>
      <c r="AE441" s="29"/>
      <c r="AF441" s="1"/>
      <c r="AG441" s="50"/>
    </row>
    <row r="442" spans="1:33" s="51" customFormat="1" x14ac:dyDescent="0.25">
      <c r="A442" s="4"/>
      <c r="B442" s="4">
        <v>45783</v>
      </c>
      <c r="C442" s="1" t="s">
        <v>54</v>
      </c>
      <c r="D442" s="224" t="s">
        <v>3596</v>
      </c>
      <c r="E442" s="1" t="s">
        <v>2160</v>
      </c>
      <c r="F442" s="102" t="s">
        <v>949</v>
      </c>
      <c r="G442" s="1" t="s">
        <v>950</v>
      </c>
      <c r="H442" s="8">
        <v>3</v>
      </c>
      <c r="I442" s="8">
        <v>3</v>
      </c>
      <c r="J442" s="115">
        <f>Table224[[#This Row],[Qty]]-Table224[[#This Row],[Issue Qty]]</f>
        <v>0</v>
      </c>
      <c r="K442" s="195"/>
      <c r="L442" s="195" t="s">
        <v>3480</v>
      </c>
      <c r="M442" s="5">
        <v>2465</v>
      </c>
      <c r="N442" s="5">
        <f t="shared" si="24"/>
        <v>7395</v>
      </c>
      <c r="O442" s="82">
        <v>0.18</v>
      </c>
      <c r="P442" s="9">
        <f t="shared" si="25"/>
        <v>1331.1</v>
      </c>
      <c r="Q442" s="5">
        <f>800+27+117</f>
        <v>944</v>
      </c>
      <c r="R442" s="5"/>
      <c r="S442" s="5">
        <f t="shared" si="26"/>
        <v>9670.1</v>
      </c>
      <c r="T442" s="1" t="s">
        <v>907</v>
      </c>
      <c r="U442" s="1" t="s">
        <v>907</v>
      </c>
      <c r="V442" s="1" t="s">
        <v>551</v>
      </c>
      <c r="W442" s="1" t="s">
        <v>2161</v>
      </c>
      <c r="X442" s="1"/>
      <c r="Y442" s="26"/>
      <c r="Z442" s="21"/>
      <c r="AA442" s="204"/>
      <c r="AB442" s="21">
        <v>3</v>
      </c>
      <c r="AC442" s="12" t="s">
        <v>2908</v>
      </c>
      <c r="AD442" s="26"/>
      <c r="AE442" s="29"/>
      <c r="AF442" s="26"/>
      <c r="AG442" s="50"/>
    </row>
    <row r="443" spans="1:33" s="51" customFormat="1" x14ac:dyDescent="0.25">
      <c r="A443" s="4"/>
      <c r="B443" s="4">
        <v>45784</v>
      </c>
      <c r="C443" s="6" t="s">
        <v>1683</v>
      </c>
      <c r="D443" s="224" t="s">
        <v>3487</v>
      </c>
      <c r="E443" s="26" t="s">
        <v>2108</v>
      </c>
      <c r="F443" s="233" t="s">
        <v>873</v>
      </c>
      <c r="G443" s="1" t="s">
        <v>873</v>
      </c>
      <c r="H443" s="8">
        <v>56</v>
      </c>
      <c r="I443" s="8">
        <v>0</v>
      </c>
      <c r="J443" s="115">
        <f>Table224[[#This Row],[Qty]]-Table224[[#This Row],[Issue Qty]]</f>
        <v>56</v>
      </c>
      <c r="K443" s="195"/>
      <c r="L443" s="195" t="s">
        <v>3486</v>
      </c>
      <c r="M443" s="5">
        <v>11.5</v>
      </c>
      <c r="N443" s="5">
        <f t="shared" si="24"/>
        <v>644</v>
      </c>
      <c r="O443" s="82">
        <v>0.18</v>
      </c>
      <c r="P443" s="9">
        <f t="shared" si="25"/>
        <v>115.92</v>
      </c>
      <c r="Q443" s="5">
        <v>0</v>
      </c>
      <c r="R443" s="5"/>
      <c r="S443" s="5">
        <f t="shared" si="26"/>
        <v>759.92</v>
      </c>
      <c r="T443" s="1" t="s">
        <v>606</v>
      </c>
      <c r="U443" s="1" t="s">
        <v>606</v>
      </c>
      <c r="V443" s="1" t="s">
        <v>444</v>
      </c>
      <c r="W443" s="1" t="s">
        <v>2162</v>
      </c>
      <c r="X443" s="1"/>
      <c r="Y443" s="1"/>
      <c r="Z443" s="21" t="s">
        <v>573</v>
      </c>
      <c r="AA443" s="21" t="s">
        <v>1963</v>
      </c>
      <c r="AB443" s="8">
        <v>8</v>
      </c>
      <c r="AC443" s="22" t="s">
        <v>2902</v>
      </c>
      <c r="AD443" s="1"/>
      <c r="AE443" s="29"/>
      <c r="AF443" s="1"/>
      <c r="AG443" s="50"/>
    </row>
    <row r="444" spans="1:33" s="51" customFormat="1" x14ac:dyDescent="0.25">
      <c r="A444" s="4"/>
      <c r="B444" s="4">
        <v>45784</v>
      </c>
      <c r="C444" s="1" t="s">
        <v>54</v>
      </c>
      <c r="D444" s="23" t="s">
        <v>3500</v>
      </c>
      <c r="E444" s="1" t="s">
        <v>2163</v>
      </c>
      <c r="F444" s="102" t="s">
        <v>951</v>
      </c>
      <c r="G444" s="1" t="s">
        <v>952</v>
      </c>
      <c r="H444" s="8">
        <v>4</v>
      </c>
      <c r="I444" s="8">
        <v>4</v>
      </c>
      <c r="J444" s="115">
        <f>Table224[[#This Row],[Qty]]-Table224[[#This Row],[Issue Qty]]</f>
        <v>0</v>
      </c>
      <c r="K444" s="195"/>
      <c r="L444" s="195" t="s">
        <v>3480</v>
      </c>
      <c r="M444" s="5">
        <v>465</v>
      </c>
      <c r="N444" s="5">
        <f t="shared" si="24"/>
        <v>1860</v>
      </c>
      <c r="O444" s="82">
        <v>0.05</v>
      </c>
      <c r="P444" s="9">
        <f t="shared" si="25"/>
        <v>93</v>
      </c>
      <c r="Q444" s="5">
        <v>0</v>
      </c>
      <c r="R444" s="5"/>
      <c r="S444" s="5">
        <f t="shared" si="26"/>
        <v>1953</v>
      </c>
      <c r="T444" s="1" t="s">
        <v>907</v>
      </c>
      <c r="U444" s="1" t="s">
        <v>907</v>
      </c>
      <c r="V444" s="1" t="s">
        <v>444</v>
      </c>
      <c r="W444" s="1" t="s">
        <v>2162</v>
      </c>
      <c r="X444" s="1"/>
      <c r="Y444" s="26"/>
      <c r="Z444" s="21"/>
      <c r="AA444" s="204"/>
      <c r="AB444" s="21">
        <v>4</v>
      </c>
      <c r="AC444" s="12" t="s">
        <v>3815</v>
      </c>
      <c r="AD444" s="26"/>
      <c r="AE444" s="29" t="s">
        <v>953</v>
      </c>
      <c r="AF444" s="26"/>
      <c r="AG444" s="50"/>
    </row>
    <row r="445" spans="1:33" s="51" customFormat="1" x14ac:dyDescent="0.25">
      <c r="A445" s="4"/>
      <c r="B445" s="4">
        <v>45784</v>
      </c>
      <c r="C445" s="1" t="s">
        <v>54</v>
      </c>
      <c r="D445" s="224" t="s">
        <v>3629</v>
      </c>
      <c r="E445" s="1" t="s">
        <v>2164</v>
      </c>
      <c r="F445" s="102" t="s">
        <v>954</v>
      </c>
      <c r="G445" s="1" t="s">
        <v>955</v>
      </c>
      <c r="H445" s="8">
        <v>2</v>
      </c>
      <c r="I445" s="8">
        <v>0</v>
      </c>
      <c r="J445" s="115">
        <f>Table224[[#This Row],[Qty]]-Table224[[#This Row],[Issue Qty]]</f>
        <v>2</v>
      </c>
      <c r="K445" s="195"/>
      <c r="L445" s="195" t="s">
        <v>3480</v>
      </c>
      <c r="M445" s="5">
        <v>850</v>
      </c>
      <c r="N445" s="5">
        <f t="shared" si="24"/>
        <v>1700</v>
      </c>
      <c r="O445" s="82">
        <v>0.18</v>
      </c>
      <c r="P445" s="9">
        <f t="shared" si="25"/>
        <v>306</v>
      </c>
      <c r="Q445" s="5">
        <v>590</v>
      </c>
      <c r="R445" s="5"/>
      <c r="S445" s="5">
        <f t="shared" si="26"/>
        <v>2596</v>
      </c>
      <c r="T445" s="1" t="s">
        <v>907</v>
      </c>
      <c r="U445" s="1" t="s">
        <v>907</v>
      </c>
      <c r="V445" s="1" t="s">
        <v>956</v>
      </c>
      <c r="W445" s="1" t="s">
        <v>2165</v>
      </c>
      <c r="X445" s="1"/>
      <c r="Y445" s="26"/>
      <c r="Z445" s="21"/>
      <c r="AA445" s="204"/>
      <c r="AB445" s="21">
        <v>2</v>
      </c>
      <c r="AC445" s="12" t="s">
        <v>2909</v>
      </c>
      <c r="AD445" s="26"/>
      <c r="AE445" s="29"/>
      <c r="AF445" s="26"/>
      <c r="AG445" s="50"/>
    </row>
    <row r="446" spans="1:33" s="51" customFormat="1" x14ac:dyDescent="0.25">
      <c r="A446" s="4"/>
      <c r="B446" s="4">
        <v>45784</v>
      </c>
      <c r="C446" s="6" t="s">
        <v>1730</v>
      </c>
      <c r="D446" s="224" t="s">
        <v>3495</v>
      </c>
      <c r="E446" s="1" t="s">
        <v>2166</v>
      </c>
      <c r="F446" s="102" t="s">
        <v>957</v>
      </c>
      <c r="G446" s="1" t="s">
        <v>957</v>
      </c>
      <c r="H446" s="8">
        <v>1</v>
      </c>
      <c r="I446" s="8">
        <v>1</v>
      </c>
      <c r="J446" s="115">
        <f>Table224[[#This Row],[Qty]]-Table224[[#This Row],[Issue Qty]]</f>
        <v>0</v>
      </c>
      <c r="K446" s="195"/>
      <c r="L446" s="195" t="s">
        <v>3486</v>
      </c>
      <c r="M446" s="5">
        <v>315</v>
      </c>
      <c r="N446" s="5">
        <f t="shared" si="24"/>
        <v>315</v>
      </c>
      <c r="O446" s="82">
        <v>0.05</v>
      </c>
      <c r="P446" s="9">
        <f t="shared" si="25"/>
        <v>15.75</v>
      </c>
      <c r="Q446" s="5">
        <v>0.37</v>
      </c>
      <c r="R446" s="5"/>
      <c r="S446" s="5">
        <f t="shared" si="26"/>
        <v>331.12</v>
      </c>
      <c r="T446" s="1" t="s">
        <v>907</v>
      </c>
      <c r="U446" s="1" t="s">
        <v>907</v>
      </c>
      <c r="V446" s="1" t="s">
        <v>444</v>
      </c>
      <c r="W446" s="1" t="s">
        <v>2162</v>
      </c>
      <c r="X446" s="1"/>
      <c r="Y446" s="26"/>
      <c r="Z446" s="21" t="s">
        <v>3607</v>
      </c>
      <c r="AA446" s="204"/>
      <c r="AB446" s="21">
        <v>1</v>
      </c>
      <c r="AC446" s="12" t="s">
        <v>936</v>
      </c>
      <c r="AD446" s="26"/>
      <c r="AE446" s="29"/>
      <c r="AF446" s="26"/>
      <c r="AG446" s="50"/>
    </row>
    <row r="447" spans="1:33" s="51" customFormat="1" x14ac:dyDescent="0.25">
      <c r="A447" s="4"/>
      <c r="B447" s="4">
        <v>45785</v>
      </c>
      <c r="C447" s="1" t="s">
        <v>54</v>
      </c>
      <c r="D447" s="224" t="s">
        <v>3494</v>
      </c>
      <c r="E447" s="1" t="s">
        <v>2167</v>
      </c>
      <c r="F447" s="232" t="s">
        <v>958</v>
      </c>
      <c r="G447" s="1" t="s">
        <v>959</v>
      </c>
      <c r="H447" s="8">
        <v>1</v>
      </c>
      <c r="I447" s="8"/>
      <c r="J447" s="115">
        <f>Table224[[#This Row],[Qty]]-Table224[[#This Row],[Issue Qty]]</f>
        <v>1</v>
      </c>
      <c r="K447" s="195"/>
      <c r="L447" s="195" t="s">
        <v>3480</v>
      </c>
      <c r="M447" s="5">
        <v>3943.1</v>
      </c>
      <c r="N447" s="5">
        <f t="shared" si="24"/>
        <v>3943.1</v>
      </c>
      <c r="O447" s="82">
        <v>0.18</v>
      </c>
      <c r="P447" s="9">
        <f t="shared" si="25"/>
        <v>709.75799999999992</v>
      </c>
      <c r="Q447" s="5">
        <v>0</v>
      </c>
      <c r="R447" s="5"/>
      <c r="S447" s="5">
        <f t="shared" si="26"/>
        <v>4652.8580000000002</v>
      </c>
      <c r="T447" s="1" t="s">
        <v>939</v>
      </c>
      <c r="U447" s="1" t="s">
        <v>939</v>
      </c>
      <c r="V447" s="1" t="s">
        <v>358</v>
      </c>
      <c r="W447" s="1" t="s">
        <v>2168</v>
      </c>
      <c r="X447" s="1"/>
      <c r="Y447" s="1"/>
      <c r="Z447" s="21" t="s">
        <v>268</v>
      </c>
      <c r="AA447" s="8" t="s">
        <v>960</v>
      </c>
      <c r="AB447" s="8"/>
      <c r="AC447" s="22"/>
      <c r="AD447" s="1"/>
      <c r="AE447" s="29" t="s">
        <v>961</v>
      </c>
      <c r="AF447" s="1"/>
      <c r="AG447" s="50"/>
    </row>
    <row r="448" spans="1:33" s="51" customFormat="1" x14ac:dyDescent="0.25">
      <c r="A448" s="4"/>
      <c r="B448" s="4">
        <v>45785</v>
      </c>
      <c r="C448" s="6" t="s">
        <v>1683</v>
      </c>
      <c r="D448" s="224" t="s">
        <v>1663</v>
      </c>
      <c r="E448" s="1" t="s">
        <v>2169</v>
      </c>
      <c r="F448" s="102" t="s">
        <v>962</v>
      </c>
      <c r="G448" s="1" t="s">
        <v>962</v>
      </c>
      <c r="H448" s="8">
        <v>2</v>
      </c>
      <c r="I448" s="8">
        <v>2</v>
      </c>
      <c r="J448" s="115">
        <f>Table224[[#This Row],[Qty]]-Table224[[#This Row],[Issue Qty]]</f>
        <v>0</v>
      </c>
      <c r="K448" s="195"/>
      <c r="L448" s="195" t="s">
        <v>3480</v>
      </c>
      <c r="M448" s="5">
        <v>4000</v>
      </c>
      <c r="N448" s="5">
        <f t="shared" si="24"/>
        <v>8000</v>
      </c>
      <c r="O448" s="82">
        <v>0.18</v>
      </c>
      <c r="P448" s="9">
        <f t="shared" si="25"/>
        <v>1440</v>
      </c>
      <c r="Q448" s="5">
        <v>0</v>
      </c>
      <c r="R448" s="5"/>
      <c r="S448" s="5">
        <f t="shared" si="26"/>
        <v>9440</v>
      </c>
      <c r="T448" s="1" t="s">
        <v>890</v>
      </c>
      <c r="U448" s="1" t="s">
        <v>890</v>
      </c>
      <c r="V448" s="1" t="s">
        <v>896</v>
      </c>
      <c r="W448" s="1" t="s">
        <v>2170</v>
      </c>
      <c r="X448" s="1"/>
      <c r="Y448" s="26"/>
      <c r="Z448" s="21"/>
      <c r="AA448" s="204"/>
      <c r="AB448" s="21">
        <v>2</v>
      </c>
      <c r="AC448" s="12" t="s">
        <v>588</v>
      </c>
      <c r="AD448" s="26"/>
      <c r="AE448" s="29" t="s">
        <v>962</v>
      </c>
      <c r="AF448" s="26"/>
      <c r="AG448" s="50"/>
    </row>
    <row r="449" spans="1:33" s="51" customFormat="1" ht="30" x14ac:dyDescent="0.25">
      <c r="A449" s="4"/>
      <c r="B449" s="4">
        <v>45786</v>
      </c>
      <c r="C449" s="6" t="s">
        <v>1683</v>
      </c>
      <c r="D449" s="224" t="s">
        <v>3444</v>
      </c>
      <c r="E449" s="1" t="s">
        <v>2173</v>
      </c>
      <c r="F449" s="102" t="s">
        <v>967</v>
      </c>
      <c r="G449" s="1" t="s">
        <v>967</v>
      </c>
      <c r="H449" s="8">
        <v>3</v>
      </c>
      <c r="I449" s="8">
        <v>3</v>
      </c>
      <c r="J449" s="115">
        <f>Table224[[#This Row],[Qty]]-Table224[[#This Row],[Issue Qty]]</f>
        <v>0</v>
      </c>
      <c r="K449" s="195"/>
      <c r="L449" s="195" t="s">
        <v>3480</v>
      </c>
      <c r="M449" s="5">
        <v>808.57</v>
      </c>
      <c r="N449" s="5">
        <f t="shared" si="24"/>
        <v>2425.71</v>
      </c>
      <c r="O449" s="82">
        <v>0.05</v>
      </c>
      <c r="P449" s="9">
        <f t="shared" si="25"/>
        <v>121.28550000000001</v>
      </c>
      <c r="Q449" s="5">
        <f>169.49+30.51</f>
        <v>200</v>
      </c>
      <c r="R449" s="5"/>
      <c r="S449" s="5">
        <f t="shared" si="26"/>
        <v>2746.9955</v>
      </c>
      <c r="T449" s="1" t="s">
        <v>907</v>
      </c>
      <c r="U449" s="1" t="s">
        <v>907</v>
      </c>
      <c r="V449" s="1" t="s">
        <v>968</v>
      </c>
      <c r="W449" s="1" t="s">
        <v>2174</v>
      </c>
      <c r="X449" s="1"/>
      <c r="Y449" s="26"/>
      <c r="Z449" s="21"/>
      <c r="AA449" s="204"/>
      <c r="AB449" s="21">
        <v>3</v>
      </c>
      <c r="AC449" s="12" t="s">
        <v>2921</v>
      </c>
      <c r="AD449" s="12"/>
      <c r="AE449" s="29"/>
      <c r="AF449" s="26"/>
      <c r="AG449" s="50"/>
    </row>
    <row r="450" spans="1:33" s="51" customFormat="1" x14ac:dyDescent="0.25">
      <c r="A450" s="4"/>
      <c r="B450" s="4">
        <v>45786</v>
      </c>
      <c r="C450" s="1" t="s">
        <v>54</v>
      </c>
      <c r="D450" s="224" t="s">
        <v>3494</v>
      </c>
      <c r="E450" s="1" t="s">
        <v>2083</v>
      </c>
      <c r="F450" s="102" t="s">
        <v>840</v>
      </c>
      <c r="G450" s="1" t="s">
        <v>963</v>
      </c>
      <c r="H450" s="8">
        <v>10</v>
      </c>
      <c r="I450" s="8"/>
      <c r="J450" s="115">
        <f>Table224[[#This Row],[Qty]]-Table224[[#This Row],[Issue Qty]]</f>
        <v>10</v>
      </c>
      <c r="K450" s="195"/>
      <c r="L450" s="195" t="s">
        <v>3480</v>
      </c>
      <c r="M450" s="5">
        <v>1176</v>
      </c>
      <c r="N450" s="5">
        <f t="shared" si="24"/>
        <v>11760</v>
      </c>
      <c r="O450" s="82">
        <v>0.18</v>
      </c>
      <c r="P450" s="9">
        <f t="shared" si="25"/>
        <v>2116.7999999999997</v>
      </c>
      <c r="Q450" s="5">
        <v>0</v>
      </c>
      <c r="R450" s="5"/>
      <c r="S450" s="5">
        <f t="shared" si="26"/>
        <v>13876.8</v>
      </c>
      <c r="T450" s="1" t="s">
        <v>726</v>
      </c>
      <c r="U450" s="1" t="s">
        <v>726</v>
      </c>
      <c r="V450" s="1" t="s">
        <v>358</v>
      </c>
      <c r="W450" s="1" t="s">
        <v>2171</v>
      </c>
      <c r="X450" s="1"/>
      <c r="Y450" s="1"/>
      <c r="Z450" s="21" t="s">
        <v>688</v>
      </c>
      <c r="AA450" s="8"/>
      <c r="AB450" s="8"/>
      <c r="AC450" s="22" t="s">
        <v>3471</v>
      </c>
      <c r="AD450" s="1"/>
      <c r="AE450" s="29" t="s">
        <v>842</v>
      </c>
      <c r="AF450" s="1"/>
      <c r="AG450" s="50"/>
    </row>
    <row r="451" spans="1:33" s="51" customFormat="1" x14ac:dyDescent="0.25">
      <c r="A451" s="4"/>
      <c r="B451" s="4">
        <v>45786</v>
      </c>
      <c r="C451" s="1" t="s">
        <v>1991</v>
      </c>
      <c r="D451" s="224" t="s">
        <v>3502</v>
      </c>
      <c r="E451" s="26" t="s">
        <v>2121</v>
      </c>
      <c r="F451" s="233" t="s">
        <v>891</v>
      </c>
      <c r="G451" s="1" t="s">
        <v>964</v>
      </c>
      <c r="H451" s="8">
        <v>100</v>
      </c>
      <c r="I451" s="8"/>
      <c r="J451" s="115">
        <f>Table224[[#This Row],[Qty]]-Table224[[#This Row],[Issue Qty]]</f>
        <v>100</v>
      </c>
      <c r="K451" s="195"/>
      <c r="L451" s="195" t="s">
        <v>3480</v>
      </c>
      <c r="M451" s="5">
        <v>2413.44</v>
      </c>
      <c r="N451" s="5">
        <f t="shared" si="24"/>
        <v>241344</v>
      </c>
      <c r="O451" s="82">
        <v>0.18</v>
      </c>
      <c r="P451" s="9">
        <f t="shared" si="25"/>
        <v>43441.919999999998</v>
      </c>
      <c r="Q451" s="5">
        <v>0.08</v>
      </c>
      <c r="R451" s="5"/>
      <c r="S451" s="5">
        <f t="shared" si="26"/>
        <v>284786</v>
      </c>
      <c r="T451" s="1" t="s">
        <v>726</v>
      </c>
      <c r="U451" s="1" t="s">
        <v>726</v>
      </c>
      <c r="V451" s="1" t="s">
        <v>893</v>
      </c>
      <c r="W451" s="1" t="s">
        <v>2172</v>
      </c>
      <c r="X451" s="1"/>
      <c r="Y451" s="1"/>
      <c r="Z451" s="21" t="s">
        <v>965</v>
      </c>
      <c r="AA451" s="8"/>
      <c r="AB451" s="8"/>
      <c r="AC451" s="22"/>
      <c r="AD451" s="1"/>
      <c r="AE451" s="29"/>
      <c r="AF451" s="1"/>
      <c r="AG451" s="50"/>
    </row>
    <row r="452" spans="1:33" s="51" customFormat="1" x14ac:dyDescent="0.25">
      <c r="A452" s="4"/>
      <c r="B452" s="4">
        <v>45789</v>
      </c>
      <c r="C452" s="6" t="s">
        <v>1683</v>
      </c>
      <c r="D452" s="224" t="s">
        <v>1663</v>
      </c>
      <c r="E452" s="1" t="s">
        <v>2177</v>
      </c>
      <c r="F452" s="102" t="s">
        <v>971</v>
      </c>
      <c r="G452" s="1" t="s">
        <v>971</v>
      </c>
      <c r="H452" s="8">
        <v>60</v>
      </c>
      <c r="I452" s="8"/>
      <c r="J452" s="115">
        <f>Table224[[#This Row],[Qty]]-Table224[[#This Row],[Issue Qty]]</f>
        <v>60</v>
      </c>
      <c r="K452" s="195"/>
      <c r="L452" s="195" t="s">
        <v>3480</v>
      </c>
      <c r="M452" s="5">
        <v>340</v>
      </c>
      <c r="N452" s="5">
        <f t="shared" si="24"/>
        <v>20400</v>
      </c>
      <c r="O452" s="82">
        <v>0.18</v>
      </c>
      <c r="P452" s="9">
        <f t="shared" si="25"/>
        <v>3672</v>
      </c>
      <c r="Q452" s="5">
        <v>0</v>
      </c>
      <c r="R452" s="5"/>
      <c r="S452" s="5">
        <f t="shared" si="26"/>
        <v>24072</v>
      </c>
      <c r="T452" s="1" t="s">
        <v>726</v>
      </c>
      <c r="U452" s="1" t="s">
        <v>726</v>
      </c>
      <c r="V452" s="1" t="s">
        <v>896</v>
      </c>
      <c r="W452" s="1" t="s">
        <v>2178</v>
      </c>
      <c r="X452" s="1"/>
      <c r="Y452" s="1"/>
      <c r="Z452" s="21" t="s">
        <v>638</v>
      </c>
      <c r="AA452" s="21" t="s">
        <v>1960</v>
      </c>
      <c r="AB452" s="8"/>
      <c r="AC452" s="22"/>
      <c r="AD452" s="1"/>
      <c r="AE452" s="29" t="s">
        <v>971</v>
      </c>
      <c r="AF452" s="1"/>
      <c r="AG452" s="50"/>
    </row>
    <row r="453" spans="1:33" s="51" customFormat="1" x14ac:dyDescent="0.25">
      <c r="A453" s="4"/>
      <c r="B453" s="4">
        <v>45789</v>
      </c>
      <c r="C453" s="6" t="s">
        <v>1683</v>
      </c>
      <c r="D453" s="224" t="s">
        <v>3487</v>
      </c>
      <c r="E453" s="1" t="s">
        <v>2179</v>
      </c>
      <c r="F453" s="102" t="s">
        <v>972</v>
      </c>
      <c r="G453" s="1" t="s">
        <v>973</v>
      </c>
      <c r="H453" s="8">
        <v>2</v>
      </c>
      <c r="I453" s="8">
        <v>2</v>
      </c>
      <c r="J453" s="115">
        <f>Table224[[#This Row],[Qty]]-Table224[[#This Row],[Issue Qty]]</f>
        <v>0</v>
      </c>
      <c r="K453" s="195"/>
      <c r="L453" s="195" t="s">
        <v>3480</v>
      </c>
      <c r="M453" s="5">
        <v>83.9</v>
      </c>
      <c r="N453" s="5">
        <f t="shared" si="24"/>
        <v>167.8</v>
      </c>
      <c r="O453" s="82">
        <v>0.18</v>
      </c>
      <c r="P453" s="9">
        <f t="shared" si="25"/>
        <v>30.204000000000001</v>
      </c>
      <c r="Q453" s="5">
        <v>59</v>
      </c>
      <c r="R453" s="5"/>
      <c r="S453" s="5">
        <f t="shared" si="26"/>
        <v>257.00400000000002</v>
      </c>
      <c r="T453" s="1" t="s">
        <v>890</v>
      </c>
      <c r="U453" s="1" t="s">
        <v>890</v>
      </c>
      <c r="V453" s="1" t="s">
        <v>788</v>
      </c>
      <c r="W453" s="1" t="s">
        <v>2180</v>
      </c>
      <c r="X453" s="1"/>
      <c r="Y453" s="26"/>
      <c r="Z453" s="21"/>
      <c r="AA453" s="204"/>
      <c r="AB453" s="21">
        <v>2</v>
      </c>
      <c r="AC453" s="12" t="s">
        <v>145</v>
      </c>
      <c r="AD453" s="26"/>
      <c r="AE453" s="29" t="s">
        <v>974</v>
      </c>
      <c r="AF453" s="26"/>
      <c r="AG453" s="50"/>
    </row>
    <row r="454" spans="1:33" s="51" customFormat="1" ht="45" x14ac:dyDescent="0.25">
      <c r="A454" s="4"/>
      <c r="B454" s="4">
        <v>45789</v>
      </c>
      <c r="C454" s="1" t="s">
        <v>1688</v>
      </c>
      <c r="D454" s="224" t="s">
        <v>3451</v>
      </c>
      <c r="E454" s="26" t="s">
        <v>2113</v>
      </c>
      <c r="F454" s="233" t="s">
        <v>877</v>
      </c>
      <c r="G454" s="1" t="s">
        <v>877</v>
      </c>
      <c r="H454" s="8">
        <v>4</v>
      </c>
      <c r="I454" s="8"/>
      <c r="J454" s="115">
        <f>Table224[[#This Row],[Qty]]-Table224[[#This Row],[Issue Qty]]</f>
        <v>4</v>
      </c>
      <c r="K454" s="195"/>
      <c r="L454" s="195" t="s">
        <v>3480</v>
      </c>
      <c r="M454" s="5">
        <v>9490</v>
      </c>
      <c r="N454" s="5">
        <f t="shared" si="24"/>
        <v>37960</v>
      </c>
      <c r="O454" s="82">
        <v>0.18</v>
      </c>
      <c r="P454" s="9">
        <f t="shared" si="25"/>
        <v>6832.8</v>
      </c>
      <c r="Q454" s="5"/>
      <c r="R454" s="5"/>
      <c r="S454" s="5">
        <f t="shared" si="26"/>
        <v>44792.800000000003</v>
      </c>
      <c r="T454" s="1" t="s">
        <v>763</v>
      </c>
      <c r="U454" s="1" t="s">
        <v>763</v>
      </c>
      <c r="V454" s="1" t="s">
        <v>875</v>
      </c>
      <c r="W454" s="1" t="s">
        <v>2176</v>
      </c>
      <c r="X454" s="1"/>
      <c r="Y454" s="1"/>
      <c r="Z454" s="21" t="s">
        <v>339</v>
      </c>
      <c r="AA454" s="8"/>
      <c r="AB454" s="8"/>
      <c r="AC454" s="22"/>
      <c r="AD454" s="1"/>
      <c r="AE454" s="29"/>
      <c r="AF454" s="1"/>
      <c r="AG454" s="50"/>
    </row>
    <row r="455" spans="1:33" s="51" customFormat="1" x14ac:dyDescent="0.25">
      <c r="A455" s="4"/>
      <c r="B455" s="4">
        <v>45789</v>
      </c>
      <c r="C455" s="6" t="s">
        <v>1730</v>
      </c>
      <c r="D455" s="224" t="s">
        <v>3666</v>
      </c>
      <c r="E455" s="26" t="s">
        <v>2181</v>
      </c>
      <c r="F455" s="233" t="s">
        <v>975</v>
      </c>
      <c r="G455" s="1" t="s">
        <v>975</v>
      </c>
      <c r="H455" s="8">
        <v>3</v>
      </c>
      <c r="I455" s="8">
        <v>3</v>
      </c>
      <c r="J455" s="115">
        <f>Table224[[#This Row],[Qty]]-Table224[[#This Row],[Issue Qty]]</f>
        <v>0</v>
      </c>
      <c r="K455" s="195"/>
      <c r="L455" s="195" t="s">
        <v>3480</v>
      </c>
      <c r="M455" s="5">
        <v>340.943333</v>
      </c>
      <c r="N455" s="5">
        <f t="shared" si="24"/>
        <v>1022.829999</v>
      </c>
      <c r="O455" s="82">
        <v>0.05</v>
      </c>
      <c r="P455" s="9">
        <f t="shared" si="25"/>
        <v>51.141499950000004</v>
      </c>
      <c r="Q455" s="5">
        <v>0</v>
      </c>
      <c r="R455" s="5"/>
      <c r="S455" s="5">
        <f t="shared" si="26"/>
        <v>1073.9714989500001</v>
      </c>
      <c r="T455" s="1" t="s">
        <v>890</v>
      </c>
      <c r="U455" s="1" t="s">
        <v>890</v>
      </c>
      <c r="V455" s="1" t="s">
        <v>691</v>
      </c>
      <c r="W455" s="1" t="s">
        <v>2182</v>
      </c>
      <c r="X455" s="1"/>
      <c r="Y455" s="26"/>
      <c r="Z455" s="21" t="s">
        <v>1358</v>
      </c>
      <c r="AA455" s="204"/>
      <c r="AB455" s="21">
        <v>3</v>
      </c>
      <c r="AC455" s="12" t="s">
        <v>145</v>
      </c>
      <c r="AD455" s="26"/>
      <c r="AE455" s="29"/>
      <c r="AF455" s="26"/>
      <c r="AG455" s="50"/>
    </row>
    <row r="456" spans="1:33" s="51" customFormat="1" ht="30" x14ac:dyDescent="0.25">
      <c r="A456" s="4"/>
      <c r="B456" s="4">
        <v>45789</v>
      </c>
      <c r="C456" s="1" t="s">
        <v>2096</v>
      </c>
      <c r="D456" s="224" t="s">
        <v>3452</v>
      </c>
      <c r="E456" s="26" t="s">
        <v>2110</v>
      </c>
      <c r="F456" s="233" t="s">
        <v>874</v>
      </c>
      <c r="G456" s="1" t="s">
        <v>874</v>
      </c>
      <c r="H456" s="8">
        <v>4</v>
      </c>
      <c r="I456" s="8"/>
      <c r="J456" s="115">
        <f>Table224[[#This Row],[Qty]]-Table224[[#This Row],[Issue Qty]]</f>
        <v>4</v>
      </c>
      <c r="K456" s="195"/>
      <c r="L456" s="195" t="s">
        <v>3480</v>
      </c>
      <c r="M456" s="5">
        <v>64990</v>
      </c>
      <c r="N456" s="5">
        <f t="shared" si="24"/>
        <v>259960</v>
      </c>
      <c r="O456" s="82">
        <v>0.18</v>
      </c>
      <c r="P456" s="9">
        <f t="shared" si="25"/>
        <v>46792.799999999996</v>
      </c>
      <c r="Q456" s="5"/>
      <c r="R456" s="5"/>
      <c r="S456" s="5">
        <f t="shared" si="26"/>
        <v>306752.8</v>
      </c>
      <c r="T456" s="1" t="s">
        <v>763</v>
      </c>
      <c r="U456" s="1" t="s">
        <v>763</v>
      </c>
      <c r="V456" s="1" t="s">
        <v>875</v>
      </c>
      <c r="W456" s="1" t="s">
        <v>2176</v>
      </c>
      <c r="X456" s="1"/>
      <c r="Y456" s="1"/>
      <c r="Z456" s="21" t="s">
        <v>339</v>
      </c>
      <c r="AA456" s="8"/>
      <c r="AB456" s="8"/>
      <c r="AC456" s="22"/>
      <c r="AD456" s="1"/>
      <c r="AE456" s="29"/>
      <c r="AF456" s="1"/>
      <c r="AG456" s="50"/>
    </row>
    <row r="457" spans="1:33" s="51" customFormat="1" x14ac:dyDescent="0.25">
      <c r="A457" s="4"/>
      <c r="B457" s="4">
        <v>45789</v>
      </c>
      <c r="C457" s="6" t="s">
        <v>1683</v>
      </c>
      <c r="D457" s="224" t="s">
        <v>3487</v>
      </c>
      <c r="E457" s="1" t="s">
        <v>2049</v>
      </c>
      <c r="F457" s="102" t="s">
        <v>790</v>
      </c>
      <c r="G457" s="1" t="s">
        <v>969</v>
      </c>
      <c r="H457" s="8">
        <v>4</v>
      </c>
      <c r="I457" s="8">
        <v>4</v>
      </c>
      <c r="J457" s="115">
        <f>Table224[[#This Row],[Qty]]-Table224[[#This Row],[Issue Qty]]</f>
        <v>0</v>
      </c>
      <c r="K457" s="195"/>
      <c r="L457" s="195" t="s">
        <v>3479</v>
      </c>
      <c r="M457" s="5">
        <v>360</v>
      </c>
      <c r="N457" s="5">
        <f t="shared" si="24"/>
        <v>1440</v>
      </c>
      <c r="O457" s="82">
        <v>0.18</v>
      </c>
      <c r="P457" s="9">
        <f t="shared" si="25"/>
        <v>259.2</v>
      </c>
      <c r="Q457" s="5">
        <v>0</v>
      </c>
      <c r="R457" s="5"/>
      <c r="S457" s="5">
        <f t="shared" si="26"/>
        <v>1699.2</v>
      </c>
      <c r="T457" s="1" t="s">
        <v>907</v>
      </c>
      <c r="U457" s="1" t="s">
        <v>907</v>
      </c>
      <c r="V457" s="1" t="s">
        <v>792</v>
      </c>
      <c r="W457" s="1" t="s">
        <v>2175</v>
      </c>
      <c r="X457" s="1"/>
      <c r="Y457" s="26"/>
      <c r="Z457" s="21"/>
      <c r="AA457" s="204"/>
      <c r="AB457" s="21">
        <v>4</v>
      </c>
      <c r="AC457" s="12" t="s">
        <v>936</v>
      </c>
      <c r="AD457" s="26"/>
      <c r="AE457" s="29" t="s">
        <v>793</v>
      </c>
      <c r="AF457" s="26"/>
      <c r="AG457" s="50"/>
    </row>
    <row r="458" spans="1:33" s="24" customFormat="1" ht="45" x14ac:dyDescent="0.25">
      <c r="A458" s="4"/>
      <c r="B458" s="4">
        <v>45789</v>
      </c>
      <c r="C458" s="1" t="s">
        <v>1991</v>
      </c>
      <c r="D458" s="224" t="s">
        <v>3452</v>
      </c>
      <c r="E458" s="26" t="s">
        <v>2112</v>
      </c>
      <c r="F458" s="305" t="s">
        <v>876</v>
      </c>
      <c r="G458" s="286" t="s">
        <v>876</v>
      </c>
      <c r="H458" s="8">
        <v>4</v>
      </c>
      <c r="I458" s="8"/>
      <c r="J458" s="115">
        <f>Table224[[#This Row],[Qty]]-Table224[[#This Row],[Issue Qty]]</f>
        <v>4</v>
      </c>
      <c r="K458" s="195"/>
      <c r="L458" s="195" t="s">
        <v>3480</v>
      </c>
      <c r="M458" s="10">
        <v>9990</v>
      </c>
      <c r="N458" s="10">
        <f t="shared" si="24"/>
        <v>39960</v>
      </c>
      <c r="O458" s="82">
        <v>0.18</v>
      </c>
      <c r="P458" s="79">
        <f t="shared" si="25"/>
        <v>7192.8</v>
      </c>
      <c r="Q458" s="10"/>
      <c r="R458" s="10"/>
      <c r="S458" s="10">
        <f t="shared" si="26"/>
        <v>47152.800000000003</v>
      </c>
      <c r="T458" s="1" t="s">
        <v>763</v>
      </c>
      <c r="U458" s="1" t="s">
        <v>763</v>
      </c>
      <c r="V458" s="1" t="s">
        <v>875</v>
      </c>
      <c r="W458" s="1" t="s">
        <v>2176</v>
      </c>
      <c r="X458" s="1"/>
      <c r="Y458" s="26"/>
      <c r="Z458" s="21"/>
      <c r="AA458" s="204"/>
      <c r="AB458" s="21">
        <v>4</v>
      </c>
      <c r="AC458" s="12" t="s">
        <v>970</v>
      </c>
      <c r="AD458" s="26"/>
      <c r="AE458" s="29"/>
      <c r="AF458" s="26"/>
      <c r="AG458" s="2"/>
    </row>
    <row r="459" spans="1:33" s="51" customFormat="1" x14ac:dyDescent="0.25">
      <c r="A459" s="4"/>
      <c r="B459" s="4">
        <v>45790</v>
      </c>
      <c r="C459" s="1" t="s">
        <v>54</v>
      </c>
      <c r="D459" s="224" t="s">
        <v>3494</v>
      </c>
      <c r="E459" s="1" t="s">
        <v>2185</v>
      </c>
      <c r="F459" s="102" t="s">
        <v>978</v>
      </c>
      <c r="G459" s="1" t="s">
        <v>978</v>
      </c>
      <c r="H459" s="58">
        <v>70</v>
      </c>
      <c r="I459" s="58"/>
      <c r="J459" s="159">
        <f>Table224[[#This Row],[Qty]]-Table224[[#This Row],[Issue Qty]]</f>
        <v>70</v>
      </c>
      <c r="K459" s="228"/>
      <c r="L459" s="228" t="s">
        <v>3480</v>
      </c>
      <c r="M459" s="5">
        <v>134</v>
      </c>
      <c r="N459" s="5">
        <f t="shared" si="24"/>
        <v>9380</v>
      </c>
      <c r="O459" s="82">
        <v>0.18</v>
      </c>
      <c r="P459" s="9">
        <f t="shared" si="25"/>
        <v>1688.3999999999999</v>
      </c>
      <c r="Q459" s="5">
        <v>0</v>
      </c>
      <c r="R459" s="5"/>
      <c r="S459" s="5">
        <f t="shared" si="26"/>
        <v>11068.4</v>
      </c>
      <c r="T459" s="1" t="s">
        <v>726</v>
      </c>
      <c r="U459" s="1" t="s">
        <v>726</v>
      </c>
      <c r="V459" s="1" t="s">
        <v>358</v>
      </c>
      <c r="W459" s="1" t="s">
        <v>2184</v>
      </c>
      <c r="X459" s="1"/>
      <c r="Y459" s="1"/>
      <c r="Z459" s="21" t="s">
        <v>688</v>
      </c>
      <c r="AA459" s="8"/>
      <c r="AB459" s="8"/>
      <c r="AC459" s="22"/>
      <c r="AD459" s="1"/>
      <c r="AE459" s="29" t="s">
        <v>977</v>
      </c>
      <c r="AF459" s="1"/>
      <c r="AG459" s="50"/>
    </row>
    <row r="460" spans="1:33" s="51" customFormat="1" x14ac:dyDescent="0.25">
      <c r="A460" s="4"/>
      <c r="B460" s="4">
        <v>45790</v>
      </c>
      <c r="C460" s="1" t="s">
        <v>54</v>
      </c>
      <c r="D460" s="224" t="s">
        <v>3494</v>
      </c>
      <c r="E460" s="1" t="s">
        <v>2183</v>
      </c>
      <c r="F460" s="102" t="s">
        <v>976</v>
      </c>
      <c r="G460" s="1" t="s">
        <v>976</v>
      </c>
      <c r="H460" s="58">
        <v>10</v>
      </c>
      <c r="I460" s="58"/>
      <c r="J460" s="159">
        <f>Table224[[#This Row],[Qty]]-Table224[[#This Row],[Issue Qty]]</f>
        <v>10</v>
      </c>
      <c r="K460" s="228"/>
      <c r="L460" s="228" t="s">
        <v>3480</v>
      </c>
      <c r="M460" s="5">
        <v>140</v>
      </c>
      <c r="N460" s="5">
        <f t="shared" si="24"/>
        <v>1400</v>
      </c>
      <c r="O460" s="82">
        <v>0.18</v>
      </c>
      <c r="P460" s="9">
        <f t="shared" si="25"/>
        <v>252</v>
      </c>
      <c r="Q460" s="5">
        <v>0</v>
      </c>
      <c r="R460" s="5"/>
      <c r="S460" s="5">
        <f t="shared" si="26"/>
        <v>1652</v>
      </c>
      <c r="T460" s="1" t="s">
        <v>726</v>
      </c>
      <c r="U460" s="1" t="s">
        <v>726</v>
      </c>
      <c r="V460" s="1" t="s">
        <v>358</v>
      </c>
      <c r="W460" s="1" t="s">
        <v>2184</v>
      </c>
      <c r="X460" s="1"/>
      <c r="Y460" s="1"/>
      <c r="Z460" s="21" t="s">
        <v>688</v>
      </c>
      <c r="AA460" s="8"/>
      <c r="AB460" s="8"/>
      <c r="AC460" s="22"/>
      <c r="AD460" s="1"/>
      <c r="AE460" s="29" t="s">
        <v>977</v>
      </c>
      <c r="AF460" s="1"/>
      <c r="AG460" s="50"/>
    </row>
    <row r="461" spans="1:33" s="51" customFormat="1" x14ac:dyDescent="0.25">
      <c r="A461" s="4"/>
      <c r="B461" s="4">
        <v>45790</v>
      </c>
      <c r="C461" s="6" t="s">
        <v>1730</v>
      </c>
      <c r="D461" s="6" t="s">
        <v>1730</v>
      </c>
      <c r="E461" s="26" t="s">
        <v>2186</v>
      </c>
      <c r="F461" s="233" t="s">
        <v>979</v>
      </c>
      <c r="G461" s="1" t="s">
        <v>979</v>
      </c>
      <c r="H461" s="8">
        <v>2</v>
      </c>
      <c r="I461" s="8"/>
      <c r="J461" s="115">
        <f>Table224[[#This Row],[Qty]]-Table224[[#This Row],[Issue Qty]]</f>
        <v>2</v>
      </c>
      <c r="K461" s="195"/>
      <c r="L461" s="195" t="s">
        <v>3480</v>
      </c>
      <c r="M461" s="5">
        <v>987.59</v>
      </c>
      <c r="N461" s="5">
        <f t="shared" si="24"/>
        <v>1975.18</v>
      </c>
      <c r="O461" s="82">
        <v>0.18</v>
      </c>
      <c r="P461" s="9">
        <f t="shared" si="25"/>
        <v>355.5324</v>
      </c>
      <c r="Q461" s="5">
        <v>0</v>
      </c>
      <c r="R461" s="5"/>
      <c r="S461" s="5">
        <f t="shared" si="26"/>
        <v>2330.7123999999999</v>
      </c>
      <c r="T461" s="1" t="s">
        <v>980</v>
      </c>
      <c r="U461" s="1" t="s">
        <v>980</v>
      </c>
      <c r="V461" s="1" t="s">
        <v>384</v>
      </c>
      <c r="W461" s="1" t="s">
        <v>2187</v>
      </c>
      <c r="X461" s="1"/>
      <c r="Y461" s="1"/>
      <c r="Z461" s="21" t="s">
        <v>420</v>
      </c>
      <c r="AA461" s="21" t="s">
        <v>421</v>
      </c>
      <c r="AB461" s="8"/>
      <c r="AC461" s="22"/>
      <c r="AD461" s="1"/>
      <c r="AE461" s="29"/>
      <c r="AF461" s="1"/>
      <c r="AG461" s="50"/>
    </row>
    <row r="462" spans="1:33" s="51" customFormat="1" x14ac:dyDescent="0.25">
      <c r="A462" s="4"/>
      <c r="B462" s="4">
        <v>45791</v>
      </c>
      <c r="C462" s="1" t="s">
        <v>54</v>
      </c>
      <c r="D462" s="224" t="s">
        <v>3494</v>
      </c>
      <c r="E462" s="1" t="s">
        <v>2083</v>
      </c>
      <c r="F462" s="102" t="s">
        <v>840</v>
      </c>
      <c r="G462" s="1" t="s">
        <v>963</v>
      </c>
      <c r="H462" s="8">
        <v>4</v>
      </c>
      <c r="I462" s="8"/>
      <c r="J462" s="115">
        <f>Table224[[#This Row],[Qty]]-Table224[[#This Row],[Issue Qty]]</f>
        <v>4</v>
      </c>
      <c r="K462" s="195"/>
      <c r="L462" s="195" t="s">
        <v>3480</v>
      </c>
      <c r="M462" s="5"/>
      <c r="N462" s="5">
        <f t="shared" si="24"/>
        <v>0</v>
      </c>
      <c r="O462" s="82">
        <v>0</v>
      </c>
      <c r="P462" s="9">
        <f t="shared" si="25"/>
        <v>0</v>
      </c>
      <c r="Q462" s="5">
        <v>0</v>
      </c>
      <c r="R462" s="5"/>
      <c r="S462" s="5">
        <f t="shared" si="26"/>
        <v>0</v>
      </c>
      <c r="T462" s="1" t="s">
        <v>726</v>
      </c>
      <c r="U462" s="1" t="s">
        <v>726</v>
      </c>
      <c r="V462" s="1" t="s">
        <v>358</v>
      </c>
      <c r="W462" s="1"/>
      <c r="X462" s="1"/>
      <c r="Y462" s="1"/>
      <c r="Z462" s="21" t="s">
        <v>688</v>
      </c>
      <c r="AA462" s="8"/>
      <c r="AB462" s="8"/>
      <c r="AC462" s="22"/>
      <c r="AD462" s="1"/>
      <c r="AE462" s="29" t="s">
        <v>842</v>
      </c>
      <c r="AF462" s="1"/>
      <c r="AG462" s="50"/>
    </row>
    <row r="463" spans="1:33" s="51" customFormat="1" x14ac:dyDescent="0.25">
      <c r="A463" s="4"/>
      <c r="B463" s="4">
        <v>45791</v>
      </c>
      <c r="C463" s="6" t="s">
        <v>1683</v>
      </c>
      <c r="D463" s="224" t="s">
        <v>3493</v>
      </c>
      <c r="E463" s="1" t="s">
        <v>2191</v>
      </c>
      <c r="F463" s="102" t="s">
        <v>983</v>
      </c>
      <c r="G463" s="1" t="s">
        <v>983</v>
      </c>
      <c r="H463" s="8">
        <v>20</v>
      </c>
      <c r="I463" s="8">
        <v>20</v>
      </c>
      <c r="J463" s="115">
        <f>Table224[[#This Row],[Qty]]-Table224[[#This Row],[Issue Qty]]</f>
        <v>0</v>
      </c>
      <c r="K463" s="195"/>
      <c r="L463" s="195" t="s">
        <v>3480</v>
      </c>
      <c r="M463" s="5">
        <v>41.21</v>
      </c>
      <c r="N463" s="5">
        <f t="shared" si="24"/>
        <v>824.2</v>
      </c>
      <c r="O463" s="82">
        <v>0.18</v>
      </c>
      <c r="P463" s="9">
        <f t="shared" si="25"/>
        <v>148.35599999999999</v>
      </c>
      <c r="Q463" s="5">
        <v>0</v>
      </c>
      <c r="R463" s="5"/>
      <c r="S463" s="5">
        <f t="shared" si="26"/>
        <v>972.55600000000004</v>
      </c>
      <c r="T463" s="1" t="s">
        <v>890</v>
      </c>
      <c r="U463" s="1" t="s">
        <v>890</v>
      </c>
      <c r="V463" s="1" t="s">
        <v>312</v>
      </c>
      <c r="W463" s="1" t="s">
        <v>2192</v>
      </c>
      <c r="X463" s="1"/>
      <c r="Y463" s="1"/>
      <c r="Z463" s="21" t="s">
        <v>638</v>
      </c>
      <c r="AA463" s="8" t="s">
        <v>1963</v>
      </c>
      <c r="AB463" s="8">
        <v>20</v>
      </c>
      <c r="AC463" s="22" t="s">
        <v>145</v>
      </c>
      <c r="AD463" s="1"/>
      <c r="AE463" s="29" t="s">
        <v>984</v>
      </c>
      <c r="AF463" s="1"/>
      <c r="AG463" s="50"/>
    </row>
    <row r="464" spans="1:33" s="51" customFormat="1" x14ac:dyDescent="0.25">
      <c r="A464" s="4"/>
      <c r="B464" s="4">
        <v>45791</v>
      </c>
      <c r="C464" s="6" t="s">
        <v>1683</v>
      </c>
      <c r="D464" s="224" t="s">
        <v>3493</v>
      </c>
      <c r="E464" s="1" t="s">
        <v>2193</v>
      </c>
      <c r="F464" s="102" t="s">
        <v>985</v>
      </c>
      <c r="G464" s="1" t="s">
        <v>985</v>
      </c>
      <c r="H464" s="8">
        <v>20</v>
      </c>
      <c r="I464" s="8"/>
      <c r="J464" s="115">
        <f>Table224[[#This Row],[Qty]]-Table224[[#This Row],[Issue Qty]]</f>
        <v>20</v>
      </c>
      <c r="K464" s="195"/>
      <c r="L464" s="195" t="s">
        <v>3480</v>
      </c>
      <c r="M464" s="5">
        <v>50.75</v>
      </c>
      <c r="N464" s="5">
        <f t="shared" si="24"/>
        <v>1015</v>
      </c>
      <c r="O464" s="82">
        <v>0.18</v>
      </c>
      <c r="P464" s="9">
        <f t="shared" si="25"/>
        <v>182.7</v>
      </c>
      <c r="Q464" s="5">
        <v>0</v>
      </c>
      <c r="R464" s="5"/>
      <c r="S464" s="5">
        <f t="shared" si="26"/>
        <v>1197.7</v>
      </c>
      <c r="T464" s="1" t="s">
        <v>890</v>
      </c>
      <c r="U464" s="1" t="s">
        <v>890</v>
      </c>
      <c r="V464" s="1" t="s">
        <v>312</v>
      </c>
      <c r="W464" s="1" t="s">
        <v>2192</v>
      </c>
      <c r="X464" s="1"/>
      <c r="Y464" s="1"/>
      <c r="Z464" s="21" t="s">
        <v>638</v>
      </c>
      <c r="AA464" s="8" t="s">
        <v>1963</v>
      </c>
      <c r="AB464" s="8">
        <v>3</v>
      </c>
      <c r="AC464" s="22"/>
      <c r="AD464" s="1"/>
      <c r="AE464" s="29" t="s">
        <v>986</v>
      </c>
      <c r="AF464" s="1"/>
      <c r="AG464" s="50"/>
    </row>
    <row r="465" spans="1:33" s="51" customFormat="1" x14ac:dyDescent="0.25">
      <c r="A465" s="4"/>
      <c r="B465" s="4">
        <v>45791</v>
      </c>
      <c r="C465" s="1" t="s">
        <v>54</v>
      </c>
      <c r="D465" s="224" t="s">
        <v>3494</v>
      </c>
      <c r="E465" s="1" t="s">
        <v>2138</v>
      </c>
      <c r="F465" s="102" t="s">
        <v>911</v>
      </c>
      <c r="G465" s="1" t="s">
        <v>911</v>
      </c>
      <c r="H465" s="58">
        <v>4</v>
      </c>
      <c r="I465" s="58"/>
      <c r="J465" s="159">
        <f>Table224[[#This Row],[Qty]]-Table224[[#This Row],[Issue Qty]]</f>
        <v>4</v>
      </c>
      <c r="K465" s="228"/>
      <c r="L465" s="228" t="s">
        <v>3480</v>
      </c>
      <c r="M465" s="5"/>
      <c r="N465" s="5">
        <f t="shared" si="24"/>
        <v>0</v>
      </c>
      <c r="O465" s="82">
        <v>0</v>
      </c>
      <c r="P465" s="9">
        <f t="shared" si="25"/>
        <v>0</v>
      </c>
      <c r="Q465" s="5">
        <v>0</v>
      </c>
      <c r="R465" s="5"/>
      <c r="S465" s="5">
        <f t="shared" si="26"/>
        <v>0</v>
      </c>
      <c r="T465" s="1" t="s">
        <v>726</v>
      </c>
      <c r="U465" s="1" t="s">
        <v>726</v>
      </c>
      <c r="V465" s="1" t="s">
        <v>358</v>
      </c>
      <c r="W465" s="1"/>
      <c r="X465" s="1"/>
      <c r="Y465" s="1"/>
      <c r="Z465" s="21" t="s">
        <v>688</v>
      </c>
      <c r="AA465" s="8"/>
      <c r="AB465" s="8"/>
      <c r="AC465" s="22"/>
      <c r="AD465" s="1"/>
      <c r="AE465" s="29" t="s">
        <v>977</v>
      </c>
      <c r="AF465" s="1"/>
      <c r="AG465" s="50"/>
    </row>
    <row r="466" spans="1:33" s="51" customFormat="1" x14ac:dyDescent="0.25">
      <c r="A466" s="4"/>
      <c r="B466" s="4">
        <v>45791</v>
      </c>
      <c r="C466" s="6" t="s">
        <v>1683</v>
      </c>
      <c r="D466" s="224" t="s">
        <v>3487</v>
      </c>
      <c r="E466" s="26" t="s">
        <v>2194</v>
      </c>
      <c r="F466" s="233" t="s">
        <v>987</v>
      </c>
      <c r="G466" s="1" t="s">
        <v>987</v>
      </c>
      <c r="H466" s="8">
        <v>1000</v>
      </c>
      <c r="I466" s="8">
        <v>140</v>
      </c>
      <c r="J466" s="115">
        <f>Table224[[#This Row],[Qty]]-Table224[[#This Row],[Issue Qty]]</f>
        <v>860</v>
      </c>
      <c r="K466" s="195"/>
      <c r="L466" s="195" t="s">
        <v>3480</v>
      </c>
      <c r="M466" s="5">
        <v>3.91</v>
      </c>
      <c r="N466" s="5">
        <f t="shared" si="24"/>
        <v>3910</v>
      </c>
      <c r="O466" s="82">
        <v>0.18</v>
      </c>
      <c r="P466" s="9">
        <f t="shared" si="25"/>
        <v>703.8</v>
      </c>
      <c r="Q466" s="5">
        <v>0</v>
      </c>
      <c r="R466" s="5"/>
      <c r="S466" s="5">
        <f t="shared" si="26"/>
        <v>4613.8</v>
      </c>
      <c r="T466" s="1" t="s">
        <v>726</v>
      </c>
      <c r="U466" s="1" t="s">
        <v>726</v>
      </c>
      <c r="V466" s="1" t="s">
        <v>312</v>
      </c>
      <c r="W466" s="1" t="s">
        <v>2190</v>
      </c>
      <c r="X466" s="1"/>
      <c r="Y466" s="1"/>
      <c r="Z466" s="21" t="s">
        <v>638</v>
      </c>
      <c r="AA466" s="8"/>
      <c r="AB466" s="8">
        <v>140</v>
      </c>
      <c r="AC466" s="22"/>
      <c r="AD466" s="1"/>
      <c r="AE466" s="29"/>
      <c r="AF466" s="1"/>
      <c r="AG466" s="50"/>
    </row>
    <row r="467" spans="1:33" s="51" customFormat="1" x14ac:dyDescent="0.25">
      <c r="A467" s="4"/>
      <c r="B467" s="4">
        <v>45791</v>
      </c>
      <c r="C467" s="6" t="s">
        <v>1683</v>
      </c>
      <c r="D467" s="224" t="s">
        <v>3487</v>
      </c>
      <c r="E467" s="26" t="s">
        <v>2195</v>
      </c>
      <c r="F467" s="233" t="s">
        <v>988</v>
      </c>
      <c r="G467" s="1" t="s">
        <v>988</v>
      </c>
      <c r="H467" s="8">
        <v>10</v>
      </c>
      <c r="I467" s="8"/>
      <c r="J467" s="115">
        <f>Table224[[#This Row],[Qty]]-Table224[[#This Row],[Issue Qty]]</f>
        <v>10</v>
      </c>
      <c r="K467" s="195"/>
      <c r="L467" s="195" t="s">
        <v>3480</v>
      </c>
      <c r="M467" s="5">
        <v>13.99</v>
      </c>
      <c r="N467" s="5">
        <f t="shared" si="24"/>
        <v>139.9</v>
      </c>
      <c r="O467" s="82">
        <v>0.18</v>
      </c>
      <c r="P467" s="9">
        <f t="shared" si="25"/>
        <v>25.181999999999999</v>
      </c>
      <c r="Q467" s="5">
        <v>0</v>
      </c>
      <c r="R467" s="5"/>
      <c r="S467" s="5">
        <f t="shared" si="26"/>
        <v>165.08199999999999</v>
      </c>
      <c r="T467" s="1" t="s">
        <v>890</v>
      </c>
      <c r="U467" s="1" t="s">
        <v>890</v>
      </c>
      <c r="V467" s="1" t="s">
        <v>312</v>
      </c>
      <c r="W467" s="1" t="s">
        <v>2192</v>
      </c>
      <c r="X467" s="1"/>
      <c r="Y467" s="1"/>
      <c r="Z467" s="21" t="s">
        <v>638</v>
      </c>
      <c r="AA467" s="8"/>
      <c r="AB467" s="8">
        <v>10</v>
      </c>
      <c r="AC467" s="22" t="s">
        <v>2933</v>
      </c>
      <c r="AD467" s="1"/>
      <c r="AE467" s="29"/>
      <c r="AF467" s="1"/>
      <c r="AG467" s="50"/>
    </row>
    <row r="468" spans="1:33" s="51" customFormat="1" x14ac:dyDescent="0.25">
      <c r="A468" s="4"/>
      <c r="B468" s="4">
        <v>45791</v>
      </c>
      <c r="C468" s="6" t="s">
        <v>1683</v>
      </c>
      <c r="D468" s="224" t="s">
        <v>3487</v>
      </c>
      <c r="E468" s="26" t="s">
        <v>2196</v>
      </c>
      <c r="F468" s="233" t="s">
        <v>989</v>
      </c>
      <c r="G468" s="1" t="s">
        <v>989</v>
      </c>
      <c r="H468" s="8">
        <v>10</v>
      </c>
      <c r="I468" s="8"/>
      <c r="J468" s="115">
        <f>Table224[[#This Row],[Qty]]-Table224[[#This Row],[Issue Qty]]</f>
        <v>10</v>
      </c>
      <c r="K468" s="195"/>
      <c r="L468" s="195" t="s">
        <v>3480</v>
      </c>
      <c r="M468" s="5">
        <v>14.66</v>
      </c>
      <c r="N468" s="5">
        <f t="shared" si="24"/>
        <v>146.6</v>
      </c>
      <c r="O468" s="82">
        <v>0.18</v>
      </c>
      <c r="P468" s="9">
        <f t="shared" si="25"/>
        <v>26.387999999999998</v>
      </c>
      <c r="Q468" s="5">
        <v>0</v>
      </c>
      <c r="R468" s="5"/>
      <c r="S468" s="5">
        <f t="shared" si="26"/>
        <v>172.988</v>
      </c>
      <c r="T468" s="1" t="s">
        <v>890</v>
      </c>
      <c r="U468" s="1" t="s">
        <v>890</v>
      </c>
      <c r="V468" s="1" t="s">
        <v>312</v>
      </c>
      <c r="W468" s="1" t="s">
        <v>2192</v>
      </c>
      <c r="X468" s="1"/>
      <c r="Y468" s="1"/>
      <c r="Z468" s="21" t="s">
        <v>638</v>
      </c>
      <c r="AA468" s="8" t="s">
        <v>1963</v>
      </c>
      <c r="AB468" s="8">
        <v>1</v>
      </c>
      <c r="AC468" s="22"/>
      <c r="AD468" s="1"/>
      <c r="AE468" s="29"/>
      <c r="AF468" s="1"/>
      <c r="AG468" s="50"/>
    </row>
    <row r="469" spans="1:33" s="51" customFormat="1" x14ac:dyDescent="0.25">
      <c r="A469" s="4"/>
      <c r="B469" s="4">
        <v>45791</v>
      </c>
      <c r="C469" s="6" t="s">
        <v>1683</v>
      </c>
      <c r="D469" s="224" t="s">
        <v>3487</v>
      </c>
      <c r="E469" s="26" t="s">
        <v>2197</v>
      </c>
      <c r="F469" s="233" t="s">
        <v>990</v>
      </c>
      <c r="G469" s="1" t="s">
        <v>990</v>
      </c>
      <c r="H469" s="8">
        <v>15</v>
      </c>
      <c r="I469" s="8"/>
      <c r="J469" s="115">
        <f>Table224[[#This Row],[Qty]]-Table224[[#This Row],[Issue Qty]]</f>
        <v>15</v>
      </c>
      <c r="K469" s="195"/>
      <c r="L469" s="195" t="s">
        <v>3480</v>
      </c>
      <c r="M469" s="5">
        <v>9.26</v>
      </c>
      <c r="N469" s="5">
        <f t="shared" si="24"/>
        <v>138.9</v>
      </c>
      <c r="O469" s="82">
        <v>0.18</v>
      </c>
      <c r="P469" s="9">
        <f t="shared" si="25"/>
        <v>25.001999999999999</v>
      </c>
      <c r="Q469" s="5">
        <v>236</v>
      </c>
      <c r="R469" s="5"/>
      <c r="S469" s="5">
        <f t="shared" si="26"/>
        <v>399.90200000000004</v>
      </c>
      <c r="T469" s="1" t="s">
        <v>890</v>
      </c>
      <c r="U469" s="1" t="s">
        <v>890</v>
      </c>
      <c r="V469" s="1" t="s">
        <v>312</v>
      </c>
      <c r="W469" s="1" t="s">
        <v>2192</v>
      </c>
      <c r="X469" s="1"/>
      <c r="Y469" s="1"/>
      <c r="Z469" s="21" t="s">
        <v>638</v>
      </c>
      <c r="AA469" s="8" t="s">
        <v>1963</v>
      </c>
      <c r="AB469" s="8"/>
      <c r="AC469" s="22"/>
      <c r="AD469" s="1"/>
      <c r="AE469" s="29"/>
      <c r="AF469" s="1"/>
      <c r="AG469" s="50"/>
    </row>
    <row r="470" spans="1:33" s="51" customFormat="1" x14ac:dyDescent="0.25">
      <c r="A470" s="4"/>
      <c r="B470" s="4">
        <v>45791</v>
      </c>
      <c r="C470" s="6" t="s">
        <v>1683</v>
      </c>
      <c r="D470" s="224" t="s">
        <v>3493</v>
      </c>
      <c r="E470" s="1" t="s">
        <v>2198</v>
      </c>
      <c r="F470" s="102" t="s">
        <v>991</v>
      </c>
      <c r="G470" s="1" t="s">
        <v>991</v>
      </c>
      <c r="H470" s="8">
        <v>1000</v>
      </c>
      <c r="I470" s="8">
        <v>350</v>
      </c>
      <c r="J470" s="115">
        <f>Table224[[#This Row],[Qty]]-Table224[[#This Row],[Issue Qty]]</f>
        <v>650</v>
      </c>
      <c r="K470" s="195"/>
      <c r="L470" s="195" t="s">
        <v>3480</v>
      </c>
      <c r="M470" s="5">
        <v>25.88</v>
      </c>
      <c r="N470" s="5">
        <f t="shared" si="24"/>
        <v>25880</v>
      </c>
      <c r="O470" s="82">
        <v>0.18</v>
      </c>
      <c r="P470" s="9">
        <f t="shared" si="25"/>
        <v>4658.3999999999996</v>
      </c>
      <c r="Q470" s="5">
        <v>0</v>
      </c>
      <c r="R470" s="5"/>
      <c r="S470" s="5">
        <f t="shared" si="26"/>
        <v>30538.400000000001</v>
      </c>
      <c r="T470" s="1" t="s">
        <v>2887</v>
      </c>
      <c r="U470" s="1" t="s">
        <v>726</v>
      </c>
      <c r="V470" s="1" t="s">
        <v>312</v>
      </c>
      <c r="W470" s="1" t="s">
        <v>2190</v>
      </c>
      <c r="X470" s="1"/>
      <c r="Y470" s="1"/>
      <c r="Z470" s="21" t="s">
        <v>638</v>
      </c>
      <c r="AA470" s="8" t="s">
        <v>1963</v>
      </c>
      <c r="AB470" s="8"/>
      <c r="AC470" s="22"/>
      <c r="AD470" s="1"/>
      <c r="AE470" s="29" t="s">
        <v>992</v>
      </c>
      <c r="AF470" s="1"/>
      <c r="AG470" s="50"/>
    </row>
    <row r="471" spans="1:33" s="51" customFormat="1" x14ac:dyDescent="0.25">
      <c r="A471" s="4"/>
      <c r="B471" s="4">
        <v>45791</v>
      </c>
      <c r="C471" s="6" t="s">
        <v>1683</v>
      </c>
      <c r="D471" s="224" t="s">
        <v>3487</v>
      </c>
      <c r="E471" s="26" t="s">
        <v>2199</v>
      </c>
      <c r="F471" s="233" t="s">
        <v>993</v>
      </c>
      <c r="G471" s="1" t="s">
        <v>993</v>
      </c>
      <c r="H471" s="8">
        <v>1000</v>
      </c>
      <c r="I471" s="8"/>
      <c r="J471" s="115">
        <f>Table224[[#This Row],[Qty]]-Table224[[#This Row],[Issue Qty]]</f>
        <v>1000</v>
      </c>
      <c r="K471" s="195"/>
      <c r="L471" s="195" t="s">
        <v>3480</v>
      </c>
      <c r="M471" s="5">
        <v>1.91</v>
      </c>
      <c r="N471" s="5">
        <f t="shared" si="24"/>
        <v>1910</v>
      </c>
      <c r="O471" s="82">
        <v>0.18</v>
      </c>
      <c r="P471" s="9">
        <f t="shared" si="25"/>
        <v>343.8</v>
      </c>
      <c r="Q471" s="5">
        <v>0</v>
      </c>
      <c r="R471" s="5"/>
      <c r="S471" s="5">
        <f t="shared" si="26"/>
        <v>2253.8000000000002</v>
      </c>
      <c r="T471" s="1" t="s">
        <v>726</v>
      </c>
      <c r="U471" s="1" t="s">
        <v>726</v>
      </c>
      <c r="V471" s="1" t="s">
        <v>312</v>
      </c>
      <c r="W471" s="1" t="s">
        <v>2190</v>
      </c>
      <c r="X471" s="1"/>
      <c r="Y471" s="1"/>
      <c r="Z471" s="21" t="s">
        <v>638</v>
      </c>
      <c r="AA471" s="8" t="s">
        <v>1963</v>
      </c>
      <c r="AB471" s="8">
        <f>1000-996</f>
        <v>4</v>
      </c>
      <c r="AC471" s="22"/>
      <c r="AD471" s="1"/>
      <c r="AE471" s="29"/>
      <c r="AF471" s="1"/>
      <c r="AG471" s="50"/>
    </row>
    <row r="472" spans="1:33" s="51" customFormat="1" x14ac:dyDescent="0.25">
      <c r="A472" s="4"/>
      <c r="B472" s="4">
        <v>45791</v>
      </c>
      <c r="C472" s="6" t="s">
        <v>1683</v>
      </c>
      <c r="D472" s="224" t="s">
        <v>3487</v>
      </c>
      <c r="E472" s="26" t="s">
        <v>2200</v>
      </c>
      <c r="F472" s="233" t="s">
        <v>994</v>
      </c>
      <c r="G472" s="1" t="s">
        <v>994</v>
      </c>
      <c r="H472" s="8">
        <v>10</v>
      </c>
      <c r="I472" s="8">
        <v>1</v>
      </c>
      <c r="J472" s="115">
        <f>Table224[[#This Row],[Qty]]-Table224[[#This Row],[Issue Qty]]</f>
        <v>9</v>
      </c>
      <c r="K472" s="195"/>
      <c r="L472" s="195" t="s">
        <v>3480</v>
      </c>
      <c r="M472" s="5">
        <v>6.55</v>
      </c>
      <c r="N472" s="5">
        <f t="shared" si="24"/>
        <v>65.5</v>
      </c>
      <c r="O472" s="82">
        <v>0.18</v>
      </c>
      <c r="P472" s="9">
        <f t="shared" si="25"/>
        <v>11.79</v>
      </c>
      <c r="Q472" s="5">
        <v>0</v>
      </c>
      <c r="R472" s="5"/>
      <c r="S472" s="5">
        <f t="shared" si="26"/>
        <v>77.289999999999992</v>
      </c>
      <c r="T472" s="1" t="s">
        <v>890</v>
      </c>
      <c r="U472" s="1" t="s">
        <v>890</v>
      </c>
      <c r="V472" s="1" t="s">
        <v>312</v>
      </c>
      <c r="W472" s="1" t="s">
        <v>2192</v>
      </c>
      <c r="X472" s="1"/>
      <c r="Y472" s="1"/>
      <c r="Z472" s="21" t="s">
        <v>638</v>
      </c>
      <c r="AA472" s="8"/>
      <c r="AB472" s="8">
        <v>1</v>
      </c>
      <c r="AC472" s="22" t="s">
        <v>226</v>
      </c>
      <c r="AD472" s="1"/>
      <c r="AE472" s="29"/>
      <c r="AF472" s="1"/>
      <c r="AG472" s="50"/>
    </row>
    <row r="473" spans="1:33" s="51" customFormat="1" x14ac:dyDescent="0.25">
      <c r="A473" s="4"/>
      <c r="B473" s="4">
        <v>45791</v>
      </c>
      <c r="C473" s="6" t="s">
        <v>1683</v>
      </c>
      <c r="D473" s="224" t="s">
        <v>3487</v>
      </c>
      <c r="E473" s="26" t="s">
        <v>2201</v>
      </c>
      <c r="F473" s="233" t="s">
        <v>995</v>
      </c>
      <c r="G473" s="1" t="s">
        <v>995</v>
      </c>
      <c r="H473" s="8">
        <v>10</v>
      </c>
      <c r="I473" s="8">
        <v>10</v>
      </c>
      <c r="J473" s="115">
        <f>Table224[[#This Row],[Qty]]-Table224[[#This Row],[Issue Qty]]</f>
        <v>0</v>
      </c>
      <c r="K473" s="195"/>
      <c r="L473" s="195" t="s">
        <v>3480</v>
      </c>
      <c r="M473" s="5">
        <v>11.67</v>
      </c>
      <c r="N473" s="5">
        <f t="shared" si="24"/>
        <v>116.7</v>
      </c>
      <c r="O473" s="82">
        <v>0.18</v>
      </c>
      <c r="P473" s="9">
        <f t="shared" si="25"/>
        <v>21.006</v>
      </c>
      <c r="Q473" s="5">
        <v>0</v>
      </c>
      <c r="R473" s="5"/>
      <c r="S473" s="5">
        <f t="shared" si="26"/>
        <v>137.70600000000002</v>
      </c>
      <c r="T473" s="1" t="s">
        <v>890</v>
      </c>
      <c r="U473" s="1" t="s">
        <v>890</v>
      </c>
      <c r="V473" s="1" t="s">
        <v>312</v>
      </c>
      <c r="W473" s="1" t="s">
        <v>2192</v>
      </c>
      <c r="X473" s="1"/>
      <c r="Y473" s="1"/>
      <c r="Z473" s="21" t="s">
        <v>638</v>
      </c>
      <c r="AA473" s="8"/>
      <c r="AB473" s="8">
        <v>10</v>
      </c>
      <c r="AC473" s="12" t="s">
        <v>2887</v>
      </c>
      <c r="AD473" s="1"/>
      <c r="AE473" s="29"/>
      <c r="AF473" s="1"/>
      <c r="AG473" s="50"/>
    </row>
    <row r="474" spans="1:33" s="51" customFormat="1" x14ac:dyDescent="0.25">
      <c r="A474" s="4"/>
      <c r="B474" s="4">
        <v>45791</v>
      </c>
      <c r="C474" s="6" t="s">
        <v>1683</v>
      </c>
      <c r="D474" s="224" t="s">
        <v>3493</v>
      </c>
      <c r="E474" s="1" t="s">
        <v>2189</v>
      </c>
      <c r="F474" s="102" t="s">
        <v>981</v>
      </c>
      <c r="G474" s="1" t="s">
        <v>981</v>
      </c>
      <c r="H474" s="8">
        <v>1000</v>
      </c>
      <c r="I474" s="8">
        <v>0</v>
      </c>
      <c r="J474" s="115">
        <f>Table224[[#This Row],[Qty]]-Table224[[#This Row],[Issue Qty]]</f>
        <v>1000</v>
      </c>
      <c r="K474" s="195"/>
      <c r="L474" s="195" t="s">
        <v>3480</v>
      </c>
      <c r="M474" s="5">
        <v>23.95</v>
      </c>
      <c r="N474" s="5">
        <f t="shared" si="24"/>
        <v>23950</v>
      </c>
      <c r="O474" s="82">
        <v>0.18</v>
      </c>
      <c r="P474" s="9">
        <f t="shared" si="25"/>
        <v>4311</v>
      </c>
      <c r="Q474" s="5">
        <v>0</v>
      </c>
      <c r="R474" s="5"/>
      <c r="S474" s="5">
        <f t="shared" si="26"/>
        <v>28261</v>
      </c>
      <c r="T474" s="1" t="s">
        <v>726</v>
      </c>
      <c r="U474" s="1" t="s">
        <v>726</v>
      </c>
      <c r="V474" s="1" t="s">
        <v>312</v>
      </c>
      <c r="W474" s="1" t="s">
        <v>2190</v>
      </c>
      <c r="X474" s="1"/>
      <c r="Y474" s="1"/>
      <c r="Z474" s="21" t="s">
        <v>638</v>
      </c>
      <c r="AA474" s="8" t="s">
        <v>1963</v>
      </c>
      <c r="AB474" s="8">
        <v>20</v>
      </c>
      <c r="AC474" s="22" t="s">
        <v>2933</v>
      </c>
      <c r="AD474" s="1"/>
      <c r="AE474" s="29" t="s">
        <v>982</v>
      </c>
      <c r="AF474" s="1"/>
      <c r="AG474" s="50"/>
    </row>
    <row r="475" spans="1:33" s="51" customFormat="1" x14ac:dyDescent="0.25">
      <c r="A475" s="4"/>
      <c r="B475" s="4">
        <v>45791</v>
      </c>
      <c r="C475" s="1" t="s">
        <v>54</v>
      </c>
      <c r="D475" s="224" t="s">
        <v>3489</v>
      </c>
      <c r="E475" s="1" t="s">
        <v>2152</v>
      </c>
      <c r="F475" s="102" t="s">
        <v>934</v>
      </c>
      <c r="G475" s="1" t="s">
        <v>934</v>
      </c>
      <c r="H475" s="8">
        <v>4</v>
      </c>
      <c r="I475" s="8">
        <v>4</v>
      </c>
      <c r="J475" s="115">
        <f>Table224[[#This Row],[Qty]]-Table224[[#This Row],[Issue Qty]]</f>
        <v>0</v>
      </c>
      <c r="K475" s="195"/>
      <c r="L475" s="195" t="s">
        <v>3480</v>
      </c>
      <c r="M475" s="5">
        <v>1400</v>
      </c>
      <c r="N475" s="5">
        <f t="shared" si="24"/>
        <v>5600</v>
      </c>
      <c r="O475" s="82">
        <v>0.18</v>
      </c>
      <c r="P475" s="9">
        <f t="shared" si="25"/>
        <v>1008</v>
      </c>
      <c r="Q475" s="5">
        <v>590</v>
      </c>
      <c r="R475" s="5"/>
      <c r="S475" s="5">
        <f t="shared" si="26"/>
        <v>7198</v>
      </c>
      <c r="T475" s="1" t="s">
        <v>907</v>
      </c>
      <c r="U475" s="1" t="s">
        <v>907</v>
      </c>
      <c r="V475" s="1" t="s">
        <v>956</v>
      </c>
      <c r="W475" s="1" t="s">
        <v>2188</v>
      </c>
      <c r="X475" s="1"/>
      <c r="Y475" s="26"/>
      <c r="Z475" s="21"/>
      <c r="AA475" s="204"/>
      <c r="AB475" s="21">
        <v>4</v>
      </c>
      <c r="AC475" s="12" t="s">
        <v>2920</v>
      </c>
      <c r="AD475" s="26"/>
      <c r="AE475" s="29"/>
      <c r="AF475" s="26"/>
      <c r="AG475" s="50"/>
    </row>
    <row r="476" spans="1:33" s="51" customFormat="1" x14ac:dyDescent="0.25">
      <c r="A476" s="4"/>
      <c r="B476" s="4">
        <v>45792</v>
      </c>
      <c r="C476" s="1" t="s">
        <v>54</v>
      </c>
      <c r="D476" s="224" t="s">
        <v>3497</v>
      </c>
      <c r="E476" s="1" t="s">
        <v>2202</v>
      </c>
      <c r="F476" s="102" t="s">
        <v>996</v>
      </c>
      <c r="G476" s="1" t="s">
        <v>997</v>
      </c>
      <c r="H476" s="8">
        <v>4</v>
      </c>
      <c r="I476" s="8"/>
      <c r="J476" s="115">
        <f>Table224[[#This Row],[Qty]]-Table224[[#This Row],[Issue Qty]]</f>
        <v>4</v>
      </c>
      <c r="K476" s="195"/>
      <c r="L476" s="195" t="s">
        <v>3480</v>
      </c>
      <c r="M476" s="5">
        <v>2219</v>
      </c>
      <c r="N476" s="5">
        <f t="shared" si="24"/>
        <v>8876</v>
      </c>
      <c r="O476" s="82">
        <v>0.12</v>
      </c>
      <c r="P476" s="9">
        <f t="shared" si="25"/>
        <v>1065.1199999999999</v>
      </c>
      <c r="Q476" s="5">
        <v>0</v>
      </c>
      <c r="R476" s="5"/>
      <c r="S476" s="5">
        <f t="shared" si="26"/>
        <v>9941.119999999999</v>
      </c>
      <c r="T476" s="1" t="s">
        <v>907</v>
      </c>
      <c r="U476" s="1" t="s">
        <v>907</v>
      </c>
      <c r="V476" s="1" t="s">
        <v>601</v>
      </c>
      <c r="W476" s="1">
        <v>50123</v>
      </c>
      <c r="X476" s="1"/>
      <c r="Y476" s="26"/>
      <c r="Z476" s="21"/>
      <c r="AA476" s="204"/>
      <c r="AB476" s="21">
        <v>4</v>
      </c>
      <c r="AC476" s="12" t="s">
        <v>936</v>
      </c>
      <c r="AD476" s="26"/>
      <c r="AE476" s="29"/>
      <c r="AF476" s="26"/>
      <c r="AG476" s="50"/>
    </row>
    <row r="477" spans="1:33" s="51" customFormat="1" x14ac:dyDescent="0.25">
      <c r="A477" s="4"/>
      <c r="B477" s="4">
        <v>45794</v>
      </c>
      <c r="C477" s="6" t="s">
        <v>1683</v>
      </c>
      <c r="D477" s="224" t="s">
        <v>1663</v>
      </c>
      <c r="E477" s="1" t="s">
        <v>2208</v>
      </c>
      <c r="F477" s="102" t="s">
        <v>1008</v>
      </c>
      <c r="G477" s="1" t="s">
        <v>1008</v>
      </c>
      <c r="H477" s="8">
        <v>20</v>
      </c>
      <c r="I477" s="8">
        <v>20</v>
      </c>
      <c r="J477" s="115">
        <f>Table224[[#This Row],[Qty]]-Table224[[#This Row],[Issue Qty]]</f>
        <v>0</v>
      </c>
      <c r="K477" s="195"/>
      <c r="L477" s="195" t="s">
        <v>3480</v>
      </c>
      <c r="M477" s="5">
        <v>950</v>
      </c>
      <c r="N477" s="5">
        <f t="shared" si="24"/>
        <v>19000</v>
      </c>
      <c r="O477" s="82">
        <v>0.18</v>
      </c>
      <c r="P477" s="9">
        <f t="shared" si="25"/>
        <v>3420</v>
      </c>
      <c r="Q477" s="5">
        <v>0</v>
      </c>
      <c r="R477" s="5"/>
      <c r="S477" s="5">
        <f t="shared" si="26"/>
        <v>22420</v>
      </c>
      <c r="T477" s="1" t="s">
        <v>890</v>
      </c>
      <c r="U477" s="1" t="s">
        <v>890</v>
      </c>
      <c r="V477" s="1" t="s">
        <v>1009</v>
      </c>
      <c r="W477" s="1" t="s">
        <v>2209</v>
      </c>
      <c r="X477" s="1"/>
      <c r="Y477" s="26"/>
      <c r="Z477" s="21" t="s">
        <v>1345</v>
      </c>
      <c r="AA477" s="204"/>
      <c r="AB477" s="21">
        <v>20</v>
      </c>
      <c r="AC477" s="12" t="s">
        <v>3802</v>
      </c>
      <c r="AD477" s="26"/>
      <c r="AE477" s="29"/>
      <c r="AF477" s="26"/>
      <c r="AG477" s="50"/>
    </row>
    <row r="478" spans="1:33" s="51" customFormat="1" x14ac:dyDescent="0.25">
      <c r="A478" s="4"/>
      <c r="B478" s="4">
        <v>45794</v>
      </c>
      <c r="C478" s="6" t="s">
        <v>1683</v>
      </c>
      <c r="D478" s="224" t="s">
        <v>3487</v>
      </c>
      <c r="E478" s="26" t="s">
        <v>2203</v>
      </c>
      <c r="F478" s="233" t="s">
        <v>998</v>
      </c>
      <c r="G478" s="1" t="s">
        <v>998</v>
      </c>
      <c r="H478" s="58">
        <v>178</v>
      </c>
      <c r="I478" s="58">
        <v>10</v>
      </c>
      <c r="J478" s="159">
        <f>Table224[[#This Row],[Qty]]-Table224[[#This Row],[Issue Qty]]</f>
        <v>168</v>
      </c>
      <c r="K478" s="228"/>
      <c r="L478" s="228" t="s">
        <v>3480</v>
      </c>
      <c r="M478" s="5">
        <v>6.93</v>
      </c>
      <c r="N478" s="5">
        <f t="shared" si="24"/>
        <v>1233.54</v>
      </c>
      <c r="O478" s="82">
        <v>0.18</v>
      </c>
      <c r="P478" s="9">
        <f t="shared" si="25"/>
        <v>222.03719999999998</v>
      </c>
      <c r="Q478" s="5">
        <v>0</v>
      </c>
      <c r="R478" s="5"/>
      <c r="S478" s="5">
        <f t="shared" si="26"/>
        <v>1455.5771999999999</v>
      </c>
      <c r="T478" s="1" t="s">
        <v>606</v>
      </c>
      <c r="U478" s="1" t="s">
        <v>606</v>
      </c>
      <c r="V478" s="1" t="s">
        <v>999</v>
      </c>
      <c r="W478" s="1" t="s">
        <v>2204</v>
      </c>
      <c r="X478" s="1"/>
      <c r="Y478" s="1"/>
      <c r="Z478" s="21" t="s">
        <v>573</v>
      </c>
      <c r="AA478" s="21" t="s">
        <v>1963</v>
      </c>
      <c r="AB478" s="8">
        <v>35</v>
      </c>
      <c r="AC478" s="22" t="s">
        <v>2962</v>
      </c>
      <c r="AD478" s="1"/>
      <c r="AE478" s="29"/>
      <c r="AF478" s="1"/>
      <c r="AG478" s="50"/>
    </row>
    <row r="479" spans="1:33" s="51" customFormat="1" x14ac:dyDescent="0.25">
      <c r="A479" s="4"/>
      <c r="B479" s="4">
        <v>45794</v>
      </c>
      <c r="C479" s="1" t="s">
        <v>54</v>
      </c>
      <c r="D479" s="224" t="s">
        <v>3500</v>
      </c>
      <c r="E479" s="1" t="s">
        <v>2205</v>
      </c>
      <c r="F479" s="102" t="s">
        <v>1000</v>
      </c>
      <c r="G479" s="1" t="s">
        <v>1001</v>
      </c>
      <c r="H479" s="8">
        <v>4</v>
      </c>
      <c r="I479" s="8">
        <v>4</v>
      </c>
      <c r="J479" s="115">
        <f>Table224[[#This Row],[Qty]]-Table224[[#This Row],[Issue Qty]]</f>
        <v>0</v>
      </c>
      <c r="K479" s="195"/>
      <c r="L479" s="195" t="s">
        <v>3480</v>
      </c>
      <c r="M479" s="5">
        <v>399</v>
      </c>
      <c r="N479" s="5">
        <f t="shared" si="24"/>
        <v>1596</v>
      </c>
      <c r="O479" s="82">
        <v>0.12</v>
      </c>
      <c r="P479" s="9">
        <f t="shared" si="25"/>
        <v>191.51999999999998</v>
      </c>
      <c r="Q479" s="5">
        <v>0</v>
      </c>
      <c r="R479" s="5"/>
      <c r="S479" s="5">
        <f t="shared" si="26"/>
        <v>1787.52</v>
      </c>
      <c r="T479" s="1" t="s">
        <v>890</v>
      </c>
      <c r="U479" s="1" t="s">
        <v>890</v>
      </c>
      <c r="V479" s="1" t="s">
        <v>601</v>
      </c>
      <c r="W479" s="1">
        <v>50138</v>
      </c>
      <c r="X479" s="1"/>
      <c r="Y479" s="26"/>
      <c r="Z479" s="21"/>
      <c r="AA479" s="204"/>
      <c r="AB479" s="21">
        <v>4</v>
      </c>
      <c r="AC479" s="22" t="s">
        <v>145</v>
      </c>
      <c r="AD479" s="26"/>
      <c r="AE479" s="29" t="s">
        <v>1002</v>
      </c>
      <c r="AF479" s="26"/>
      <c r="AG479" s="50"/>
    </row>
    <row r="480" spans="1:33" s="51" customFormat="1" x14ac:dyDescent="0.25">
      <c r="A480" s="4"/>
      <c r="B480" s="4">
        <v>45794</v>
      </c>
      <c r="C480" s="1" t="s">
        <v>54</v>
      </c>
      <c r="D480" s="224" t="s">
        <v>3489</v>
      </c>
      <c r="E480" s="1" t="s">
        <v>2206</v>
      </c>
      <c r="F480" s="102" t="s">
        <v>1003</v>
      </c>
      <c r="G480" s="1" t="s">
        <v>1004</v>
      </c>
      <c r="H480" s="8">
        <v>4</v>
      </c>
      <c r="I480" s="8"/>
      <c r="J480" s="115">
        <f>Table224[[#This Row],[Qty]]-Table224[[#This Row],[Issue Qty]]</f>
        <v>4</v>
      </c>
      <c r="K480" s="195"/>
      <c r="L480" s="195" t="s">
        <v>3480</v>
      </c>
      <c r="M480" s="5">
        <v>470</v>
      </c>
      <c r="N480" s="5">
        <f t="shared" si="24"/>
        <v>1880</v>
      </c>
      <c r="O480" s="82">
        <v>0.12</v>
      </c>
      <c r="P480" s="9">
        <f t="shared" si="25"/>
        <v>225.6</v>
      </c>
      <c r="Q480" s="5">
        <v>0</v>
      </c>
      <c r="R480" s="5"/>
      <c r="S480" s="5">
        <f t="shared" si="26"/>
        <v>2105.6</v>
      </c>
      <c r="T480" s="1" t="s">
        <v>890</v>
      </c>
      <c r="U480" s="1" t="s">
        <v>890</v>
      </c>
      <c r="V480" s="1" t="s">
        <v>601</v>
      </c>
      <c r="W480" s="1">
        <v>50138</v>
      </c>
      <c r="X480" s="1"/>
      <c r="Y480" s="26"/>
      <c r="Z480" s="21" t="s">
        <v>2527</v>
      </c>
      <c r="AA480" s="204"/>
      <c r="AB480" s="21">
        <v>4</v>
      </c>
      <c r="AC480" s="22"/>
      <c r="AD480" s="26"/>
      <c r="AE480" s="29" t="s">
        <v>826</v>
      </c>
      <c r="AF480" s="26"/>
      <c r="AG480" s="50"/>
    </row>
    <row r="481" spans="1:33" s="51" customFormat="1" x14ac:dyDescent="0.25">
      <c r="A481" s="4"/>
      <c r="B481" s="4">
        <v>45796</v>
      </c>
      <c r="C481" s="1" t="s">
        <v>54</v>
      </c>
      <c r="D481" s="224" t="s">
        <v>3489</v>
      </c>
      <c r="E481" s="1" t="s">
        <v>2210</v>
      </c>
      <c r="F481" s="102" t="s">
        <v>1010</v>
      </c>
      <c r="G481" s="1" t="s">
        <v>1010</v>
      </c>
      <c r="H481" s="8">
        <v>10</v>
      </c>
      <c r="I481" s="8">
        <v>8</v>
      </c>
      <c r="J481" s="115">
        <f>Table224[[#This Row],[Qty]]-Table224[[#This Row],[Issue Qty]]</f>
        <v>2</v>
      </c>
      <c r="K481" s="195"/>
      <c r="L481" s="195" t="s">
        <v>3480</v>
      </c>
      <c r="M481" s="5">
        <v>257.14</v>
      </c>
      <c r="N481" s="5">
        <f t="shared" si="24"/>
        <v>2571.3999999999996</v>
      </c>
      <c r="O481" s="82">
        <v>0.05</v>
      </c>
      <c r="P481" s="9">
        <f t="shared" si="25"/>
        <v>128.57</v>
      </c>
      <c r="Q481" s="5">
        <f>169.5+30.53</f>
        <v>200.03</v>
      </c>
      <c r="R481" s="5"/>
      <c r="S481" s="5">
        <f t="shared" si="26"/>
        <v>2900</v>
      </c>
      <c r="T481" s="1" t="s">
        <v>907</v>
      </c>
      <c r="U481" s="1" t="s">
        <v>907</v>
      </c>
      <c r="V481" s="1" t="s">
        <v>968</v>
      </c>
      <c r="W481" s="1" t="s">
        <v>2211</v>
      </c>
      <c r="X481" s="1"/>
      <c r="Y481" s="1"/>
      <c r="Z481" s="21" t="s">
        <v>33</v>
      </c>
      <c r="AA481" s="8" t="s">
        <v>1963</v>
      </c>
      <c r="AB481" s="8">
        <v>2</v>
      </c>
      <c r="AC481" s="22" t="s">
        <v>2907</v>
      </c>
      <c r="AD481" s="22" t="s">
        <v>1011</v>
      </c>
      <c r="AE481" s="29" t="s">
        <v>1012</v>
      </c>
      <c r="AF481" s="1"/>
      <c r="AG481" s="50"/>
    </row>
    <row r="482" spans="1:33" s="51" customFormat="1" x14ac:dyDescent="0.25">
      <c r="A482" s="4"/>
      <c r="B482" s="4">
        <v>45797</v>
      </c>
      <c r="C482" s="1" t="s">
        <v>54</v>
      </c>
      <c r="D482" s="224" t="s">
        <v>3494</v>
      </c>
      <c r="E482" s="1" t="s">
        <v>2083</v>
      </c>
      <c r="F482" s="102" t="s">
        <v>840</v>
      </c>
      <c r="G482" s="1" t="s">
        <v>54</v>
      </c>
      <c r="H482" s="8">
        <v>2</v>
      </c>
      <c r="I482" s="8"/>
      <c r="J482" s="115">
        <f>Table224[[#This Row],[Qty]]-Table224[[#This Row],[Issue Qty]]</f>
        <v>2</v>
      </c>
      <c r="K482" s="195"/>
      <c r="L482" s="195" t="s">
        <v>3480</v>
      </c>
      <c r="M482" s="5"/>
      <c r="N482" s="5">
        <f t="shared" si="24"/>
        <v>0</v>
      </c>
      <c r="O482" s="82">
        <v>0</v>
      </c>
      <c r="P482" s="9">
        <f t="shared" si="25"/>
        <v>0</v>
      </c>
      <c r="Q482" s="5">
        <v>0</v>
      </c>
      <c r="R482" s="5"/>
      <c r="S482" s="5">
        <f t="shared" si="26"/>
        <v>0</v>
      </c>
      <c r="T482" s="1" t="s">
        <v>726</v>
      </c>
      <c r="U482" s="1" t="s">
        <v>726</v>
      </c>
      <c r="V482" s="1" t="s">
        <v>358</v>
      </c>
      <c r="W482" s="1"/>
      <c r="X482" s="1"/>
      <c r="Y482" s="1"/>
      <c r="Z482" s="21" t="s">
        <v>688</v>
      </c>
      <c r="AA482" s="8"/>
      <c r="AB482" s="8"/>
      <c r="AC482" s="22"/>
      <c r="AD482" s="1"/>
      <c r="AE482" s="29" t="s">
        <v>842</v>
      </c>
      <c r="AF482" s="1"/>
      <c r="AG482" s="50"/>
    </row>
    <row r="483" spans="1:33" s="51" customFormat="1" ht="42.75" customHeight="1" x14ac:dyDescent="0.25">
      <c r="A483" s="4"/>
      <c r="B483" s="4">
        <v>45798</v>
      </c>
      <c r="C483" s="1" t="s">
        <v>54</v>
      </c>
      <c r="D483" s="224" t="s">
        <v>3494</v>
      </c>
      <c r="E483" s="26" t="s">
        <v>2212</v>
      </c>
      <c r="F483" s="233" t="s">
        <v>1013</v>
      </c>
      <c r="G483" s="1" t="s">
        <v>1014</v>
      </c>
      <c r="H483" s="8">
        <v>1</v>
      </c>
      <c r="I483" s="8">
        <v>0</v>
      </c>
      <c r="J483" s="115">
        <f>Table224[[#This Row],[Qty]]-Table224[[#This Row],[Issue Qty]]</f>
        <v>1</v>
      </c>
      <c r="K483" s="195"/>
      <c r="L483" s="195" t="s">
        <v>3480</v>
      </c>
      <c r="M483" s="5">
        <v>2000</v>
      </c>
      <c r="N483" s="5">
        <f t="shared" si="24"/>
        <v>2000</v>
      </c>
      <c r="O483" s="82">
        <v>0.18</v>
      </c>
      <c r="P483" s="9">
        <f t="shared" si="25"/>
        <v>360</v>
      </c>
      <c r="Q483" s="5">
        <v>0</v>
      </c>
      <c r="R483" s="5"/>
      <c r="S483" s="5">
        <f t="shared" si="26"/>
        <v>2360</v>
      </c>
      <c r="T483" s="1" t="s">
        <v>890</v>
      </c>
      <c r="U483" s="1" t="s">
        <v>890</v>
      </c>
      <c r="V483" s="1" t="s">
        <v>358</v>
      </c>
      <c r="W483" s="1" t="s">
        <v>2213</v>
      </c>
      <c r="X483" s="1"/>
      <c r="Y483" s="26"/>
      <c r="Z483" s="21" t="s">
        <v>3441</v>
      </c>
      <c r="AA483" s="204"/>
      <c r="AB483" s="21">
        <v>1</v>
      </c>
      <c r="AC483" s="12" t="s">
        <v>3803</v>
      </c>
      <c r="AD483" s="26"/>
      <c r="AE483" s="29"/>
      <c r="AF483" s="26"/>
      <c r="AG483" s="50"/>
    </row>
    <row r="484" spans="1:33" s="51" customFormat="1" x14ac:dyDescent="0.25">
      <c r="A484" s="4"/>
      <c r="B484" s="4">
        <v>45799</v>
      </c>
      <c r="C484" s="1" t="s">
        <v>54</v>
      </c>
      <c r="D484" s="224" t="s">
        <v>3494</v>
      </c>
      <c r="E484" s="1" t="s">
        <v>2217</v>
      </c>
      <c r="F484" s="232" t="s">
        <v>1022</v>
      </c>
      <c r="G484" s="1" t="s">
        <v>1023</v>
      </c>
      <c r="H484" s="8">
        <v>2</v>
      </c>
      <c r="I484" s="8"/>
      <c r="J484" s="115">
        <f>Table224[[#This Row],[Qty]]-Table224[[#This Row],[Issue Qty]]</f>
        <v>2</v>
      </c>
      <c r="K484" s="195"/>
      <c r="L484" s="195" t="s">
        <v>3480</v>
      </c>
      <c r="M484" s="5">
        <v>1282</v>
      </c>
      <c r="N484" s="5">
        <f t="shared" si="24"/>
        <v>2564</v>
      </c>
      <c r="O484" s="82">
        <v>0.18</v>
      </c>
      <c r="P484" s="9">
        <f t="shared" si="25"/>
        <v>461.52</v>
      </c>
      <c r="Q484" s="5">
        <v>0</v>
      </c>
      <c r="R484" s="5"/>
      <c r="S484" s="5">
        <f t="shared" si="26"/>
        <v>3025.52</v>
      </c>
      <c r="T484" s="1" t="s">
        <v>726</v>
      </c>
      <c r="U484" s="1" t="s">
        <v>726</v>
      </c>
      <c r="V484" s="1" t="s">
        <v>1017</v>
      </c>
      <c r="W484" s="1" t="s">
        <v>2215</v>
      </c>
      <c r="X484" s="1"/>
      <c r="Y484" s="1"/>
      <c r="Z484" s="21" t="s">
        <v>688</v>
      </c>
      <c r="AA484" s="8"/>
      <c r="AB484" s="8">
        <v>1</v>
      </c>
      <c r="AC484" s="22" t="s">
        <v>1024</v>
      </c>
      <c r="AD484" s="1"/>
      <c r="AE484" s="29" t="s">
        <v>1025</v>
      </c>
      <c r="AF484" s="1"/>
      <c r="AG484" s="50"/>
    </row>
    <row r="485" spans="1:33" s="51" customFormat="1" x14ac:dyDescent="0.25">
      <c r="A485" s="4"/>
      <c r="B485" s="4">
        <v>45799</v>
      </c>
      <c r="C485" s="1" t="s">
        <v>54</v>
      </c>
      <c r="D485" s="224" t="s">
        <v>3494</v>
      </c>
      <c r="E485" s="1" t="s">
        <v>2216</v>
      </c>
      <c r="F485" s="232" t="s">
        <v>1019</v>
      </c>
      <c r="G485" s="1" t="s">
        <v>1020</v>
      </c>
      <c r="H485" s="8">
        <v>2</v>
      </c>
      <c r="I485" s="8"/>
      <c r="J485" s="115">
        <f>Table224[[#This Row],[Qty]]-Table224[[#This Row],[Issue Qty]]</f>
        <v>2</v>
      </c>
      <c r="K485" s="195"/>
      <c r="L485" s="195" t="s">
        <v>3480</v>
      </c>
      <c r="M485" s="5">
        <v>1282</v>
      </c>
      <c r="N485" s="5">
        <f t="shared" si="24"/>
        <v>2564</v>
      </c>
      <c r="O485" s="82">
        <v>0.18</v>
      </c>
      <c r="P485" s="9">
        <f t="shared" si="25"/>
        <v>461.52</v>
      </c>
      <c r="Q485" s="5">
        <v>0</v>
      </c>
      <c r="R485" s="5"/>
      <c r="S485" s="5">
        <f t="shared" si="26"/>
        <v>3025.52</v>
      </c>
      <c r="T485" s="1" t="s">
        <v>726</v>
      </c>
      <c r="U485" s="1" t="s">
        <v>726</v>
      </c>
      <c r="V485" s="1" t="s">
        <v>1017</v>
      </c>
      <c r="W485" s="1" t="s">
        <v>2215</v>
      </c>
      <c r="X485" s="1"/>
      <c r="Y485" s="1"/>
      <c r="Z485" s="21" t="s">
        <v>688</v>
      </c>
      <c r="AA485" s="8"/>
      <c r="AB485" s="8"/>
      <c r="AC485" s="22"/>
      <c r="AD485" s="1"/>
      <c r="AE485" s="29" t="s">
        <v>1021</v>
      </c>
      <c r="AF485" s="1"/>
      <c r="AG485" s="50"/>
    </row>
    <row r="486" spans="1:33" s="51" customFormat="1" x14ac:dyDescent="0.25">
      <c r="A486" s="4"/>
      <c r="B486" s="4">
        <v>45799</v>
      </c>
      <c r="C486" s="1" t="s">
        <v>54</v>
      </c>
      <c r="D486" s="224" t="s">
        <v>3494</v>
      </c>
      <c r="E486" s="1" t="s">
        <v>2214</v>
      </c>
      <c r="F486" s="232" t="s">
        <v>1015</v>
      </c>
      <c r="G486" s="1" t="s">
        <v>1016</v>
      </c>
      <c r="H486" s="8">
        <v>2</v>
      </c>
      <c r="I486" s="8"/>
      <c r="J486" s="115">
        <f>Table224[[#This Row],[Qty]]-Table224[[#This Row],[Issue Qty]]</f>
        <v>2</v>
      </c>
      <c r="K486" s="195"/>
      <c r="L486" s="195" t="s">
        <v>3480</v>
      </c>
      <c r="M486" s="5">
        <v>1282</v>
      </c>
      <c r="N486" s="5">
        <f t="shared" si="24"/>
        <v>2564</v>
      </c>
      <c r="O486" s="82">
        <v>0.18</v>
      </c>
      <c r="P486" s="9">
        <f t="shared" si="25"/>
        <v>461.52</v>
      </c>
      <c r="Q486" s="5">
        <v>0</v>
      </c>
      <c r="R486" s="5"/>
      <c r="S486" s="5">
        <f t="shared" si="26"/>
        <v>3025.52</v>
      </c>
      <c r="T486" s="1" t="s">
        <v>726</v>
      </c>
      <c r="U486" s="1" t="s">
        <v>726</v>
      </c>
      <c r="V486" s="1" t="s">
        <v>1017</v>
      </c>
      <c r="W486" s="1" t="s">
        <v>2215</v>
      </c>
      <c r="X486" s="1"/>
      <c r="Y486" s="1"/>
      <c r="Z486" s="21" t="s">
        <v>688</v>
      </c>
      <c r="AA486" s="8"/>
      <c r="AB486" s="8"/>
      <c r="AC486" s="22"/>
      <c r="AD486" s="1"/>
      <c r="AE486" s="29" t="s">
        <v>1018</v>
      </c>
      <c r="AF486" s="1"/>
      <c r="AG486" s="50"/>
    </row>
    <row r="487" spans="1:33" s="51" customFormat="1" x14ac:dyDescent="0.25">
      <c r="A487" s="4"/>
      <c r="B487" s="4">
        <v>45799</v>
      </c>
      <c r="C487" s="1" t="s">
        <v>54</v>
      </c>
      <c r="D487" s="224" t="s">
        <v>3494</v>
      </c>
      <c r="E487" s="1" t="s">
        <v>2218</v>
      </c>
      <c r="F487" s="102" t="s">
        <v>1026</v>
      </c>
      <c r="G487" s="1" t="s">
        <v>1026</v>
      </c>
      <c r="H487" s="8">
        <v>3</v>
      </c>
      <c r="I487" s="8"/>
      <c r="J487" s="115">
        <f>Table224[[#This Row],[Qty]]-Table224[[#This Row],[Issue Qty]]</f>
        <v>3</v>
      </c>
      <c r="K487" s="195"/>
      <c r="L487" s="195" t="s">
        <v>3480</v>
      </c>
      <c r="M487" s="5">
        <v>139.19999999999999</v>
      </c>
      <c r="N487" s="5">
        <f t="shared" si="24"/>
        <v>417.59999999999997</v>
      </c>
      <c r="O487" s="82">
        <v>0.18</v>
      </c>
      <c r="P487" s="9">
        <f t="shared" si="25"/>
        <v>75.167999999999992</v>
      </c>
      <c r="Q487" s="5">
        <v>413</v>
      </c>
      <c r="R487" s="5"/>
      <c r="S487" s="5">
        <f t="shared" si="26"/>
        <v>905.76800000000003</v>
      </c>
      <c r="T487" s="1" t="s">
        <v>726</v>
      </c>
      <c r="U487" s="1" t="s">
        <v>726</v>
      </c>
      <c r="V487" s="1" t="s">
        <v>1017</v>
      </c>
      <c r="W487" s="1" t="s">
        <v>2215</v>
      </c>
      <c r="X487" s="1"/>
      <c r="Y487" s="1"/>
      <c r="Z487" s="21"/>
      <c r="AA487" s="8"/>
      <c r="AB487" s="8">
        <v>3</v>
      </c>
      <c r="AC487" s="22" t="s">
        <v>481</v>
      </c>
      <c r="AD487" s="1"/>
      <c r="AE487" s="29" t="s">
        <v>977</v>
      </c>
      <c r="AF487" s="1"/>
      <c r="AG487" s="50"/>
    </row>
    <row r="488" spans="1:33" s="51" customFormat="1" ht="30" x14ac:dyDescent="0.25">
      <c r="A488" s="4"/>
      <c r="B488" s="4">
        <v>45800</v>
      </c>
      <c r="C488" s="1" t="s">
        <v>1991</v>
      </c>
      <c r="D488" s="224" t="s">
        <v>3555</v>
      </c>
      <c r="E488" s="26" t="s">
        <v>2219</v>
      </c>
      <c r="F488" s="168" t="s">
        <v>1027</v>
      </c>
      <c r="G488" s="1" t="s">
        <v>1027</v>
      </c>
      <c r="H488" s="8">
        <v>2</v>
      </c>
      <c r="I488" s="8">
        <v>2</v>
      </c>
      <c r="J488" s="115">
        <f>Table224[[#This Row],[Qty]]-Table224[[#This Row],[Issue Qty]]</f>
        <v>0</v>
      </c>
      <c r="K488" s="195"/>
      <c r="L488" s="195" t="s">
        <v>3480</v>
      </c>
      <c r="M488" s="5">
        <v>505.93</v>
      </c>
      <c r="N488" s="5">
        <f t="shared" si="24"/>
        <v>1011.86</v>
      </c>
      <c r="O488" s="82">
        <v>0.18</v>
      </c>
      <c r="P488" s="9">
        <f t="shared" si="25"/>
        <v>182.13479999999998</v>
      </c>
      <c r="Q488" s="5">
        <v>99.01</v>
      </c>
      <c r="R488" s="5"/>
      <c r="S488" s="5">
        <f t="shared" si="26"/>
        <v>1293.0047999999999</v>
      </c>
      <c r="T488" s="1" t="s">
        <v>726</v>
      </c>
      <c r="U488" s="1" t="s">
        <v>726</v>
      </c>
      <c r="V488" s="1" t="s">
        <v>691</v>
      </c>
      <c r="W488" s="1" t="s">
        <v>2220</v>
      </c>
      <c r="X488" s="1"/>
      <c r="Y488" s="26"/>
      <c r="Z488" s="21" t="s">
        <v>650</v>
      </c>
      <c r="AA488" s="21" t="s">
        <v>3617</v>
      </c>
      <c r="AB488" s="21"/>
      <c r="AC488" s="12"/>
      <c r="AD488" s="26" t="s">
        <v>3626</v>
      </c>
      <c r="AE488" s="29"/>
      <c r="AF488" s="26"/>
      <c r="AG488" s="50"/>
    </row>
    <row r="489" spans="1:33" s="51" customFormat="1" x14ac:dyDescent="0.25">
      <c r="A489" s="4"/>
      <c r="B489" s="4">
        <v>45803</v>
      </c>
      <c r="C489" s="6" t="s">
        <v>1688</v>
      </c>
      <c r="D489" s="224" t="s">
        <v>3569</v>
      </c>
      <c r="E489" s="1" t="s">
        <v>2221</v>
      </c>
      <c r="F489" s="102" t="s">
        <v>1029</v>
      </c>
      <c r="G489" s="1" t="s">
        <v>1029</v>
      </c>
      <c r="H489" s="8">
        <v>4</v>
      </c>
      <c r="I489" s="8"/>
      <c r="J489" s="115">
        <f>Table224[[#This Row],[Qty]]-Table224[[#This Row],[Issue Qty]]</f>
        <v>4</v>
      </c>
      <c r="K489" s="195"/>
      <c r="L489" s="195" t="s">
        <v>3480</v>
      </c>
      <c r="M489" s="5">
        <v>22857.142500000002</v>
      </c>
      <c r="N489" s="5">
        <f t="shared" si="24"/>
        <v>91428.57</v>
      </c>
      <c r="O489" s="82">
        <v>0.05</v>
      </c>
      <c r="P489" s="9">
        <f t="shared" si="25"/>
        <v>4571.4285000000009</v>
      </c>
      <c r="Q489" s="5">
        <v>199</v>
      </c>
      <c r="R489" s="5"/>
      <c r="S489" s="5">
        <f t="shared" si="26"/>
        <v>96198.998500000002</v>
      </c>
      <c r="T489" s="1" t="s">
        <v>980</v>
      </c>
      <c r="U489" s="1" t="s">
        <v>980</v>
      </c>
      <c r="V489" s="1" t="s">
        <v>691</v>
      </c>
      <c r="W489" s="1" t="s">
        <v>2222</v>
      </c>
      <c r="X489" s="1"/>
      <c r="Y489" s="1"/>
      <c r="Z489" s="21" t="s">
        <v>29</v>
      </c>
      <c r="AA489" s="8"/>
      <c r="AB489" s="8"/>
      <c r="AC489" s="22"/>
      <c r="AD489" s="1"/>
      <c r="AE489" s="29" t="s">
        <v>1030</v>
      </c>
      <c r="AF489" s="1"/>
      <c r="AG489" s="50"/>
    </row>
    <row r="490" spans="1:33" s="51" customFormat="1" x14ac:dyDescent="0.25">
      <c r="A490" s="4"/>
      <c r="B490" s="4">
        <v>45804</v>
      </c>
      <c r="C490" s="6" t="s">
        <v>1683</v>
      </c>
      <c r="D490" s="224" t="s">
        <v>1663</v>
      </c>
      <c r="E490" s="26" t="s">
        <v>2177</v>
      </c>
      <c r="F490" s="233" t="s">
        <v>971</v>
      </c>
      <c r="G490" s="1" t="s">
        <v>1031</v>
      </c>
      <c r="H490" s="8">
        <v>10</v>
      </c>
      <c r="I490" s="8">
        <v>10</v>
      </c>
      <c r="J490" s="115">
        <f>Table224[[#This Row],[Qty]]-Table224[[#This Row],[Issue Qty]]</f>
        <v>0</v>
      </c>
      <c r="K490" s="195"/>
      <c r="L490" s="195" t="s">
        <v>3480</v>
      </c>
      <c r="M490" s="5">
        <v>0</v>
      </c>
      <c r="N490" s="5">
        <f t="shared" si="24"/>
        <v>0</v>
      </c>
      <c r="O490" s="82">
        <v>0</v>
      </c>
      <c r="P490" s="9">
        <f t="shared" si="25"/>
        <v>0</v>
      </c>
      <c r="Q490" s="5">
        <v>0</v>
      </c>
      <c r="R490" s="5"/>
      <c r="S490" s="5">
        <f t="shared" si="26"/>
        <v>0</v>
      </c>
      <c r="T490" s="1" t="s">
        <v>726</v>
      </c>
      <c r="U490" s="1" t="s">
        <v>726</v>
      </c>
      <c r="V490" s="1" t="s">
        <v>896</v>
      </c>
      <c r="W490" s="1" t="s">
        <v>37</v>
      </c>
      <c r="X490" s="1"/>
      <c r="Y490" s="1"/>
      <c r="Z490" s="21" t="s">
        <v>638</v>
      </c>
      <c r="AA490" s="8" t="s">
        <v>1960</v>
      </c>
      <c r="AB490" s="8"/>
      <c r="AC490" s="12"/>
      <c r="AD490" s="1"/>
      <c r="AE490" s="29"/>
      <c r="AF490" s="1"/>
      <c r="AG490" s="50"/>
    </row>
    <row r="491" spans="1:33" s="51" customFormat="1" x14ac:dyDescent="0.25">
      <c r="A491" s="4"/>
      <c r="B491" s="4">
        <v>45804</v>
      </c>
      <c r="C491" s="6" t="s">
        <v>1683</v>
      </c>
      <c r="D491" s="224" t="s">
        <v>1663</v>
      </c>
      <c r="E491" s="1" t="s">
        <v>2223</v>
      </c>
      <c r="F491" s="102" t="s">
        <v>1033</v>
      </c>
      <c r="G491" s="1" t="s">
        <v>1034</v>
      </c>
      <c r="H491" s="8">
        <v>1</v>
      </c>
      <c r="I491" s="8"/>
      <c r="J491" s="115">
        <f>Table224[[#This Row],[Qty]]-Table224[[#This Row],[Issue Qty]]</f>
        <v>1</v>
      </c>
      <c r="K491" s="195"/>
      <c r="L491" s="195" t="s">
        <v>3480</v>
      </c>
      <c r="M491" s="5">
        <v>1840</v>
      </c>
      <c r="N491" s="5">
        <f t="shared" si="24"/>
        <v>1840</v>
      </c>
      <c r="O491" s="82">
        <v>0.18</v>
      </c>
      <c r="P491" s="9">
        <f t="shared" si="25"/>
        <v>331.2</v>
      </c>
      <c r="Q491" s="5">
        <v>0</v>
      </c>
      <c r="R491" s="5"/>
      <c r="S491" s="5">
        <f t="shared" si="26"/>
        <v>2171.1999999999998</v>
      </c>
      <c r="T491" s="1" t="s">
        <v>890</v>
      </c>
      <c r="U491" s="1" t="s">
        <v>890</v>
      </c>
      <c r="V491" s="1" t="s">
        <v>896</v>
      </c>
      <c r="W491" s="1" t="s">
        <v>2224</v>
      </c>
      <c r="X491" s="1"/>
      <c r="Y491" s="26"/>
      <c r="Z491" s="21"/>
      <c r="AA491" s="204"/>
      <c r="AB491" s="21">
        <v>1</v>
      </c>
      <c r="AC491" s="12" t="s">
        <v>1032</v>
      </c>
      <c r="AD491" s="26"/>
      <c r="AE491" s="29" t="s">
        <v>1035</v>
      </c>
      <c r="AF491" s="26"/>
      <c r="AG491" s="50"/>
    </row>
    <row r="492" spans="1:33" s="51" customFormat="1" x14ac:dyDescent="0.25">
      <c r="A492" s="4"/>
      <c r="B492" s="4">
        <v>45805</v>
      </c>
      <c r="C492" s="1" t="s">
        <v>2003</v>
      </c>
      <c r="D492" s="224" t="s">
        <v>3499</v>
      </c>
      <c r="E492" s="26" t="s">
        <v>2225</v>
      </c>
      <c r="F492" s="233" t="s">
        <v>1036</v>
      </c>
      <c r="G492" s="1" t="s">
        <v>1036</v>
      </c>
      <c r="H492" s="8">
        <v>1</v>
      </c>
      <c r="I492" s="8"/>
      <c r="J492" s="115">
        <f>Table224[[#This Row],[Qty]]-Table224[[#This Row],[Issue Qty]]</f>
        <v>1</v>
      </c>
      <c r="K492" s="195"/>
      <c r="L492" s="195" t="s">
        <v>3480</v>
      </c>
      <c r="M492" s="5">
        <v>350</v>
      </c>
      <c r="N492" s="5">
        <f t="shared" si="24"/>
        <v>350</v>
      </c>
      <c r="O492" s="82">
        <v>0</v>
      </c>
      <c r="P492" s="9">
        <f t="shared" si="25"/>
        <v>0</v>
      </c>
      <c r="Q492" s="5">
        <v>0</v>
      </c>
      <c r="R492" s="5"/>
      <c r="S492" s="5">
        <f t="shared" si="26"/>
        <v>350</v>
      </c>
      <c r="T492" s="1" t="s">
        <v>838</v>
      </c>
      <c r="U492" s="1" t="s">
        <v>838</v>
      </c>
      <c r="V492" s="1" t="s">
        <v>1037</v>
      </c>
      <c r="W492" s="1" t="s">
        <v>37</v>
      </c>
      <c r="X492" s="1"/>
      <c r="Y492" s="1"/>
      <c r="Z492" s="21"/>
      <c r="AA492" s="8"/>
      <c r="AB492" s="8">
        <v>1</v>
      </c>
      <c r="AC492" s="22" t="s">
        <v>1011</v>
      </c>
      <c r="AD492" s="1"/>
      <c r="AE492" s="29"/>
      <c r="AF492" s="1"/>
      <c r="AG492" s="50"/>
    </row>
    <row r="493" spans="1:33" s="51" customFormat="1" x14ac:dyDescent="0.25">
      <c r="A493" s="4"/>
      <c r="B493" s="4">
        <v>45806</v>
      </c>
      <c r="C493" s="6" t="s">
        <v>1683</v>
      </c>
      <c r="D493" s="224" t="s">
        <v>3487</v>
      </c>
      <c r="E493" s="1" t="s">
        <v>2226</v>
      </c>
      <c r="F493" s="102" t="s">
        <v>1038</v>
      </c>
      <c r="G493" s="1" t="s">
        <v>1038</v>
      </c>
      <c r="H493" s="8">
        <v>100</v>
      </c>
      <c r="I493" s="8">
        <v>50</v>
      </c>
      <c r="J493" s="115">
        <f>Table224[[#This Row],[Qty]]-Table224[[#This Row],[Issue Qty]]</f>
        <v>50</v>
      </c>
      <c r="K493" s="195"/>
      <c r="L493" s="195" t="s">
        <v>3480</v>
      </c>
      <c r="M493" s="5">
        <v>9.2799999999999994</v>
      </c>
      <c r="N493" s="5">
        <f t="shared" si="24"/>
        <v>927.99999999999989</v>
      </c>
      <c r="O493" s="82">
        <v>0.18</v>
      </c>
      <c r="P493" s="9">
        <f t="shared" si="25"/>
        <v>167.03999999999996</v>
      </c>
      <c r="Q493" s="5">
        <f>200+200*0.18</f>
        <v>236</v>
      </c>
      <c r="R493" s="5"/>
      <c r="S493" s="5">
        <f t="shared" si="26"/>
        <v>1331.04</v>
      </c>
      <c r="T493" s="1" t="s">
        <v>726</v>
      </c>
      <c r="U493" s="1" t="s">
        <v>726</v>
      </c>
      <c r="V493" s="1" t="s">
        <v>312</v>
      </c>
      <c r="W493" s="1" t="s">
        <v>2227</v>
      </c>
      <c r="X493" s="1"/>
      <c r="Y493" s="1"/>
      <c r="Z493" s="21" t="s">
        <v>638</v>
      </c>
      <c r="AA493" s="8"/>
      <c r="AB493" s="8">
        <v>50</v>
      </c>
      <c r="AC493" s="22" t="s">
        <v>226</v>
      </c>
      <c r="AD493" s="1"/>
      <c r="AE493" s="29" t="s">
        <v>1039</v>
      </c>
      <c r="AF493" s="1"/>
      <c r="AG493" s="50"/>
    </row>
    <row r="494" spans="1:33" s="51" customFormat="1" x14ac:dyDescent="0.25">
      <c r="A494" s="4"/>
      <c r="B494" s="4">
        <v>45807</v>
      </c>
      <c r="C494" s="1" t="s">
        <v>1991</v>
      </c>
      <c r="D494" s="224" t="s">
        <v>3553</v>
      </c>
      <c r="E494" s="1" t="s">
        <v>2229</v>
      </c>
      <c r="F494" s="236" t="s">
        <v>1041</v>
      </c>
      <c r="G494" s="1" t="s">
        <v>1041</v>
      </c>
      <c r="H494" s="8">
        <v>3</v>
      </c>
      <c r="I494" s="8">
        <v>1</v>
      </c>
      <c r="J494" s="115">
        <f>Table224[[#This Row],[Qty]]-Table224[[#This Row],[Issue Qty]]</f>
        <v>2</v>
      </c>
      <c r="K494" s="332">
        <v>1</v>
      </c>
      <c r="L494" s="195" t="s">
        <v>3480</v>
      </c>
      <c r="M494" s="5">
        <v>62.713332999999999</v>
      </c>
      <c r="N494" s="5">
        <f t="shared" si="24"/>
        <v>188.13999899999999</v>
      </c>
      <c r="O494" s="82">
        <v>0.18</v>
      </c>
      <c r="P494" s="9">
        <f t="shared" si="25"/>
        <v>33.865199819999994</v>
      </c>
      <c r="Q494" s="5">
        <v>0</v>
      </c>
      <c r="R494" s="5"/>
      <c r="S494" s="5">
        <f t="shared" si="26"/>
        <v>222.00519881999998</v>
      </c>
      <c r="T494" s="1" t="s">
        <v>939</v>
      </c>
      <c r="U494" s="1" t="s">
        <v>939</v>
      </c>
      <c r="V494" s="1" t="s">
        <v>691</v>
      </c>
      <c r="W494" s="1" t="s">
        <v>2228</v>
      </c>
      <c r="X494" s="1"/>
      <c r="Y494" s="26"/>
      <c r="Z494" s="21" t="s">
        <v>72</v>
      </c>
      <c r="AA494" s="204"/>
      <c r="AB494" s="21">
        <v>1</v>
      </c>
      <c r="AC494" s="22" t="s">
        <v>481</v>
      </c>
      <c r="AD494" s="26"/>
      <c r="AE494" s="29" t="s">
        <v>1042</v>
      </c>
      <c r="AF494" s="26"/>
      <c r="AG494" s="50"/>
    </row>
    <row r="495" spans="1:33" s="51" customFormat="1" ht="30" x14ac:dyDescent="0.25">
      <c r="A495" s="4"/>
      <c r="B495" s="4">
        <v>45807</v>
      </c>
      <c r="C495" s="1" t="s">
        <v>1991</v>
      </c>
      <c r="D495" s="224" t="s">
        <v>3498</v>
      </c>
      <c r="E495" s="26" t="s">
        <v>1970</v>
      </c>
      <c r="F495" s="233" t="s">
        <v>652</v>
      </c>
      <c r="G495" s="1" t="s">
        <v>652</v>
      </c>
      <c r="H495" s="8">
        <v>3</v>
      </c>
      <c r="I495" s="8">
        <v>0</v>
      </c>
      <c r="J495" s="115">
        <f>Table224[[#This Row],[Qty]]-Table224[[#This Row],[Issue Qty]]</f>
        <v>3</v>
      </c>
      <c r="K495" s="195"/>
      <c r="L495" s="195" t="s">
        <v>3480</v>
      </c>
      <c r="M495" s="5">
        <v>24.576667</v>
      </c>
      <c r="N495" s="5">
        <f t="shared" si="24"/>
        <v>73.730001000000001</v>
      </c>
      <c r="O495" s="82">
        <v>0.18</v>
      </c>
      <c r="P495" s="9">
        <f t="shared" si="25"/>
        <v>13.271400180000001</v>
      </c>
      <c r="Q495" s="5">
        <v>0</v>
      </c>
      <c r="R495" s="5"/>
      <c r="S495" s="5">
        <f t="shared" si="26"/>
        <v>87.001401180000002</v>
      </c>
      <c r="T495" s="1" t="s">
        <v>726</v>
      </c>
      <c r="U495" s="1" t="s">
        <v>726</v>
      </c>
      <c r="V495" s="1" t="s">
        <v>691</v>
      </c>
      <c r="W495" s="1" t="s">
        <v>2228</v>
      </c>
      <c r="X495" s="1"/>
      <c r="Y495" s="1"/>
      <c r="Z495" s="21" t="s">
        <v>650</v>
      </c>
      <c r="AA495" s="21" t="s">
        <v>3617</v>
      </c>
      <c r="AB495" s="8"/>
      <c r="AC495" s="22" t="s">
        <v>3619</v>
      </c>
      <c r="AD495" s="1"/>
      <c r="AE495" s="29"/>
      <c r="AF495" s="1"/>
      <c r="AG495" s="50"/>
    </row>
    <row r="496" spans="1:33" s="51" customFormat="1" x14ac:dyDescent="0.25">
      <c r="A496" s="4"/>
      <c r="B496" s="4">
        <v>45807</v>
      </c>
      <c r="C496" s="1" t="s">
        <v>54</v>
      </c>
      <c r="D496" s="224" t="s">
        <v>3494</v>
      </c>
      <c r="E496" s="1" t="s">
        <v>2114</v>
      </c>
      <c r="F496" s="102" t="s">
        <v>878</v>
      </c>
      <c r="G496" s="1" t="s">
        <v>879</v>
      </c>
      <c r="H496" s="8">
        <v>1</v>
      </c>
      <c r="I496" s="8">
        <v>1</v>
      </c>
      <c r="J496" s="115">
        <f>Table224[[#This Row],[Qty]]-Table224[[#This Row],[Issue Qty]]</f>
        <v>0</v>
      </c>
      <c r="K496" s="195"/>
      <c r="L496" s="195" t="s">
        <v>3480</v>
      </c>
      <c r="M496" s="5">
        <v>1040</v>
      </c>
      <c r="N496" s="5">
        <f t="shared" si="24"/>
        <v>1040</v>
      </c>
      <c r="O496" s="82">
        <v>0.18</v>
      </c>
      <c r="P496" s="9">
        <f t="shared" si="25"/>
        <v>187.2</v>
      </c>
      <c r="Q496" s="5">
        <v>0</v>
      </c>
      <c r="R496" s="5"/>
      <c r="S496" s="5">
        <f t="shared" si="26"/>
        <v>1227.2</v>
      </c>
      <c r="T496" s="1" t="s">
        <v>939</v>
      </c>
      <c r="U496" s="1" t="s">
        <v>939</v>
      </c>
      <c r="V496" s="1" t="s">
        <v>829</v>
      </c>
      <c r="W496" s="1" t="s">
        <v>2230</v>
      </c>
      <c r="X496" s="1"/>
      <c r="Y496" s="26"/>
      <c r="Z496" s="21"/>
      <c r="AA496" s="204"/>
      <c r="AB496" s="21">
        <v>1</v>
      </c>
      <c r="AC496" s="12" t="s">
        <v>812</v>
      </c>
      <c r="AD496" s="26"/>
      <c r="AE496" s="29" t="s">
        <v>880</v>
      </c>
      <c r="AF496" s="26"/>
      <c r="AG496" s="50"/>
    </row>
    <row r="497" spans="1:33" s="51" customFormat="1" ht="30" x14ac:dyDescent="0.25">
      <c r="A497" s="4"/>
      <c r="B497" s="4">
        <v>45807</v>
      </c>
      <c r="C497" s="1" t="s">
        <v>1991</v>
      </c>
      <c r="D497" s="224" t="s">
        <v>3463</v>
      </c>
      <c r="E497" s="1" t="s">
        <v>1918</v>
      </c>
      <c r="F497" s="102" t="s">
        <v>562</v>
      </c>
      <c r="G497" s="1" t="s">
        <v>1040</v>
      </c>
      <c r="H497" s="8">
        <v>1</v>
      </c>
      <c r="I497" s="8"/>
      <c r="J497" s="115">
        <f>Table224[[#This Row],[Qty]]-Table224[[#This Row],[Issue Qty]]</f>
        <v>1</v>
      </c>
      <c r="K497" s="195"/>
      <c r="L497" s="195" t="s">
        <v>3480</v>
      </c>
      <c r="M497" s="5">
        <v>161.01499999999999</v>
      </c>
      <c r="N497" s="5">
        <f t="shared" si="24"/>
        <v>161.01499999999999</v>
      </c>
      <c r="O497" s="82">
        <v>0.18</v>
      </c>
      <c r="P497" s="9">
        <f t="shared" si="25"/>
        <v>28.982699999999998</v>
      </c>
      <c r="Q497" s="5">
        <v>99</v>
      </c>
      <c r="R497" s="5"/>
      <c r="S497" s="5">
        <f t="shared" si="26"/>
        <v>288.99770000000001</v>
      </c>
      <c r="T497" s="1" t="s">
        <v>939</v>
      </c>
      <c r="U497" s="1" t="s">
        <v>939</v>
      </c>
      <c r="V497" s="1" t="s">
        <v>691</v>
      </c>
      <c r="W497" s="1" t="s">
        <v>2228</v>
      </c>
      <c r="X497" s="1"/>
      <c r="Y497" s="26"/>
      <c r="Z497" s="21" t="s">
        <v>89</v>
      </c>
      <c r="AA497" s="204" t="s">
        <v>114</v>
      </c>
      <c r="AB497" s="21"/>
      <c r="AC497" s="12"/>
      <c r="AD497" s="26"/>
      <c r="AE497" s="29"/>
      <c r="AF497" s="26"/>
      <c r="AG497" s="50"/>
    </row>
    <row r="498" spans="1:33" s="51" customFormat="1" x14ac:dyDescent="0.25">
      <c r="A498" s="4"/>
      <c r="B498" s="4">
        <v>45807</v>
      </c>
      <c r="C498" s="1" t="s">
        <v>1991</v>
      </c>
      <c r="D498" s="224" t="s">
        <v>3498</v>
      </c>
      <c r="E498" s="1" t="s">
        <v>2231</v>
      </c>
      <c r="F498" s="102" t="s">
        <v>1043</v>
      </c>
      <c r="G498" s="1" t="s">
        <v>1043</v>
      </c>
      <c r="H498" s="8">
        <v>1</v>
      </c>
      <c r="I498" s="8"/>
      <c r="J498" s="115">
        <f>Table224[[#This Row],[Qty]]-Table224[[#This Row],[Issue Qty]]</f>
        <v>1</v>
      </c>
      <c r="K498" s="195"/>
      <c r="L498" s="195" t="s">
        <v>3480</v>
      </c>
      <c r="M498" s="5">
        <v>27.12</v>
      </c>
      <c r="N498" s="5">
        <f t="shared" si="24"/>
        <v>27.12</v>
      </c>
      <c r="O498" s="82">
        <v>0.18</v>
      </c>
      <c r="P498" s="9">
        <f t="shared" si="25"/>
        <v>4.8815999999999997</v>
      </c>
      <c r="Q498" s="5">
        <v>0</v>
      </c>
      <c r="R498" s="5"/>
      <c r="S498" s="5">
        <f t="shared" si="26"/>
        <v>32.001600000000003</v>
      </c>
      <c r="T498" s="1" t="s">
        <v>726</v>
      </c>
      <c r="U498" s="1" t="s">
        <v>726</v>
      </c>
      <c r="V498" s="1" t="s">
        <v>691</v>
      </c>
      <c r="W498" s="1" t="s">
        <v>2228</v>
      </c>
      <c r="X498" s="1"/>
      <c r="Y498" s="1"/>
      <c r="Z498" s="21" t="s">
        <v>650</v>
      </c>
      <c r="AA498" s="21" t="s">
        <v>3617</v>
      </c>
      <c r="AB498" s="8"/>
      <c r="AC498" s="22"/>
      <c r="AD498" s="1"/>
      <c r="AE498" s="29" t="s">
        <v>1043</v>
      </c>
      <c r="AF498" s="1"/>
      <c r="AG498" s="50"/>
    </row>
    <row r="499" spans="1:33" s="51" customFormat="1" x14ac:dyDescent="0.25">
      <c r="A499" s="4"/>
      <c r="B499" s="4">
        <v>45808</v>
      </c>
      <c r="C499" s="1" t="s">
        <v>54</v>
      </c>
      <c r="D499" s="224" t="s">
        <v>3497</v>
      </c>
      <c r="E499" s="1" t="s">
        <v>2039</v>
      </c>
      <c r="F499" s="102" t="s">
        <v>771</v>
      </c>
      <c r="G499" s="1" t="s">
        <v>1049</v>
      </c>
      <c r="H499" s="8">
        <v>1</v>
      </c>
      <c r="I499" s="8">
        <v>1</v>
      </c>
      <c r="J499" s="115">
        <f>Table224[[#This Row],[Qty]]-Table224[[#This Row],[Issue Qty]]</f>
        <v>0</v>
      </c>
      <c r="K499" s="195"/>
      <c r="L499" s="195" t="s">
        <v>3480</v>
      </c>
      <c r="M499" s="5">
        <v>1295</v>
      </c>
      <c r="N499" s="5">
        <f t="shared" ref="N499:N562" si="27">H499*M499</f>
        <v>1295</v>
      </c>
      <c r="O499" s="82">
        <v>0.12</v>
      </c>
      <c r="P499" s="9">
        <f t="shared" ref="P499:P562" si="28">N499*O499</f>
        <v>155.4</v>
      </c>
      <c r="Q499" s="5">
        <v>0</v>
      </c>
      <c r="R499" s="5"/>
      <c r="S499" s="5">
        <f t="shared" ref="S499:S562" si="29">N499+P499+Q499+R499</f>
        <v>1450.4</v>
      </c>
      <c r="T499" s="1" t="s">
        <v>939</v>
      </c>
      <c r="U499" s="1" t="s">
        <v>939</v>
      </c>
      <c r="V499" s="1" t="s">
        <v>601</v>
      </c>
      <c r="W499" s="1">
        <v>50181</v>
      </c>
      <c r="X499" s="1"/>
      <c r="Y499" s="26"/>
      <c r="Z499" s="21" t="s">
        <v>3607</v>
      </c>
      <c r="AA499" s="204"/>
      <c r="AB499" s="21">
        <v>1</v>
      </c>
      <c r="AC499" s="12" t="s">
        <v>612</v>
      </c>
      <c r="AD499" s="26"/>
      <c r="AE499" s="29"/>
      <c r="AF499" s="26"/>
      <c r="AG499" s="50"/>
    </row>
    <row r="500" spans="1:33" s="51" customFormat="1" x14ac:dyDescent="0.25">
      <c r="A500" s="4"/>
      <c r="B500" s="4">
        <v>45808</v>
      </c>
      <c r="C500" s="1" t="s">
        <v>2003</v>
      </c>
      <c r="D500" s="224" t="s">
        <v>3460</v>
      </c>
      <c r="E500" s="1" t="s">
        <v>2232</v>
      </c>
      <c r="F500" s="102" t="s">
        <v>1044</v>
      </c>
      <c r="G500" s="1" t="s">
        <v>1044</v>
      </c>
      <c r="H500" s="8">
        <v>5</v>
      </c>
      <c r="I500" s="8"/>
      <c r="J500" s="115">
        <f>Table224[[#This Row],[Qty]]-Table224[[#This Row],[Issue Qty]]</f>
        <v>5</v>
      </c>
      <c r="K500" s="195"/>
      <c r="L500" s="195" t="s">
        <v>3480</v>
      </c>
      <c r="M500" s="5">
        <f>25904.69/5</f>
        <v>5180.9380000000001</v>
      </c>
      <c r="N500" s="5">
        <f t="shared" si="27"/>
        <v>25904.690000000002</v>
      </c>
      <c r="O500" s="82">
        <v>0</v>
      </c>
      <c r="P500" s="9">
        <f t="shared" si="28"/>
        <v>0</v>
      </c>
      <c r="Q500" s="5">
        <v>0</v>
      </c>
      <c r="R500" s="5"/>
      <c r="S500" s="5">
        <f t="shared" si="29"/>
        <v>25904.690000000002</v>
      </c>
      <c r="T500" s="1" t="s">
        <v>980</v>
      </c>
      <c r="U500" s="1" t="s">
        <v>980</v>
      </c>
      <c r="V500" s="1" t="s">
        <v>1045</v>
      </c>
      <c r="W500" s="1">
        <v>41231</v>
      </c>
      <c r="X500" s="1"/>
      <c r="Y500" s="1"/>
      <c r="Z500" s="21" t="s">
        <v>1046</v>
      </c>
      <c r="AA500" s="8"/>
      <c r="AB500" s="8"/>
      <c r="AC500" s="22"/>
      <c r="AD500" s="1"/>
      <c r="AE500" s="29" t="s">
        <v>1047</v>
      </c>
      <c r="AF500" s="1"/>
      <c r="AG500" s="50"/>
    </row>
    <row r="501" spans="1:33" s="51" customFormat="1" x14ac:dyDescent="0.25">
      <c r="A501" s="4"/>
      <c r="B501" s="4">
        <v>45808</v>
      </c>
      <c r="C501" s="1" t="s">
        <v>54</v>
      </c>
      <c r="D501" s="224" t="s">
        <v>3489</v>
      </c>
      <c r="E501" s="1" t="s">
        <v>2206</v>
      </c>
      <c r="F501" s="102" t="s">
        <v>1003</v>
      </c>
      <c r="G501" s="1" t="s">
        <v>1004</v>
      </c>
      <c r="H501" s="8">
        <v>6</v>
      </c>
      <c r="I501" s="8">
        <v>6</v>
      </c>
      <c r="J501" s="115">
        <f>Table224[[#This Row],[Qty]]-Table224[[#This Row],[Issue Qty]]</f>
        <v>0</v>
      </c>
      <c r="K501" s="195"/>
      <c r="L501" s="195" t="s">
        <v>3480</v>
      </c>
      <c r="M501" s="5">
        <v>178</v>
      </c>
      <c r="N501" s="5">
        <f t="shared" si="27"/>
        <v>1068</v>
      </c>
      <c r="O501" s="82">
        <v>0.12</v>
      </c>
      <c r="P501" s="9">
        <f t="shared" si="28"/>
        <v>128.16</v>
      </c>
      <c r="Q501" s="5">
        <v>112.04</v>
      </c>
      <c r="R501" s="5"/>
      <c r="S501" s="5">
        <f t="shared" si="29"/>
        <v>1308.2</v>
      </c>
      <c r="T501" s="1" t="s">
        <v>890</v>
      </c>
      <c r="U501" s="1" t="s">
        <v>890</v>
      </c>
      <c r="V501" s="1" t="s">
        <v>601</v>
      </c>
      <c r="W501" s="1">
        <v>50181</v>
      </c>
      <c r="X501" s="1"/>
      <c r="Y501" s="26"/>
      <c r="Z501" s="21" t="s">
        <v>268</v>
      </c>
      <c r="AA501" s="204"/>
      <c r="AB501" s="21">
        <v>6</v>
      </c>
      <c r="AC501" s="12" t="s">
        <v>3803</v>
      </c>
      <c r="AD501" s="26"/>
      <c r="AE501" s="29" t="s">
        <v>1048</v>
      </c>
      <c r="AF501" s="26"/>
      <c r="AG501" s="50"/>
    </row>
    <row r="502" spans="1:33" s="51" customFormat="1" x14ac:dyDescent="0.25">
      <c r="A502" s="4"/>
      <c r="B502" s="4">
        <v>45808</v>
      </c>
      <c r="C502" s="1" t="s">
        <v>54</v>
      </c>
      <c r="D502" s="224" t="s">
        <v>3497</v>
      </c>
      <c r="E502" s="1" t="s">
        <v>2038</v>
      </c>
      <c r="F502" s="102" t="s">
        <v>768</v>
      </c>
      <c r="G502" s="1" t="s">
        <v>1050</v>
      </c>
      <c r="H502" s="8">
        <v>1</v>
      </c>
      <c r="I502" s="8">
        <v>1</v>
      </c>
      <c r="J502" s="115">
        <f>Table224[[#This Row],[Qty]]-Table224[[#This Row],[Issue Qty]]</f>
        <v>0</v>
      </c>
      <c r="K502" s="195"/>
      <c r="L502" s="195" t="s">
        <v>3480</v>
      </c>
      <c r="M502" s="5">
        <v>1195</v>
      </c>
      <c r="N502" s="5">
        <f t="shared" si="27"/>
        <v>1195</v>
      </c>
      <c r="O502" s="82">
        <v>0.12</v>
      </c>
      <c r="P502" s="9">
        <f t="shared" si="28"/>
        <v>143.4</v>
      </c>
      <c r="Q502" s="5">
        <v>0</v>
      </c>
      <c r="R502" s="5"/>
      <c r="S502" s="5">
        <f t="shared" si="29"/>
        <v>1338.4</v>
      </c>
      <c r="T502" s="1" t="s">
        <v>939</v>
      </c>
      <c r="U502" s="1" t="s">
        <v>939</v>
      </c>
      <c r="V502" s="1" t="s">
        <v>601</v>
      </c>
      <c r="W502" s="1">
        <v>50181</v>
      </c>
      <c r="X502" s="1"/>
      <c r="Y502" s="26"/>
      <c r="Z502" s="21" t="s">
        <v>3607</v>
      </c>
      <c r="AA502" s="204"/>
      <c r="AB502" s="21">
        <v>1</v>
      </c>
      <c r="AC502" s="12" t="s">
        <v>612</v>
      </c>
      <c r="AD502" s="26"/>
      <c r="AE502" s="29"/>
      <c r="AF502" s="26"/>
      <c r="AG502" s="50"/>
    </row>
    <row r="503" spans="1:33" s="51" customFormat="1" ht="30" x14ac:dyDescent="0.25">
      <c r="A503" s="4"/>
      <c r="B503" s="4">
        <v>45808</v>
      </c>
      <c r="C503" s="6" t="s">
        <v>1695</v>
      </c>
      <c r="D503" s="224" t="s">
        <v>3457</v>
      </c>
      <c r="E503" s="1" t="s">
        <v>1810</v>
      </c>
      <c r="F503" s="102" t="s">
        <v>316</v>
      </c>
      <c r="G503" s="1" t="s">
        <v>316</v>
      </c>
      <c r="H503" s="8">
        <v>5</v>
      </c>
      <c r="I503" s="8"/>
      <c r="J503" s="115">
        <f>Table224[[#This Row],[Qty]]-Table224[[#This Row],[Issue Qty]]</f>
        <v>5</v>
      </c>
      <c r="K503" s="195"/>
      <c r="L503" s="195" t="s">
        <v>3480</v>
      </c>
      <c r="M503" s="5">
        <f>68370/5</f>
        <v>13674</v>
      </c>
      <c r="N503" s="5">
        <f t="shared" si="27"/>
        <v>68370</v>
      </c>
      <c r="O503" s="82">
        <v>0</v>
      </c>
      <c r="P503" s="9">
        <f t="shared" si="28"/>
        <v>0</v>
      </c>
      <c r="Q503" s="5">
        <v>0</v>
      </c>
      <c r="R503" s="5"/>
      <c r="S503" s="5">
        <f t="shared" si="29"/>
        <v>68370</v>
      </c>
      <c r="T503" s="1" t="s">
        <v>980</v>
      </c>
      <c r="U503" s="1" t="s">
        <v>980</v>
      </c>
      <c r="V503" s="1" t="s">
        <v>1045</v>
      </c>
      <c r="W503" s="1">
        <v>41231</v>
      </c>
      <c r="X503" s="1"/>
      <c r="Y503" s="1"/>
      <c r="Z503" s="21" t="s">
        <v>1046</v>
      </c>
      <c r="AA503" s="8"/>
      <c r="AB503" s="8"/>
      <c r="AC503" s="22"/>
      <c r="AD503" s="1"/>
      <c r="AE503" s="29" t="s">
        <v>318</v>
      </c>
      <c r="AF503" s="1"/>
      <c r="AG503" s="50"/>
    </row>
    <row r="504" spans="1:33" s="51" customFormat="1" ht="30" x14ac:dyDescent="0.25">
      <c r="A504" s="4"/>
      <c r="B504" s="4">
        <v>45810</v>
      </c>
      <c r="C504" s="6" t="s">
        <v>1683</v>
      </c>
      <c r="D504" s="224" t="s">
        <v>3438</v>
      </c>
      <c r="E504" s="1" t="s">
        <v>2234</v>
      </c>
      <c r="F504" s="102" t="s">
        <v>1054</v>
      </c>
      <c r="G504" s="1" t="s">
        <v>1055</v>
      </c>
      <c r="H504" s="8">
        <v>1</v>
      </c>
      <c r="I504" s="8">
        <v>1</v>
      </c>
      <c r="J504" s="115">
        <f>Table224[[#This Row],[Qty]]-Table224[[#This Row],[Issue Qty]]</f>
        <v>0</v>
      </c>
      <c r="K504" s="195"/>
      <c r="L504" s="195" t="s">
        <v>3480</v>
      </c>
      <c r="M504" s="5">
        <v>1300</v>
      </c>
      <c r="N504" s="5">
        <f t="shared" si="27"/>
        <v>1300</v>
      </c>
      <c r="O504" s="82">
        <v>0.18</v>
      </c>
      <c r="P504" s="9">
        <f t="shared" si="28"/>
        <v>234</v>
      </c>
      <c r="Q504" s="5">
        <v>0</v>
      </c>
      <c r="R504" s="5"/>
      <c r="S504" s="5">
        <f t="shared" si="29"/>
        <v>1534</v>
      </c>
      <c r="T504" s="1" t="s">
        <v>838</v>
      </c>
      <c r="U504" s="1" t="s">
        <v>838</v>
      </c>
      <c r="V504" s="1" t="s">
        <v>1056</v>
      </c>
      <c r="W504" s="1">
        <v>24</v>
      </c>
      <c r="X504" s="1"/>
      <c r="Y504" s="26"/>
      <c r="Z504" s="21"/>
      <c r="AA504" s="204"/>
      <c r="AB504" s="21">
        <v>1</v>
      </c>
      <c r="AC504" s="12" t="s">
        <v>2922</v>
      </c>
      <c r="AD504" s="26"/>
      <c r="AE504" s="29"/>
      <c r="AF504" s="26"/>
      <c r="AG504" s="50"/>
    </row>
    <row r="505" spans="1:33" s="51" customFormat="1" x14ac:dyDescent="0.25">
      <c r="A505" s="4"/>
      <c r="B505" s="4">
        <v>45810</v>
      </c>
      <c r="C505" s="6" t="s">
        <v>1730</v>
      </c>
      <c r="D505" s="6" t="s">
        <v>1730</v>
      </c>
      <c r="E505" s="1" t="s">
        <v>37</v>
      </c>
      <c r="F505" s="102" t="s">
        <v>1057</v>
      </c>
      <c r="G505" s="1" t="s">
        <v>1057</v>
      </c>
      <c r="H505" s="8">
        <v>2</v>
      </c>
      <c r="I505" s="8"/>
      <c r="J505" s="115">
        <f>Table224[[#This Row],[Qty]]-Table224[[#This Row],[Issue Qty]]</f>
        <v>2</v>
      </c>
      <c r="K505" s="195"/>
      <c r="L505" s="195" t="s">
        <v>3480</v>
      </c>
      <c r="M505" s="5">
        <v>100</v>
      </c>
      <c r="N505" s="5">
        <f t="shared" si="27"/>
        <v>200</v>
      </c>
      <c r="O505" s="82">
        <v>0.18</v>
      </c>
      <c r="P505" s="9">
        <f t="shared" si="28"/>
        <v>36</v>
      </c>
      <c r="Q505" s="5">
        <v>0</v>
      </c>
      <c r="R505" s="5"/>
      <c r="S505" s="5">
        <f t="shared" si="29"/>
        <v>236</v>
      </c>
      <c r="T505" s="1" t="s">
        <v>838</v>
      </c>
      <c r="U505" s="1" t="s">
        <v>838</v>
      </c>
      <c r="V505" s="1" t="s">
        <v>1056</v>
      </c>
      <c r="W505" s="1">
        <v>24</v>
      </c>
      <c r="X505" s="1"/>
      <c r="Y505" s="26"/>
      <c r="Z505" s="21"/>
      <c r="AA505" s="204"/>
      <c r="AB505" s="21">
        <v>2</v>
      </c>
      <c r="AC505" s="12" t="s">
        <v>1011</v>
      </c>
      <c r="AD505" s="26"/>
      <c r="AE505" s="29"/>
      <c r="AF505" s="26"/>
      <c r="AG505" s="50"/>
    </row>
    <row r="506" spans="1:33" s="51" customFormat="1" x14ac:dyDescent="0.25">
      <c r="A506" s="4"/>
      <c r="B506" s="4">
        <v>45810</v>
      </c>
      <c r="C506" s="6" t="s">
        <v>1683</v>
      </c>
      <c r="D506" s="224" t="s">
        <v>3488</v>
      </c>
      <c r="E506" s="26" t="s">
        <v>2233</v>
      </c>
      <c r="F506" s="233" t="s">
        <v>1051</v>
      </c>
      <c r="G506" s="1" t="s">
        <v>1052</v>
      </c>
      <c r="H506" s="8">
        <v>10</v>
      </c>
      <c r="I506" s="8"/>
      <c r="J506" s="115">
        <f>Table224[[#This Row],[Qty]]-Table224[[#This Row],[Issue Qty]]</f>
        <v>10</v>
      </c>
      <c r="K506" s="195"/>
      <c r="L506" s="195" t="s">
        <v>3480</v>
      </c>
      <c r="M506" s="5">
        <v>3252.7</v>
      </c>
      <c r="N506" s="5">
        <f t="shared" si="27"/>
        <v>32527</v>
      </c>
      <c r="O506" s="82">
        <v>0</v>
      </c>
      <c r="P506" s="9">
        <f t="shared" si="28"/>
        <v>0</v>
      </c>
      <c r="Q506" s="5">
        <v>0</v>
      </c>
      <c r="R506" s="5"/>
      <c r="S506" s="5">
        <f t="shared" si="29"/>
        <v>32527</v>
      </c>
      <c r="T506" s="1" t="s">
        <v>980</v>
      </c>
      <c r="U506" s="1" t="s">
        <v>980</v>
      </c>
      <c r="V506" s="1" t="s">
        <v>1053</v>
      </c>
      <c r="W506" s="1">
        <v>250500589</v>
      </c>
      <c r="X506" s="1"/>
      <c r="Y506" s="1"/>
      <c r="Z506" s="21" t="s">
        <v>22</v>
      </c>
      <c r="AA506" s="21" t="s">
        <v>1963</v>
      </c>
      <c r="AB506" s="8"/>
      <c r="AC506" s="22"/>
      <c r="AD506" s="1"/>
      <c r="AE506" s="29"/>
      <c r="AF506" s="1"/>
      <c r="AG506" s="50"/>
    </row>
    <row r="507" spans="1:33" s="51" customFormat="1" ht="30" x14ac:dyDescent="0.25">
      <c r="A507" s="4"/>
      <c r="B507" s="4">
        <v>45811</v>
      </c>
      <c r="C507" s="6" t="s">
        <v>1683</v>
      </c>
      <c r="D507" s="224" t="s">
        <v>3438</v>
      </c>
      <c r="E507" s="1" t="s">
        <v>2235</v>
      </c>
      <c r="F507" s="102" t="s">
        <v>1058</v>
      </c>
      <c r="G507" s="1" t="s">
        <v>1059</v>
      </c>
      <c r="H507" s="8">
        <v>1</v>
      </c>
      <c r="I507" s="8">
        <v>1</v>
      </c>
      <c r="J507" s="115">
        <f>Table224[[#This Row],[Qty]]-Table224[[#This Row],[Issue Qty]]</f>
        <v>0</v>
      </c>
      <c r="K507" s="195"/>
      <c r="L507" s="195" t="s">
        <v>3480</v>
      </c>
      <c r="M507" s="5">
        <v>1050</v>
      </c>
      <c r="N507" s="5">
        <f t="shared" si="27"/>
        <v>1050</v>
      </c>
      <c r="O507" s="82">
        <v>0.05</v>
      </c>
      <c r="P507" s="9">
        <f t="shared" si="28"/>
        <v>52.5</v>
      </c>
      <c r="Q507" s="5">
        <v>88.5</v>
      </c>
      <c r="R507" s="5"/>
      <c r="S507" s="5">
        <f t="shared" si="29"/>
        <v>1191</v>
      </c>
      <c r="T507" s="1" t="s">
        <v>838</v>
      </c>
      <c r="U507" s="1" t="s">
        <v>838</v>
      </c>
      <c r="V507" s="1" t="s">
        <v>1060</v>
      </c>
      <c r="W507" s="1" t="s">
        <v>2236</v>
      </c>
      <c r="X507" s="1"/>
      <c r="Y507" s="26"/>
      <c r="Z507" s="21"/>
      <c r="AA507" s="204"/>
      <c r="AB507" s="21">
        <v>1</v>
      </c>
      <c r="AC507" s="12" t="s">
        <v>2915</v>
      </c>
      <c r="AD507" s="26"/>
      <c r="AE507" s="29" t="s">
        <v>1061</v>
      </c>
      <c r="AF507" s="26"/>
      <c r="AG507" s="50"/>
    </row>
    <row r="508" spans="1:33" s="51" customFormat="1" x14ac:dyDescent="0.25">
      <c r="A508" s="4"/>
      <c r="B508" s="4">
        <v>45811</v>
      </c>
      <c r="C508" s="1" t="s">
        <v>54</v>
      </c>
      <c r="D508" s="224" t="s">
        <v>3489</v>
      </c>
      <c r="E508" s="1" t="s">
        <v>2237</v>
      </c>
      <c r="F508" s="102" t="s">
        <v>1062</v>
      </c>
      <c r="G508" s="1" t="s">
        <v>1062</v>
      </c>
      <c r="H508" s="8">
        <v>8</v>
      </c>
      <c r="I508" s="8">
        <v>8</v>
      </c>
      <c r="J508" s="115">
        <f>Table224[[#This Row],[Qty]]-Table224[[#This Row],[Issue Qty]]</f>
        <v>0</v>
      </c>
      <c r="K508" s="195"/>
      <c r="L508" s="195" t="s">
        <v>3480</v>
      </c>
      <c r="M508" s="5">
        <v>679</v>
      </c>
      <c r="N508" s="5">
        <f t="shared" si="27"/>
        <v>5432</v>
      </c>
      <c r="O508" s="82">
        <v>0.18</v>
      </c>
      <c r="P508" s="9">
        <f t="shared" si="28"/>
        <v>977.76</v>
      </c>
      <c r="Q508" s="5">
        <v>0</v>
      </c>
      <c r="R508" s="5"/>
      <c r="S508" s="5">
        <f t="shared" si="29"/>
        <v>6409.76</v>
      </c>
      <c r="T508" s="1" t="s">
        <v>939</v>
      </c>
      <c r="U508" s="1" t="s">
        <v>939</v>
      </c>
      <c r="V508" s="1" t="s">
        <v>764</v>
      </c>
      <c r="W508" s="1" t="s">
        <v>2238</v>
      </c>
      <c r="X508" s="1"/>
      <c r="Y508" s="26"/>
      <c r="Z508" s="21" t="s">
        <v>3607</v>
      </c>
      <c r="AA508" s="204"/>
      <c r="AB508" s="21">
        <v>8</v>
      </c>
      <c r="AC508" s="12" t="s">
        <v>331</v>
      </c>
      <c r="AD508" s="26"/>
      <c r="AE508" s="29" t="s">
        <v>1063</v>
      </c>
      <c r="AF508" s="26"/>
      <c r="AG508" s="50"/>
    </row>
    <row r="509" spans="1:33" s="51" customFormat="1" x14ac:dyDescent="0.25">
      <c r="A509" s="4"/>
      <c r="B509" s="4">
        <v>45811</v>
      </c>
      <c r="C509" s="1" t="s">
        <v>54</v>
      </c>
      <c r="D509" s="224" t="s">
        <v>3489</v>
      </c>
      <c r="E509" s="1" t="s">
        <v>2239</v>
      </c>
      <c r="F509" s="102" t="s">
        <v>1064</v>
      </c>
      <c r="G509" s="1" t="s">
        <v>1064</v>
      </c>
      <c r="H509" s="8">
        <v>8</v>
      </c>
      <c r="I509" s="8">
        <v>8</v>
      </c>
      <c r="J509" s="115">
        <f>Table224[[#This Row],[Qty]]-Table224[[#This Row],[Issue Qty]]</f>
        <v>0</v>
      </c>
      <c r="K509" s="195"/>
      <c r="L509" s="195" t="s">
        <v>3480</v>
      </c>
      <c r="M509" s="5">
        <v>1549</v>
      </c>
      <c r="N509" s="5">
        <f t="shared" si="27"/>
        <v>12392</v>
      </c>
      <c r="O509" s="82">
        <v>0.18</v>
      </c>
      <c r="P509" s="9">
        <f t="shared" si="28"/>
        <v>2230.56</v>
      </c>
      <c r="Q509" s="5">
        <v>0</v>
      </c>
      <c r="R509" s="5"/>
      <c r="S509" s="5">
        <f t="shared" si="29"/>
        <v>14622.56</v>
      </c>
      <c r="T509" s="1" t="s">
        <v>939</v>
      </c>
      <c r="U509" s="1" t="s">
        <v>939</v>
      </c>
      <c r="V509" s="1" t="s">
        <v>764</v>
      </c>
      <c r="W509" s="1" t="s">
        <v>2238</v>
      </c>
      <c r="X509" s="1"/>
      <c r="Y509" s="26"/>
      <c r="Z509" s="21" t="s">
        <v>3607</v>
      </c>
      <c r="AA509" s="204"/>
      <c r="AB509" s="21">
        <v>8</v>
      </c>
      <c r="AC509" s="12" t="s">
        <v>331</v>
      </c>
      <c r="AD509" s="26"/>
      <c r="AE509" s="29" t="s">
        <v>1065</v>
      </c>
      <c r="AF509" s="26"/>
      <c r="AG509" s="50"/>
    </row>
    <row r="510" spans="1:33" s="51" customFormat="1" x14ac:dyDescent="0.25">
      <c r="A510" s="4"/>
      <c r="B510" s="4">
        <v>45812</v>
      </c>
      <c r="C510" s="1" t="s">
        <v>1991</v>
      </c>
      <c r="D510" s="224" t="s">
        <v>3459</v>
      </c>
      <c r="E510" s="26" t="s">
        <v>2240</v>
      </c>
      <c r="F510" s="233" t="s">
        <v>1066</v>
      </c>
      <c r="G510" s="1" t="s">
        <v>1066</v>
      </c>
      <c r="H510" s="8">
        <v>1</v>
      </c>
      <c r="I510" s="8"/>
      <c r="J510" s="115">
        <f>Table224[[#This Row],[Qty]]-Table224[[#This Row],[Issue Qty]]</f>
        <v>1</v>
      </c>
      <c r="K510" s="195"/>
      <c r="L510" s="195" t="s">
        <v>3480</v>
      </c>
      <c r="M510" s="5">
        <v>72390</v>
      </c>
      <c r="N510" s="5">
        <f t="shared" si="27"/>
        <v>72390</v>
      </c>
      <c r="O510" s="82">
        <v>0.18</v>
      </c>
      <c r="P510" s="9">
        <f t="shared" si="28"/>
        <v>13030.199999999999</v>
      </c>
      <c r="Q510" s="5">
        <v>0</v>
      </c>
      <c r="R510" s="5"/>
      <c r="S510" s="5">
        <f t="shared" si="29"/>
        <v>85420.2</v>
      </c>
      <c r="T510" s="1" t="s">
        <v>980</v>
      </c>
      <c r="U510" s="1" t="s">
        <v>980</v>
      </c>
      <c r="V510" s="1" t="s">
        <v>875</v>
      </c>
      <c r="W510" s="1" t="s">
        <v>2241</v>
      </c>
      <c r="X510" s="1"/>
      <c r="Y510" s="1"/>
      <c r="Z510" s="21" t="s">
        <v>388</v>
      </c>
      <c r="AA510" s="8"/>
      <c r="AB510" s="8"/>
      <c r="AC510" s="22"/>
      <c r="AD510" s="1"/>
      <c r="AE510" s="29"/>
      <c r="AF510" s="1"/>
      <c r="AG510" s="50"/>
    </row>
    <row r="511" spans="1:33" s="51" customFormat="1" x14ac:dyDescent="0.25">
      <c r="A511" s="4"/>
      <c r="B511" s="4">
        <v>45812</v>
      </c>
      <c r="C511" s="1" t="s">
        <v>1991</v>
      </c>
      <c r="D511" s="224" t="s">
        <v>3459</v>
      </c>
      <c r="E511" s="26" t="s">
        <v>2242</v>
      </c>
      <c r="F511" s="233" t="s">
        <v>1067</v>
      </c>
      <c r="G511" s="1" t="s">
        <v>1067</v>
      </c>
      <c r="H511" s="8">
        <v>1</v>
      </c>
      <c r="I511" s="8"/>
      <c r="J511" s="115">
        <f>Table224[[#This Row],[Qty]]-Table224[[#This Row],[Issue Qty]]</f>
        <v>1</v>
      </c>
      <c r="K511" s="195"/>
      <c r="L511" s="195" t="s">
        <v>3480</v>
      </c>
      <c r="M511" s="5">
        <v>81430</v>
      </c>
      <c r="N511" s="5">
        <f t="shared" si="27"/>
        <v>81430</v>
      </c>
      <c r="O511" s="82">
        <v>0.18</v>
      </c>
      <c r="P511" s="9">
        <f t="shared" si="28"/>
        <v>14657.4</v>
      </c>
      <c r="Q511" s="5">
        <v>0</v>
      </c>
      <c r="R511" s="5"/>
      <c r="S511" s="5">
        <f t="shared" si="29"/>
        <v>96087.4</v>
      </c>
      <c r="T511" s="1" t="s">
        <v>980</v>
      </c>
      <c r="U511" s="1" t="s">
        <v>980</v>
      </c>
      <c r="V511" s="1" t="s">
        <v>875</v>
      </c>
      <c r="W511" s="1" t="s">
        <v>2241</v>
      </c>
      <c r="X511" s="1"/>
      <c r="Y511" s="1"/>
      <c r="Z511" s="21" t="s">
        <v>388</v>
      </c>
      <c r="AA511" s="8"/>
      <c r="AB511" s="8"/>
      <c r="AC511" s="22"/>
      <c r="AD511" s="1"/>
      <c r="AE511" s="29"/>
      <c r="AF511" s="1"/>
      <c r="AG511" s="50"/>
    </row>
    <row r="512" spans="1:33" s="51" customFormat="1" x14ac:dyDescent="0.25">
      <c r="A512" s="4"/>
      <c r="B512" s="4">
        <v>45813</v>
      </c>
      <c r="C512" s="1" t="s">
        <v>2003</v>
      </c>
      <c r="D512" s="224" t="s">
        <v>3499</v>
      </c>
      <c r="E512" s="26" t="s">
        <v>2243</v>
      </c>
      <c r="F512" s="233" t="s">
        <v>1068</v>
      </c>
      <c r="G512" s="1" t="s">
        <v>1069</v>
      </c>
      <c r="H512" s="8">
        <v>1</v>
      </c>
      <c r="I512" s="8">
        <v>1</v>
      </c>
      <c r="J512" s="115">
        <f>Table224[[#This Row],[Qty]]-Table224[[#This Row],[Issue Qty]]</f>
        <v>0</v>
      </c>
      <c r="K512" s="195"/>
      <c r="L512" s="195" t="s">
        <v>3480</v>
      </c>
      <c r="M512" s="5">
        <v>10000</v>
      </c>
      <c r="N512" s="5">
        <f t="shared" si="27"/>
        <v>10000</v>
      </c>
      <c r="O512" s="82">
        <v>0.18</v>
      </c>
      <c r="P512" s="9">
        <f t="shared" si="28"/>
        <v>1800</v>
      </c>
      <c r="Q512" s="5">
        <v>0</v>
      </c>
      <c r="R512" s="5"/>
      <c r="S512" s="5">
        <f t="shared" si="29"/>
        <v>11800</v>
      </c>
      <c r="T512" s="1" t="s">
        <v>907</v>
      </c>
      <c r="U512" s="1" t="s">
        <v>907</v>
      </c>
      <c r="V512" s="1" t="s">
        <v>956</v>
      </c>
      <c r="W512" s="1" t="s">
        <v>2188</v>
      </c>
      <c r="X512" s="1"/>
      <c r="Y512" s="26"/>
      <c r="Z512" s="21" t="s">
        <v>3607</v>
      </c>
      <c r="AA512" s="204"/>
      <c r="AB512" s="21">
        <v>1</v>
      </c>
      <c r="AC512" s="22" t="s">
        <v>2909</v>
      </c>
      <c r="AD512" s="26"/>
      <c r="AE512" s="29"/>
      <c r="AF512" s="26"/>
      <c r="AG512" s="50"/>
    </row>
    <row r="513" spans="1:33" s="51" customFormat="1" x14ac:dyDescent="0.25">
      <c r="A513" s="4"/>
      <c r="B513" s="4">
        <v>45813</v>
      </c>
      <c r="C513" s="6" t="s">
        <v>1683</v>
      </c>
      <c r="D513" s="224" t="s">
        <v>3431</v>
      </c>
      <c r="E513" s="26" t="s">
        <v>2244</v>
      </c>
      <c r="F513" s="233" t="s">
        <v>1070</v>
      </c>
      <c r="G513" s="1" t="s">
        <v>1070</v>
      </c>
      <c r="H513" s="8">
        <v>5</v>
      </c>
      <c r="I513" s="8">
        <v>4</v>
      </c>
      <c r="J513" s="115">
        <f>Table224[[#This Row],[Qty]]-Table224[[#This Row],[Issue Qty]]</f>
        <v>1</v>
      </c>
      <c r="K513" s="195"/>
      <c r="L513" s="195" t="s">
        <v>3480</v>
      </c>
      <c r="M513" s="5">
        <v>9281</v>
      </c>
      <c r="N513" s="5">
        <f t="shared" si="27"/>
        <v>46405</v>
      </c>
      <c r="O513" s="82">
        <v>0.05</v>
      </c>
      <c r="P513" s="9">
        <f t="shared" si="28"/>
        <v>2320.25</v>
      </c>
      <c r="Q513" s="5">
        <v>0</v>
      </c>
      <c r="R513" s="5"/>
      <c r="S513" s="5">
        <f t="shared" si="29"/>
        <v>48725.25</v>
      </c>
      <c r="T513" s="1" t="s">
        <v>907</v>
      </c>
      <c r="U513" s="1" t="s">
        <v>907</v>
      </c>
      <c r="V513" s="1" t="s">
        <v>444</v>
      </c>
      <c r="W513" s="1" t="s">
        <v>2245</v>
      </c>
      <c r="X513" s="1"/>
      <c r="Y513" s="1"/>
      <c r="Z513" s="21" t="s">
        <v>64</v>
      </c>
      <c r="AA513" s="21" t="s">
        <v>460</v>
      </c>
      <c r="AB513" s="8">
        <v>4</v>
      </c>
      <c r="AC513" s="22" t="s">
        <v>3433</v>
      </c>
      <c r="AD513" s="1"/>
      <c r="AE513" s="29"/>
      <c r="AF513" s="1"/>
      <c r="AG513" s="50"/>
    </row>
    <row r="514" spans="1:33" s="51" customFormat="1" x14ac:dyDescent="0.25">
      <c r="A514" s="4"/>
      <c r="B514" s="4">
        <v>45813</v>
      </c>
      <c r="C514" s="6" t="s">
        <v>1683</v>
      </c>
      <c r="D514" s="224" t="s">
        <v>3431</v>
      </c>
      <c r="E514" s="26" t="s">
        <v>2246</v>
      </c>
      <c r="F514" s="233" t="s">
        <v>1071</v>
      </c>
      <c r="G514" s="1" t="s">
        <v>1071</v>
      </c>
      <c r="H514" s="8">
        <v>5</v>
      </c>
      <c r="I514" s="8">
        <v>4</v>
      </c>
      <c r="J514" s="115">
        <f>Table224[[#This Row],[Qty]]-Table224[[#This Row],[Issue Qty]]</f>
        <v>1</v>
      </c>
      <c r="K514" s="195"/>
      <c r="L514" s="195" t="s">
        <v>3480</v>
      </c>
      <c r="M514" s="5">
        <v>9281</v>
      </c>
      <c r="N514" s="5">
        <f t="shared" si="27"/>
        <v>46405</v>
      </c>
      <c r="O514" s="82">
        <v>0.05</v>
      </c>
      <c r="P514" s="9">
        <f t="shared" si="28"/>
        <v>2320.25</v>
      </c>
      <c r="Q514" s="5">
        <v>0</v>
      </c>
      <c r="R514" s="5"/>
      <c r="S514" s="5">
        <f t="shared" si="29"/>
        <v>48725.25</v>
      </c>
      <c r="T514" s="1" t="s">
        <v>907</v>
      </c>
      <c r="U514" s="1" t="s">
        <v>907</v>
      </c>
      <c r="V514" s="1" t="s">
        <v>444</v>
      </c>
      <c r="W514" s="1" t="s">
        <v>2245</v>
      </c>
      <c r="X514" s="1"/>
      <c r="Y514" s="1"/>
      <c r="Z514" s="21" t="s">
        <v>64</v>
      </c>
      <c r="AA514" s="21" t="s">
        <v>460</v>
      </c>
      <c r="AB514" s="8">
        <v>4</v>
      </c>
      <c r="AC514" s="22" t="s">
        <v>3433</v>
      </c>
      <c r="AD514" s="1"/>
      <c r="AE514" s="29"/>
      <c r="AF514" s="1"/>
      <c r="AG514" s="50"/>
    </row>
    <row r="515" spans="1:33" s="51" customFormat="1" x14ac:dyDescent="0.25">
      <c r="A515" s="4"/>
      <c r="B515" s="4">
        <v>45814</v>
      </c>
      <c r="C515" s="1" t="s">
        <v>54</v>
      </c>
      <c r="D515" s="224" t="s">
        <v>3489</v>
      </c>
      <c r="E515" s="1" t="s">
        <v>2247</v>
      </c>
      <c r="F515" s="232" t="s">
        <v>1072</v>
      </c>
      <c r="G515" s="1" t="s">
        <v>1072</v>
      </c>
      <c r="H515" s="8">
        <v>2</v>
      </c>
      <c r="I515" s="8">
        <v>2</v>
      </c>
      <c r="J515" s="115">
        <f>Table224[[#This Row],[Qty]]-Table224[[#This Row],[Issue Qty]]</f>
        <v>0</v>
      </c>
      <c r="K515" s="195"/>
      <c r="L515" s="195" t="s">
        <v>3480</v>
      </c>
      <c r="M515" s="5">
        <v>100</v>
      </c>
      <c r="N515" s="5">
        <f t="shared" si="27"/>
        <v>200</v>
      </c>
      <c r="O515" s="82">
        <v>0.18</v>
      </c>
      <c r="P515" s="9">
        <f t="shared" si="28"/>
        <v>36</v>
      </c>
      <c r="Q515" s="5">
        <v>0</v>
      </c>
      <c r="R515" s="5"/>
      <c r="S515" s="5">
        <f t="shared" si="29"/>
        <v>236</v>
      </c>
      <c r="T515" s="1" t="s">
        <v>1073</v>
      </c>
      <c r="U515" s="1" t="s">
        <v>1073</v>
      </c>
      <c r="V515" s="1" t="s">
        <v>1074</v>
      </c>
      <c r="W515" s="1" t="s">
        <v>37</v>
      </c>
      <c r="X515" s="1"/>
      <c r="Y515" s="26"/>
      <c r="Z515" s="21"/>
      <c r="AA515" s="204"/>
      <c r="AB515" s="21">
        <v>2</v>
      </c>
      <c r="AC515" s="12" t="s">
        <v>1075</v>
      </c>
      <c r="AD515" s="26"/>
      <c r="AE515" s="29"/>
      <c r="AF515" s="26"/>
      <c r="AG515" s="50"/>
    </row>
    <row r="516" spans="1:33" s="51" customFormat="1" ht="30" x14ac:dyDescent="0.25">
      <c r="A516" s="4"/>
      <c r="B516" s="4">
        <v>45814</v>
      </c>
      <c r="C516" s="1" t="s">
        <v>1991</v>
      </c>
      <c r="D516" s="224" t="s">
        <v>3614</v>
      </c>
      <c r="E516" s="26" t="s">
        <v>2250</v>
      </c>
      <c r="F516" s="233" t="s">
        <v>1079</v>
      </c>
      <c r="G516" s="1" t="s">
        <v>1079</v>
      </c>
      <c r="H516" s="8">
        <v>6</v>
      </c>
      <c r="I516" s="8">
        <v>0</v>
      </c>
      <c r="J516" s="115">
        <f>Table224[[#This Row],[Qty]]-Table224[[#This Row],[Issue Qty]]</f>
        <v>6</v>
      </c>
      <c r="K516" s="195"/>
      <c r="L516" s="195" t="s">
        <v>3480</v>
      </c>
      <c r="M516" s="5">
        <v>767.51166669999998</v>
      </c>
      <c r="N516" s="5">
        <f t="shared" si="27"/>
        <v>4605.0700001999994</v>
      </c>
      <c r="O516" s="82">
        <v>0.18</v>
      </c>
      <c r="P516" s="9">
        <f t="shared" si="28"/>
        <v>828.91260003599984</v>
      </c>
      <c r="Q516" s="5">
        <v>125.02</v>
      </c>
      <c r="R516" s="5"/>
      <c r="S516" s="5">
        <f t="shared" si="29"/>
        <v>5559.002600236</v>
      </c>
      <c r="T516" s="1" t="s">
        <v>726</v>
      </c>
      <c r="U516" s="1" t="s">
        <v>726</v>
      </c>
      <c r="V516" s="1" t="s">
        <v>1080</v>
      </c>
      <c r="W516" s="1" t="s">
        <v>2251</v>
      </c>
      <c r="X516" s="1"/>
      <c r="Y516" s="1"/>
      <c r="Z516" s="21" t="s">
        <v>650</v>
      </c>
      <c r="AA516" s="21" t="s">
        <v>3617</v>
      </c>
      <c r="AB516" s="8"/>
      <c r="AC516" s="22" t="s">
        <v>3661</v>
      </c>
      <c r="AD516" s="1"/>
      <c r="AE516" s="29"/>
      <c r="AF516" s="1"/>
      <c r="AG516" s="50"/>
    </row>
    <row r="517" spans="1:33" s="51" customFormat="1" x14ac:dyDescent="0.25">
      <c r="A517" s="4"/>
      <c r="B517" s="4">
        <v>45814</v>
      </c>
      <c r="C517" s="1" t="s">
        <v>2003</v>
      </c>
      <c r="D517" s="224" t="s">
        <v>3499</v>
      </c>
      <c r="E517" s="1" t="s">
        <v>2248</v>
      </c>
      <c r="F517" s="102" t="s">
        <v>1076</v>
      </c>
      <c r="G517" s="1" t="s">
        <v>1077</v>
      </c>
      <c r="H517" s="8">
        <v>1</v>
      </c>
      <c r="I517" s="8">
        <v>1</v>
      </c>
      <c r="J517" s="115">
        <f>Table224[[#This Row],[Qty]]-Table224[[#This Row],[Issue Qty]]</f>
        <v>0</v>
      </c>
      <c r="K517" s="195"/>
      <c r="L517" s="195" t="s">
        <v>3480</v>
      </c>
      <c r="M517" s="5">
        <v>635.59</v>
      </c>
      <c r="N517" s="5">
        <f t="shared" si="27"/>
        <v>635.59</v>
      </c>
      <c r="O517" s="82">
        <v>0.18</v>
      </c>
      <c r="P517" s="9">
        <f t="shared" si="28"/>
        <v>114.4062</v>
      </c>
      <c r="Q517" s="5">
        <v>0</v>
      </c>
      <c r="R517" s="5"/>
      <c r="S517" s="5">
        <f t="shared" si="29"/>
        <v>749.99620000000004</v>
      </c>
      <c r="T517" s="1" t="s">
        <v>1073</v>
      </c>
      <c r="U517" s="1" t="s">
        <v>1073</v>
      </c>
      <c r="V517" s="1" t="s">
        <v>1078</v>
      </c>
      <c r="W517" s="1" t="s">
        <v>2249</v>
      </c>
      <c r="X517" s="1"/>
      <c r="Y517" s="26"/>
      <c r="Z517" s="21"/>
      <c r="AA517" s="204"/>
      <c r="AB517" s="21">
        <v>1</v>
      </c>
      <c r="AC517" s="12" t="s">
        <v>1075</v>
      </c>
      <c r="AD517" s="26"/>
      <c r="AE517" s="29"/>
      <c r="AF517" s="26"/>
      <c r="AG517" s="50"/>
    </row>
    <row r="518" spans="1:33" s="51" customFormat="1" x14ac:dyDescent="0.25">
      <c r="A518" s="4"/>
      <c r="B518" s="4">
        <v>45815</v>
      </c>
      <c r="C518" s="6" t="s">
        <v>1683</v>
      </c>
      <c r="D518" s="224" t="s">
        <v>3487</v>
      </c>
      <c r="E518" s="1" t="s">
        <v>2252</v>
      </c>
      <c r="F518" s="316" t="s">
        <v>1081</v>
      </c>
      <c r="G518" s="1" t="s">
        <v>1082</v>
      </c>
      <c r="H518" s="8">
        <v>5</v>
      </c>
      <c r="I518" s="8">
        <v>5</v>
      </c>
      <c r="J518" s="115">
        <f>Table224[[#This Row],[Qty]]-Table224[[#This Row],[Issue Qty]]</f>
        <v>0</v>
      </c>
      <c r="K518" s="195"/>
      <c r="L518" s="195" t="s">
        <v>3480</v>
      </c>
      <c r="M518" s="5">
        <v>23</v>
      </c>
      <c r="N518" s="5">
        <f t="shared" si="27"/>
        <v>115</v>
      </c>
      <c r="O518" s="82">
        <v>0.18</v>
      </c>
      <c r="P518" s="9">
        <f t="shared" si="28"/>
        <v>20.7</v>
      </c>
      <c r="Q518" s="5"/>
      <c r="R518" s="5"/>
      <c r="S518" s="5">
        <f t="shared" si="29"/>
        <v>135.69999999999999</v>
      </c>
      <c r="T518" s="1" t="s">
        <v>1083</v>
      </c>
      <c r="U518" s="1" t="s">
        <v>1083</v>
      </c>
      <c r="V518" s="1" t="s">
        <v>792</v>
      </c>
      <c r="W518" s="1" t="s">
        <v>2253</v>
      </c>
      <c r="X518" s="1"/>
      <c r="Y518" s="1"/>
      <c r="Z518" s="21" t="s">
        <v>78</v>
      </c>
      <c r="AA518" s="21" t="s">
        <v>1084</v>
      </c>
      <c r="AB518" s="8">
        <v>5</v>
      </c>
      <c r="AC518" s="22" t="s">
        <v>3899</v>
      </c>
      <c r="AD518" s="1"/>
      <c r="AE518" s="29" t="s">
        <v>1085</v>
      </c>
      <c r="AF518" s="1"/>
      <c r="AG518" s="50"/>
    </row>
    <row r="519" spans="1:33" s="51" customFormat="1" x14ac:dyDescent="0.25">
      <c r="A519" s="4"/>
      <c r="B519" s="4">
        <v>45815</v>
      </c>
      <c r="C519" s="6" t="s">
        <v>1683</v>
      </c>
      <c r="D519" s="224" t="s">
        <v>3487</v>
      </c>
      <c r="E519" s="1" t="s">
        <v>2252</v>
      </c>
      <c r="F519" s="316" t="s">
        <v>1081</v>
      </c>
      <c r="G519" s="1" t="s">
        <v>706</v>
      </c>
      <c r="H519" s="8">
        <v>5</v>
      </c>
      <c r="I519" s="8">
        <v>4</v>
      </c>
      <c r="J519" s="115">
        <f>Table224[[#This Row],[Qty]]-Table224[[#This Row],[Issue Qty]]</f>
        <v>1</v>
      </c>
      <c r="K519" s="195"/>
      <c r="L519" s="195" t="s">
        <v>3480</v>
      </c>
      <c r="M519" s="5">
        <v>23</v>
      </c>
      <c r="N519" s="5">
        <f t="shared" si="27"/>
        <v>115</v>
      </c>
      <c r="O519" s="82">
        <v>0.18</v>
      </c>
      <c r="P519" s="9">
        <f t="shared" si="28"/>
        <v>20.7</v>
      </c>
      <c r="Q519" s="5">
        <v>0</v>
      </c>
      <c r="R519" s="5"/>
      <c r="S519" s="5">
        <f t="shared" si="29"/>
        <v>135.69999999999999</v>
      </c>
      <c r="T519" s="1" t="s">
        <v>1083</v>
      </c>
      <c r="U519" s="1" t="s">
        <v>1083</v>
      </c>
      <c r="V519" s="1" t="s">
        <v>792</v>
      </c>
      <c r="W519" s="1" t="s">
        <v>2253</v>
      </c>
      <c r="X519" s="1"/>
      <c r="Y519" s="26"/>
      <c r="Z519" s="21" t="s">
        <v>78</v>
      </c>
      <c r="AA519" s="21" t="s">
        <v>1084</v>
      </c>
      <c r="AB519" s="21">
        <v>4</v>
      </c>
      <c r="AC519" s="12" t="s">
        <v>3900</v>
      </c>
      <c r="AD519" s="26"/>
      <c r="AE519" s="29" t="s">
        <v>1085</v>
      </c>
      <c r="AF519" s="26"/>
      <c r="AG519" s="50"/>
    </row>
    <row r="520" spans="1:33" s="51" customFormat="1" x14ac:dyDescent="0.25">
      <c r="A520" s="4"/>
      <c r="B520" s="4">
        <v>45815</v>
      </c>
      <c r="C520" s="1" t="s">
        <v>54</v>
      </c>
      <c r="D520" s="224" t="s">
        <v>3497</v>
      </c>
      <c r="E520" s="1" t="s">
        <v>2254</v>
      </c>
      <c r="F520" s="102" t="s">
        <v>1088</v>
      </c>
      <c r="G520" s="1" t="s">
        <v>1089</v>
      </c>
      <c r="H520" s="8">
        <v>1</v>
      </c>
      <c r="I520" s="8">
        <v>1</v>
      </c>
      <c r="J520" s="115">
        <f>Table224[[#This Row],[Qty]]-Table224[[#This Row],[Issue Qty]]</f>
        <v>0</v>
      </c>
      <c r="K520" s="195"/>
      <c r="L520" s="195" t="s">
        <v>3480</v>
      </c>
      <c r="M520" s="5">
        <v>680</v>
      </c>
      <c r="N520" s="5">
        <f t="shared" si="27"/>
        <v>680</v>
      </c>
      <c r="O520" s="82">
        <v>0.12</v>
      </c>
      <c r="P520" s="9">
        <f t="shared" si="28"/>
        <v>81.599999999999994</v>
      </c>
      <c r="Q520" s="5">
        <v>0</v>
      </c>
      <c r="R520" s="5"/>
      <c r="S520" s="5">
        <f t="shared" si="29"/>
        <v>761.6</v>
      </c>
      <c r="T520" s="1" t="s">
        <v>907</v>
      </c>
      <c r="U520" s="1" t="s">
        <v>907</v>
      </c>
      <c r="V520" s="1" t="s">
        <v>601</v>
      </c>
      <c r="W520" s="1">
        <v>50199</v>
      </c>
      <c r="X520" s="1"/>
      <c r="Y520" s="26"/>
      <c r="Z520" s="21" t="s">
        <v>3607</v>
      </c>
      <c r="AA520" s="204"/>
      <c r="AB520" s="21">
        <v>1</v>
      </c>
      <c r="AC520" s="12" t="s">
        <v>2909</v>
      </c>
      <c r="AD520" s="26"/>
      <c r="AE520" s="29" t="s">
        <v>826</v>
      </c>
      <c r="AF520" s="26"/>
      <c r="AG520" s="50"/>
    </row>
    <row r="521" spans="1:33" s="51" customFormat="1" ht="45" x14ac:dyDescent="0.25">
      <c r="A521" s="4"/>
      <c r="B521" s="4">
        <v>45815</v>
      </c>
      <c r="C521" s="6" t="s">
        <v>1695</v>
      </c>
      <c r="D521" s="224" t="s">
        <v>3457</v>
      </c>
      <c r="E521" s="26" t="s">
        <v>2255</v>
      </c>
      <c r="F521" s="233" t="s">
        <v>1090</v>
      </c>
      <c r="G521" s="1" t="s">
        <v>1090</v>
      </c>
      <c r="H521" s="8">
        <v>1</v>
      </c>
      <c r="I521" s="8"/>
      <c r="J521" s="115">
        <f>Table224[[#This Row],[Qty]]-Table224[[#This Row],[Issue Qty]]</f>
        <v>1</v>
      </c>
      <c r="K521" s="195"/>
      <c r="L521" s="195" t="s">
        <v>3480</v>
      </c>
      <c r="M521" s="5">
        <v>190000</v>
      </c>
      <c r="N521" s="5">
        <f t="shared" si="27"/>
        <v>190000</v>
      </c>
      <c r="O521" s="82">
        <v>0.18</v>
      </c>
      <c r="P521" s="9">
        <f t="shared" si="28"/>
        <v>34200</v>
      </c>
      <c r="Q521" s="5">
        <v>590</v>
      </c>
      <c r="R521" s="5"/>
      <c r="S521" s="5">
        <f t="shared" si="29"/>
        <v>224790</v>
      </c>
      <c r="T521" s="1" t="s">
        <v>1083</v>
      </c>
      <c r="U521" s="1" t="s">
        <v>1083</v>
      </c>
      <c r="V521" s="1" t="s">
        <v>792</v>
      </c>
      <c r="W521" s="1" t="s">
        <v>2253</v>
      </c>
      <c r="X521" s="1"/>
      <c r="Y521" s="1"/>
      <c r="Z521" s="21" t="s">
        <v>388</v>
      </c>
      <c r="AA521" s="8"/>
      <c r="AB521" s="8"/>
      <c r="AC521" s="22"/>
      <c r="AD521" s="1" t="s">
        <v>3418</v>
      </c>
      <c r="AE521" s="29"/>
      <c r="AF521" s="1"/>
      <c r="AG521" s="50"/>
    </row>
    <row r="522" spans="1:33" s="51" customFormat="1" x14ac:dyDescent="0.25">
      <c r="A522" s="4"/>
      <c r="B522" s="4">
        <v>45815</v>
      </c>
      <c r="C522" s="1" t="s">
        <v>54</v>
      </c>
      <c r="D522" s="224" t="s">
        <v>3497</v>
      </c>
      <c r="E522" s="1" t="s">
        <v>2256</v>
      </c>
      <c r="F522" s="102" t="s">
        <v>1091</v>
      </c>
      <c r="G522" s="1" t="s">
        <v>1092</v>
      </c>
      <c r="H522" s="8">
        <v>1</v>
      </c>
      <c r="I522" s="8">
        <v>1</v>
      </c>
      <c r="J522" s="115">
        <f>Table224[[#This Row],[Qty]]-Table224[[#This Row],[Issue Qty]]</f>
        <v>0</v>
      </c>
      <c r="K522" s="195"/>
      <c r="L522" s="195" t="s">
        <v>3480</v>
      </c>
      <c r="M522" s="5">
        <v>986</v>
      </c>
      <c r="N522" s="5">
        <f t="shared" si="27"/>
        <v>986</v>
      </c>
      <c r="O522" s="82">
        <v>0.12</v>
      </c>
      <c r="P522" s="9">
        <f t="shared" si="28"/>
        <v>118.32</v>
      </c>
      <c r="Q522" s="5">
        <v>0</v>
      </c>
      <c r="R522" s="5"/>
      <c r="S522" s="5">
        <f t="shared" si="29"/>
        <v>1104.32</v>
      </c>
      <c r="T522" s="1" t="s">
        <v>907</v>
      </c>
      <c r="U522" s="1" t="s">
        <v>907</v>
      </c>
      <c r="V522" s="1" t="s">
        <v>601</v>
      </c>
      <c r="W522" s="1">
        <v>50199</v>
      </c>
      <c r="X522" s="1"/>
      <c r="Y522" s="26"/>
      <c r="Z522" s="21" t="s">
        <v>3607</v>
      </c>
      <c r="AA522" s="204"/>
      <c r="AB522" s="21">
        <v>1</v>
      </c>
      <c r="AC522" s="12" t="s">
        <v>936</v>
      </c>
      <c r="AD522" s="26"/>
      <c r="AE522" s="29" t="s">
        <v>770</v>
      </c>
      <c r="AF522" s="26"/>
      <c r="AG522" s="50"/>
    </row>
    <row r="523" spans="1:33" s="51" customFormat="1" x14ac:dyDescent="0.25">
      <c r="A523" s="4"/>
      <c r="B523" s="4">
        <v>45817</v>
      </c>
      <c r="C523" s="6" t="s">
        <v>1730</v>
      </c>
      <c r="D523" s="224" t="s">
        <v>3666</v>
      </c>
      <c r="E523" s="26" t="s">
        <v>2266</v>
      </c>
      <c r="F523" s="233" t="s">
        <v>1103</v>
      </c>
      <c r="G523" s="1" t="s">
        <v>1104</v>
      </c>
      <c r="H523" s="8">
        <v>4</v>
      </c>
      <c r="I523" s="8">
        <v>1</v>
      </c>
      <c r="J523" s="115">
        <f>Table224[[#This Row],[Qty]]-Table224[[#This Row],[Issue Qty]]</f>
        <v>3</v>
      </c>
      <c r="K523" s="195"/>
      <c r="L523" s="195" t="s">
        <v>3480</v>
      </c>
      <c r="M523" s="5">
        <v>60.952500000000001</v>
      </c>
      <c r="N523" s="5">
        <f t="shared" si="27"/>
        <v>243.81</v>
      </c>
      <c r="O523" s="82">
        <v>0.18</v>
      </c>
      <c r="P523" s="9">
        <f t="shared" si="28"/>
        <v>43.885799999999996</v>
      </c>
      <c r="Q523" s="5">
        <f>116.9/7</f>
        <v>16.7</v>
      </c>
      <c r="R523" s="5"/>
      <c r="S523" s="5">
        <f t="shared" si="29"/>
        <v>304.39580000000001</v>
      </c>
      <c r="T523" s="1" t="s">
        <v>1083</v>
      </c>
      <c r="U523" s="1" t="s">
        <v>1083</v>
      </c>
      <c r="V523" s="1" t="s">
        <v>691</v>
      </c>
      <c r="W523" s="1" t="s">
        <v>2263</v>
      </c>
      <c r="X523" s="1"/>
      <c r="Y523" s="1"/>
      <c r="Z523" s="21" t="s">
        <v>420</v>
      </c>
      <c r="AA523" s="8"/>
      <c r="AB523" s="8">
        <v>1</v>
      </c>
      <c r="AC523" s="22" t="s">
        <v>1083</v>
      </c>
      <c r="AD523" s="1"/>
      <c r="AE523" s="29"/>
      <c r="AF523" s="1"/>
      <c r="AG523" s="50"/>
    </row>
    <row r="524" spans="1:33" s="51" customFormat="1" x14ac:dyDescent="0.25">
      <c r="A524" s="4"/>
      <c r="B524" s="4">
        <v>45817</v>
      </c>
      <c r="C524" s="1" t="s">
        <v>54</v>
      </c>
      <c r="D524" s="224" t="s">
        <v>3489</v>
      </c>
      <c r="E524" s="26" t="s">
        <v>2267</v>
      </c>
      <c r="F524" s="231" t="s">
        <v>1105</v>
      </c>
      <c r="G524" s="1" t="s">
        <v>1105</v>
      </c>
      <c r="H524" s="8">
        <v>1</v>
      </c>
      <c r="I524" s="8">
        <v>1</v>
      </c>
      <c r="J524" s="115">
        <f>Table224[[#This Row],[Qty]]-Table224[[#This Row],[Issue Qty]]</f>
        <v>0</v>
      </c>
      <c r="K524" s="195"/>
      <c r="L524" s="195" t="s">
        <v>3480</v>
      </c>
      <c r="M524" s="5">
        <v>280</v>
      </c>
      <c r="N524" s="5">
        <f t="shared" si="27"/>
        <v>280</v>
      </c>
      <c r="O524" s="82">
        <v>0.18</v>
      </c>
      <c r="P524" s="9">
        <f t="shared" si="28"/>
        <v>50.4</v>
      </c>
      <c r="Q524" s="5">
        <v>0</v>
      </c>
      <c r="R524" s="5"/>
      <c r="S524" s="5">
        <f t="shared" si="29"/>
        <v>330.4</v>
      </c>
      <c r="T524" s="1" t="s">
        <v>838</v>
      </c>
      <c r="U524" s="1" t="s">
        <v>838</v>
      </c>
      <c r="V524" s="1" t="s">
        <v>358</v>
      </c>
      <c r="W524" s="1" t="s">
        <v>2260</v>
      </c>
      <c r="X524" s="1"/>
      <c r="Y524" s="1"/>
      <c r="Z524" s="21"/>
      <c r="AA524" s="8"/>
      <c r="AB524" s="8">
        <v>1</v>
      </c>
      <c r="AC524" s="22" t="s">
        <v>936</v>
      </c>
      <c r="AD524" s="1"/>
      <c r="AE524" s="29"/>
      <c r="AF524" s="1"/>
      <c r="AG524" s="207"/>
    </row>
    <row r="525" spans="1:33" s="51" customFormat="1" x14ac:dyDescent="0.25">
      <c r="A525" s="4"/>
      <c r="B525" s="4">
        <v>45817</v>
      </c>
      <c r="C525" s="1" t="s">
        <v>54</v>
      </c>
      <c r="D525" s="224" t="s">
        <v>3489</v>
      </c>
      <c r="E525" s="26" t="s">
        <v>2268</v>
      </c>
      <c r="F525" s="231" t="s">
        <v>1106</v>
      </c>
      <c r="G525" s="1" t="s">
        <v>1106</v>
      </c>
      <c r="H525" s="8">
        <v>1</v>
      </c>
      <c r="I525" s="8">
        <v>1</v>
      </c>
      <c r="J525" s="115">
        <f>Table224[[#This Row],[Qty]]-Table224[[#This Row],[Issue Qty]]</f>
        <v>0</v>
      </c>
      <c r="K525" s="195"/>
      <c r="L525" s="195" t="s">
        <v>3480</v>
      </c>
      <c r="M525" s="5">
        <v>120</v>
      </c>
      <c r="N525" s="5">
        <f t="shared" si="27"/>
        <v>120</v>
      </c>
      <c r="O525" s="82">
        <v>0.18</v>
      </c>
      <c r="P525" s="9">
        <f t="shared" si="28"/>
        <v>21.599999999999998</v>
      </c>
      <c r="Q525" s="5">
        <v>0</v>
      </c>
      <c r="R525" s="5"/>
      <c r="S525" s="5">
        <f t="shared" si="29"/>
        <v>141.6</v>
      </c>
      <c r="T525" s="1" t="s">
        <v>838</v>
      </c>
      <c r="U525" s="1" t="s">
        <v>838</v>
      </c>
      <c r="V525" s="1" t="s">
        <v>358</v>
      </c>
      <c r="W525" s="1" t="s">
        <v>2260</v>
      </c>
      <c r="X525" s="1"/>
      <c r="Y525" s="1"/>
      <c r="Z525" s="21"/>
      <c r="AA525" s="8"/>
      <c r="AB525" s="8">
        <v>1</v>
      </c>
      <c r="AC525" s="22" t="s">
        <v>936</v>
      </c>
      <c r="AD525" s="1"/>
      <c r="AE525" s="29"/>
      <c r="AF525" s="1"/>
      <c r="AG525" s="207"/>
    </row>
    <row r="526" spans="1:33" s="51" customFormat="1" x14ac:dyDescent="0.25">
      <c r="A526" s="4"/>
      <c r="B526" s="4">
        <v>45817</v>
      </c>
      <c r="C526" s="1" t="s">
        <v>2003</v>
      </c>
      <c r="D526" s="224" t="s">
        <v>1730</v>
      </c>
      <c r="E526" s="26" t="s">
        <v>2269</v>
      </c>
      <c r="F526" s="233" t="s">
        <v>1107</v>
      </c>
      <c r="G526" s="1" t="s">
        <v>1107</v>
      </c>
      <c r="H526" s="8">
        <v>1</v>
      </c>
      <c r="I526" s="8">
        <v>1</v>
      </c>
      <c r="J526" s="115">
        <f>Table224[[#This Row],[Qty]]-Table224[[#This Row],[Issue Qty]]</f>
        <v>0</v>
      </c>
      <c r="K526" s="195"/>
      <c r="L526" s="195" t="s">
        <v>3480</v>
      </c>
      <c r="M526" s="5">
        <v>1000</v>
      </c>
      <c r="N526" s="5">
        <f t="shared" si="27"/>
        <v>1000</v>
      </c>
      <c r="O526" s="82">
        <v>0</v>
      </c>
      <c r="P526" s="9">
        <f t="shared" si="28"/>
        <v>0</v>
      </c>
      <c r="Q526" s="5">
        <v>0</v>
      </c>
      <c r="R526" s="5"/>
      <c r="S526" s="5">
        <f t="shared" si="29"/>
        <v>1000</v>
      </c>
      <c r="T526" s="1" t="s">
        <v>838</v>
      </c>
      <c r="U526" s="1" t="s">
        <v>838</v>
      </c>
      <c r="V526" s="1" t="s">
        <v>1108</v>
      </c>
      <c r="W526" s="1">
        <v>1104</v>
      </c>
      <c r="X526" s="1"/>
      <c r="Y526" s="1"/>
      <c r="Z526" s="21"/>
      <c r="AA526" s="8"/>
      <c r="AB526" s="8">
        <v>1</v>
      </c>
      <c r="AC526" s="22" t="s">
        <v>2915</v>
      </c>
      <c r="AD526" s="1"/>
      <c r="AE526" s="29"/>
      <c r="AF526" s="1"/>
      <c r="AG526" s="207"/>
    </row>
    <row r="527" spans="1:33" s="51" customFormat="1" ht="30" x14ac:dyDescent="0.25">
      <c r="A527" s="4"/>
      <c r="B527" s="4">
        <v>45817</v>
      </c>
      <c r="C527" s="6" t="s">
        <v>1683</v>
      </c>
      <c r="D527" s="224" t="s">
        <v>3509</v>
      </c>
      <c r="E527" s="1" t="s">
        <v>2262</v>
      </c>
      <c r="F527" s="102" t="s">
        <v>1099</v>
      </c>
      <c r="G527" s="1" t="s">
        <v>1099</v>
      </c>
      <c r="H527" s="8">
        <v>5</v>
      </c>
      <c r="I527" s="8">
        <v>3</v>
      </c>
      <c r="J527" s="115">
        <f>Table224[[#This Row],[Qty]]-Table224[[#This Row],[Issue Qty]]</f>
        <v>2</v>
      </c>
      <c r="K527" s="195"/>
      <c r="L527" s="195" t="s">
        <v>3480</v>
      </c>
      <c r="M527" s="5">
        <v>14.406667000000001</v>
      </c>
      <c r="N527" s="5">
        <f t="shared" si="27"/>
        <v>72.033335000000008</v>
      </c>
      <c r="O527" s="82">
        <v>0.18</v>
      </c>
      <c r="P527" s="9">
        <f t="shared" si="28"/>
        <v>12.966000300000001</v>
      </c>
      <c r="Q527" s="5">
        <f>116.9/7</f>
        <v>16.7</v>
      </c>
      <c r="R527" s="5"/>
      <c r="S527" s="5">
        <f t="shared" si="29"/>
        <v>101.69933530000002</v>
      </c>
      <c r="T527" s="1" t="s">
        <v>606</v>
      </c>
      <c r="U527" s="1" t="s">
        <v>606</v>
      </c>
      <c r="V527" s="1" t="s">
        <v>691</v>
      </c>
      <c r="W527" s="1" t="s">
        <v>2263</v>
      </c>
      <c r="X527" s="1"/>
      <c r="Y527" s="1"/>
      <c r="Z527" s="21"/>
      <c r="AA527" s="8"/>
      <c r="AB527" s="8">
        <v>3</v>
      </c>
      <c r="AC527" s="22" t="s">
        <v>3510</v>
      </c>
      <c r="AD527" s="1"/>
      <c r="AE527" s="29" t="s">
        <v>1101</v>
      </c>
      <c r="AF527" s="1"/>
      <c r="AG527" s="50"/>
    </row>
    <row r="528" spans="1:33" s="51" customFormat="1" ht="30" x14ac:dyDescent="0.25">
      <c r="A528" s="4"/>
      <c r="B528" s="4">
        <v>45817</v>
      </c>
      <c r="C528" s="1" t="s">
        <v>1991</v>
      </c>
      <c r="D528" s="224" t="s">
        <v>3490</v>
      </c>
      <c r="E528" s="26" t="s">
        <v>2264</v>
      </c>
      <c r="F528" s="233" t="s">
        <v>1102</v>
      </c>
      <c r="G528" s="1" t="s">
        <v>1102</v>
      </c>
      <c r="H528" s="8">
        <v>1</v>
      </c>
      <c r="I528" s="8">
        <v>0</v>
      </c>
      <c r="J528" s="115">
        <f>Table224[[#This Row],[Qty]]-Table224[[#This Row],[Issue Qty]]</f>
        <v>1</v>
      </c>
      <c r="K528" s="195"/>
      <c r="L528" s="195" t="s">
        <v>3480</v>
      </c>
      <c r="M528" s="5">
        <v>77800</v>
      </c>
      <c r="N528" s="5">
        <f t="shared" si="27"/>
        <v>77800</v>
      </c>
      <c r="O528" s="82">
        <v>0.18</v>
      </c>
      <c r="P528" s="9">
        <f t="shared" si="28"/>
        <v>14004</v>
      </c>
      <c r="Q528" s="5">
        <v>0</v>
      </c>
      <c r="R528" s="5"/>
      <c r="S528" s="5">
        <f t="shared" si="29"/>
        <v>91804</v>
      </c>
      <c r="T528" s="1" t="s">
        <v>1083</v>
      </c>
      <c r="U528" s="1" t="s">
        <v>1083</v>
      </c>
      <c r="V528" s="1" t="s">
        <v>792</v>
      </c>
      <c r="W528" s="1" t="s">
        <v>2265</v>
      </c>
      <c r="X528" s="1"/>
      <c r="Y528" s="1"/>
      <c r="Z528" s="21" t="s">
        <v>3567</v>
      </c>
      <c r="AA528" s="8"/>
      <c r="AB528" s="8"/>
      <c r="AC528" s="22" t="s">
        <v>3566</v>
      </c>
      <c r="AD528" s="1" t="s">
        <v>3568</v>
      </c>
      <c r="AE528" s="29"/>
      <c r="AF528" s="1"/>
      <c r="AG528" s="50"/>
    </row>
    <row r="529" spans="1:33" s="51" customFormat="1" x14ac:dyDescent="0.25">
      <c r="A529" s="4"/>
      <c r="B529" s="4">
        <v>45817</v>
      </c>
      <c r="C529" s="1" t="s">
        <v>54</v>
      </c>
      <c r="D529" s="224" t="s">
        <v>3489</v>
      </c>
      <c r="E529" s="1" t="s">
        <v>2259</v>
      </c>
      <c r="F529" s="232" t="s">
        <v>1095</v>
      </c>
      <c r="G529" s="1" t="s">
        <v>1095</v>
      </c>
      <c r="H529" s="8">
        <v>1</v>
      </c>
      <c r="I529" s="8"/>
      <c r="J529" s="115">
        <f>Table224[[#This Row],[Qty]]-Table224[[#This Row],[Issue Qty]]</f>
        <v>1</v>
      </c>
      <c r="K529" s="195"/>
      <c r="L529" s="195" t="s">
        <v>3480</v>
      </c>
      <c r="M529" s="5">
        <v>350</v>
      </c>
      <c r="N529" s="5">
        <f t="shared" si="27"/>
        <v>350</v>
      </c>
      <c r="O529" s="82">
        <v>0.18</v>
      </c>
      <c r="P529" s="9">
        <f t="shared" si="28"/>
        <v>63</v>
      </c>
      <c r="Q529" s="5">
        <v>0</v>
      </c>
      <c r="R529" s="5"/>
      <c r="S529" s="5">
        <f t="shared" si="29"/>
        <v>413</v>
      </c>
      <c r="T529" s="1" t="s">
        <v>838</v>
      </c>
      <c r="U529" s="1" t="s">
        <v>838</v>
      </c>
      <c r="V529" s="1" t="s">
        <v>358</v>
      </c>
      <c r="W529" s="1" t="s">
        <v>2260</v>
      </c>
      <c r="X529" s="1"/>
      <c r="Y529" s="1"/>
      <c r="Z529" s="21"/>
      <c r="AA529" s="8"/>
      <c r="AB529" s="8">
        <v>1</v>
      </c>
      <c r="AC529" s="22" t="s">
        <v>936</v>
      </c>
      <c r="AD529" s="1"/>
      <c r="AE529" s="29" t="s">
        <v>1096</v>
      </c>
      <c r="AF529" s="1"/>
      <c r="AG529" s="50"/>
    </row>
    <row r="530" spans="1:33" s="51" customFormat="1" x14ac:dyDescent="0.25">
      <c r="A530" s="4"/>
      <c r="B530" s="4">
        <v>45817</v>
      </c>
      <c r="C530" s="1" t="s">
        <v>54</v>
      </c>
      <c r="D530" s="224" t="s">
        <v>3489</v>
      </c>
      <c r="E530" s="1" t="s">
        <v>2261</v>
      </c>
      <c r="F530" s="232" t="s">
        <v>1097</v>
      </c>
      <c r="G530" s="1" t="s">
        <v>1097</v>
      </c>
      <c r="H530" s="8">
        <v>1</v>
      </c>
      <c r="I530" s="8"/>
      <c r="J530" s="115">
        <f>Table224[[#This Row],[Qty]]-Table224[[#This Row],[Issue Qty]]</f>
        <v>1</v>
      </c>
      <c r="K530" s="195"/>
      <c r="L530" s="195" t="s">
        <v>3480</v>
      </c>
      <c r="M530" s="5">
        <v>220</v>
      </c>
      <c r="N530" s="5">
        <f t="shared" si="27"/>
        <v>220</v>
      </c>
      <c r="O530" s="82">
        <v>0.18</v>
      </c>
      <c r="P530" s="9">
        <f t="shared" si="28"/>
        <v>39.6</v>
      </c>
      <c r="Q530" s="5">
        <v>0</v>
      </c>
      <c r="R530" s="5"/>
      <c r="S530" s="5">
        <f t="shared" si="29"/>
        <v>259.60000000000002</v>
      </c>
      <c r="T530" s="1" t="s">
        <v>838</v>
      </c>
      <c r="U530" s="1" t="s">
        <v>838</v>
      </c>
      <c r="V530" s="1" t="s">
        <v>358</v>
      </c>
      <c r="W530" s="1" t="s">
        <v>2260</v>
      </c>
      <c r="X530" s="1"/>
      <c r="Y530" s="1"/>
      <c r="Z530" s="21"/>
      <c r="AA530" s="8"/>
      <c r="AB530" s="8">
        <v>1</v>
      </c>
      <c r="AC530" s="22" t="s">
        <v>936</v>
      </c>
      <c r="AD530" s="1"/>
      <c r="AE530" s="29" t="s">
        <v>1098</v>
      </c>
      <c r="AF530" s="1"/>
      <c r="AG530" s="50"/>
    </row>
    <row r="531" spans="1:33" s="51" customFormat="1" x14ac:dyDescent="0.25">
      <c r="A531" s="4"/>
      <c r="B531" s="4">
        <v>45817</v>
      </c>
      <c r="C531" s="1" t="s">
        <v>2096</v>
      </c>
      <c r="D531" s="224" t="s">
        <v>3453</v>
      </c>
      <c r="E531" s="1" t="s">
        <v>2257</v>
      </c>
      <c r="F531" s="102" t="s">
        <v>1093</v>
      </c>
      <c r="G531" s="1" t="s">
        <v>1093</v>
      </c>
      <c r="H531" s="8">
        <v>1</v>
      </c>
      <c r="I531" s="8">
        <v>1</v>
      </c>
      <c r="J531" s="115">
        <f>Table224[[#This Row],[Qty]]-Table224[[#This Row],[Issue Qty]]</f>
        <v>0</v>
      </c>
      <c r="K531" s="195"/>
      <c r="L531" s="195" t="s">
        <v>3480</v>
      </c>
      <c r="M531" s="5">
        <v>24761.9</v>
      </c>
      <c r="N531" s="5">
        <f t="shared" si="27"/>
        <v>24761.9</v>
      </c>
      <c r="O531" s="82">
        <v>0.05</v>
      </c>
      <c r="P531" s="9">
        <f t="shared" si="28"/>
        <v>1238.0950000000003</v>
      </c>
      <c r="Q531" s="5">
        <v>0</v>
      </c>
      <c r="R531" s="5"/>
      <c r="S531" s="5">
        <f t="shared" si="29"/>
        <v>25999.995000000003</v>
      </c>
      <c r="T531" s="1" t="s">
        <v>1083</v>
      </c>
      <c r="U531" s="1" t="s">
        <v>1083</v>
      </c>
      <c r="V531" s="1" t="s">
        <v>968</v>
      </c>
      <c r="W531" s="1" t="s">
        <v>2258</v>
      </c>
      <c r="X531" s="1"/>
      <c r="Y531" s="26"/>
      <c r="Z531" s="21"/>
      <c r="AA531" s="204"/>
      <c r="AB531" s="21">
        <v>1</v>
      </c>
      <c r="AC531" s="22" t="s">
        <v>3014</v>
      </c>
      <c r="AD531" s="26"/>
      <c r="AE531" s="29"/>
      <c r="AF531" s="26"/>
      <c r="AG531" s="50"/>
    </row>
    <row r="532" spans="1:33" s="208" customFormat="1" x14ac:dyDescent="0.25">
      <c r="A532" s="4"/>
      <c r="B532" s="4">
        <v>45821</v>
      </c>
      <c r="C532" s="1" t="s">
        <v>54</v>
      </c>
      <c r="D532" s="224" t="s">
        <v>3489</v>
      </c>
      <c r="E532" s="1" t="s">
        <v>2270</v>
      </c>
      <c r="F532" s="102" t="s">
        <v>1109</v>
      </c>
      <c r="G532" s="1" t="s">
        <v>1109</v>
      </c>
      <c r="H532" s="8">
        <v>1</v>
      </c>
      <c r="I532" s="8">
        <v>1</v>
      </c>
      <c r="J532" s="115">
        <f>Table224[[#This Row],[Qty]]-Table224[[#This Row],[Issue Qty]]</f>
        <v>0</v>
      </c>
      <c r="K532" s="195"/>
      <c r="L532" s="195" t="s">
        <v>3480</v>
      </c>
      <c r="M532" s="5">
        <v>1500</v>
      </c>
      <c r="N532" s="5">
        <f t="shared" si="27"/>
        <v>1500</v>
      </c>
      <c r="O532" s="82">
        <v>0.18</v>
      </c>
      <c r="P532" s="9">
        <f t="shared" si="28"/>
        <v>270</v>
      </c>
      <c r="Q532" s="5">
        <v>0</v>
      </c>
      <c r="R532" s="5"/>
      <c r="S532" s="5">
        <f t="shared" si="29"/>
        <v>1770</v>
      </c>
      <c r="T532" s="1" t="s">
        <v>838</v>
      </c>
      <c r="U532" s="1" t="s">
        <v>838</v>
      </c>
      <c r="V532" s="1" t="s">
        <v>820</v>
      </c>
      <c r="W532" s="1" t="s">
        <v>2271</v>
      </c>
      <c r="X532" s="1"/>
      <c r="Y532" s="26"/>
      <c r="Z532" s="21" t="s">
        <v>3168</v>
      </c>
      <c r="AA532" s="204"/>
      <c r="AB532" s="21">
        <v>1</v>
      </c>
      <c r="AC532" s="12" t="s">
        <v>1011</v>
      </c>
      <c r="AD532" s="26"/>
      <c r="AE532" s="29"/>
      <c r="AF532" s="26"/>
      <c r="AG532" s="207"/>
    </row>
    <row r="533" spans="1:33" s="208" customFormat="1" x14ac:dyDescent="0.25">
      <c r="A533" s="4"/>
      <c r="B533" s="4">
        <v>45821</v>
      </c>
      <c r="C533" s="1" t="s">
        <v>54</v>
      </c>
      <c r="D533" s="224" t="s">
        <v>3489</v>
      </c>
      <c r="E533" s="1" t="s">
        <v>2274</v>
      </c>
      <c r="F533" s="232" t="s">
        <v>1111</v>
      </c>
      <c r="G533" s="1" t="s">
        <v>1111</v>
      </c>
      <c r="H533" s="8">
        <v>4</v>
      </c>
      <c r="I533" s="8">
        <v>4</v>
      </c>
      <c r="J533" s="115">
        <f>Table224[[#This Row],[Qty]]-Table224[[#This Row],[Issue Qty]]</f>
        <v>0</v>
      </c>
      <c r="K533" s="195"/>
      <c r="L533" s="195" t="s">
        <v>3480</v>
      </c>
      <c r="M533" s="5">
        <v>583.79999999999995</v>
      </c>
      <c r="N533" s="5">
        <f t="shared" si="27"/>
        <v>2335.1999999999998</v>
      </c>
      <c r="O533" s="82">
        <v>0.18</v>
      </c>
      <c r="P533" s="9">
        <f t="shared" si="28"/>
        <v>420.33599999999996</v>
      </c>
      <c r="Q533" s="5">
        <v>0</v>
      </c>
      <c r="R533" s="5"/>
      <c r="S533" s="5">
        <f t="shared" si="29"/>
        <v>2755.5359999999996</v>
      </c>
      <c r="T533" s="1" t="s">
        <v>1073</v>
      </c>
      <c r="U533" s="1" t="s">
        <v>1073</v>
      </c>
      <c r="V533" s="1" t="s">
        <v>358</v>
      </c>
      <c r="W533" s="1" t="s">
        <v>2275</v>
      </c>
      <c r="X533" s="1"/>
      <c r="Y533" s="1"/>
      <c r="Z533" s="21"/>
      <c r="AA533" s="8"/>
      <c r="AB533" s="8">
        <v>4</v>
      </c>
      <c r="AC533" s="22" t="s">
        <v>2904</v>
      </c>
      <c r="AD533" s="1"/>
      <c r="AE533" s="29" t="s">
        <v>1112</v>
      </c>
      <c r="AF533" s="1"/>
      <c r="AG533" s="207"/>
    </row>
    <row r="534" spans="1:33" s="208" customFormat="1" x14ac:dyDescent="0.25">
      <c r="A534" s="4"/>
      <c r="B534" s="4">
        <v>45821</v>
      </c>
      <c r="C534" s="1" t="s">
        <v>54</v>
      </c>
      <c r="D534" s="224" t="s">
        <v>3489</v>
      </c>
      <c r="E534" s="1" t="s">
        <v>2272</v>
      </c>
      <c r="F534" s="102" t="s">
        <v>1110</v>
      </c>
      <c r="G534" s="1" t="s">
        <v>1110</v>
      </c>
      <c r="H534" s="8">
        <v>4</v>
      </c>
      <c r="I534" s="8"/>
      <c r="J534" s="115">
        <f>Table224[[#This Row],[Qty]]-Table224[[#This Row],[Issue Qty]]</f>
        <v>4</v>
      </c>
      <c r="K534" s="195"/>
      <c r="L534" s="195" t="s">
        <v>3480</v>
      </c>
      <c r="M534" s="5">
        <v>248.57</v>
      </c>
      <c r="N534" s="5">
        <f t="shared" si="27"/>
        <v>994.28</v>
      </c>
      <c r="O534" s="82">
        <v>0.05</v>
      </c>
      <c r="P534" s="9">
        <f t="shared" si="28"/>
        <v>49.713999999999999</v>
      </c>
      <c r="Q534" s="5">
        <v>200.01</v>
      </c>
      <c r="R534" s="5"/>
      <c r="S534" s="5">
        <f t="shared" si="29"/>
        <v>1244.0039999999999</v>
      </c>
      <c r="T534" s="1" t="s">
        <v>1073</v>
      </c>
      <c r="U534" s="1" t="s">
        <v>1073</v>
      </c>
      <c r="V534" s="1" t="s">
        <v>968</v>
      </c>
      <c r="W534" s="1" t="s">
        <v>2273</v>
      </c>
      <c r="X534" s="1"/>
      <c r="Y534" s="26"/>
      <c r="Z534" s="21" t="s">
        <v>33</v>
      </c>
      <c r="AA534" s="8" t="s">
        <v>1963</v>
      </c>
      <c r="AB534" s="21"/>
      <c r="AC534" s="12"/>
      <c r="AD534" s="26"/>
      <c r="AE534" s="29"/>
      <c r="AF534" s="26"/>
      <c r="AG534" s="207"/>
    </row>
    <row r="535" spans="1:33" s="208" customFormat="1" x14ac:dyDescent="0.25">
      <c r="A535" s="4"/>
      <c r="B535" s="4">
        <v>45821</v>
      </c>
      <c r="C535" s="1" t="s">
        <v>54</v>
      </c>
      <c r="D535" s="224" t="s">
        <v>3494</v>
      </c>
      <c r="E535" s="1" t="s">
        <v>2276</v>
      </c>
      <c r="F535" s="102" t="s">
        <v>1113</v>
      </c>
      <c r="G535" s="1" t="s">
        <v>870</v>
      </c>
      <c r="H535" s="8">
        <v>1</v>
      </c>
      <c r="I535" s="8">
        <v>1</v>
      </c>
      <c r="J535" s="115">
        <f>Table224[[#This Row],[Qty]]-Table224[[#This Row],[Issue Qty]]</f>
        <v>0</v>
      </c>
      <c r="K535" s="195"/>
      <c r="L535" s="195" t="s">
        <v>3480</v>
      </c>
      <c r="M535" s="5">
        <v>9508.7999999999993</v>
      </c>
      <c r="N535" s="5">
        <f t="shared" si="27"/>
        <v>9508.7999999999993</v>
      </c>
      <c r="O535" s="82">
        <v>0.18</v>
      </c>
      <c r="P535" s="9">
        <f t="shared" si="28"/>
        <v>1711.5839999999998</v>
      </c>
      <c r="Q535" s="5">
        <v>0</v>
      </c>
      <c r="R535" s="5"/>
      <c r="S535" s="5">
        <f t="shared" si="29"/>
        <v>11220.383999999998</v>
      </c>
      <c r="T535" s="1" t="s">
        <v>907</v>
      </c>
      <c r="U535" s="1" t="s">
        <v>907</v>
      </c>
      <c r="V535" s="1" t="s">
        <v>358</v>
      </c>
      <c r="W535" s="1" t="s">
        <v>2277</v>
      </c>
      <c r="X535" s="1"/>
      <c r="Y535" s="1"/>
      <c r="Z535" s="21" t="s">
        <v>809</v>
      </c>
      <c r="AA535" s="8"/>
      <c r="AB535" s="8">
        <v>1</v>
      </c>
      <c r="AC535" s="12" t="s">
        <v>2909</v>
      </c>
      <c r="AD535" s="1"/>
      <c r="AE535" s="29" t="s">
        <v>813</v>
      </c>
      <c r="AF535" s="1"/>
      <c r="AG535" s="207"/>
    </row>
    <row r="536" spans="1:33" s="208" customFormat="1" x14ac:dyDescent="0.25">
      <c r="A536" s="4"/>
      <c r="B536" s="4">
        <v>45821</v>
      </c>
      <c r="C536" s="1" t="s">
        <v>54</v>
      </c>
      <c r="D536" s="224" t="s">
        <v>3489</v>
      </c>
      <c r="E536" s="1" t="s">
        <v>2278</v>
      </c>
      <c r="F536" s="232" t="s">
        <v>1114</v>
      </c>
      <c r="G536" s="1" t="s">
        <v>1114</v>
      </c>
      <c r="H536" s="8">
        <v>1</v>
      </c>
      <c r="I536" s="8">
        <v>1</v>
      </c>
      <c r="J536" s="115">
        <f>Table224[[#This Row],[Qty]]-Table224[[#This Row],[Issue Qty]]</f>
        <v>0</v>
      </c>
      <c r="K536" s="195"/>
      <c r="L536" s="195" t="s">
        <v>3480</v>
      </c>
      <c r="M536" s="5">
        <v>2549.4</v>
      </c>
      <c r="N536" s="5">
        <f t="shared" si="27"/>
        <v>2549.4</v>
      </c>
      <c r="O536" s="82">
        <v>0.18</v>
      </c>
      <c r="P536" s="9">
        <f t="shared" si="28"/>
        <v>458.892</v>
      </c>
      <c r="Q536" s="5">
        <v>0</v>
      </c>
      <c r="R536" s="5"/>
      <c r="S536" s="5">
        <f t="shared" si="29"/>
        <v>3008.2919999999999</v>
      </c>
      <c r="T536" s="1" t="s">
        <v>1073</v>
      </c>
      <c r="U536" s="1" t="s">
        <v>1073</v>
      </c>
      <c r="V536" s="1" t="s">
        <v>358</v>
      </c>
      <c r="W536" s="1" t="s">
        <v>2275</v>
      </c>
      <c r="X536" s="1"/>
      <c r="Y536" s="26"/>
      <c r="Z536" s="21"/>
      <c r="AA536" s="204"/>
      <c r="AB536" s="21">
        <v>1</v>
      </c>
      <c r="AC536" s="12" t="s">
        <v>1115</v>
      </c>
      <c r="AD536" s="26"/>
      <c r="AE536" s="29" t="s">
        <v>1116</v>
      </c>
      <c r="AF536" s="26"/>
      <c r="AG536" s="207"/>
    </row>
    <row r="537" spans="1:33" s="208" customFormat="1" x14ac:dyDescent="0.25">
      <c r="A537" s="4"/>
      <c r="B537" s="4">
        <v>45824</v>
      </c>
      <c r="C537" s="1" t="s">
        <v>1991</v>
      </c>
      <c r="D537" s="224" t="s">
        <v>3455</v>
      </c>
      <c r="E537" s="1" t="s">
        <v>2288</v>
      </c>
      <c r="F537" s="102" t="s">
        <v>1126</v>
      </c>
      <c r="G537" s="1" t="s">
        <v>1127</v>
      </c>
      <c r="H537" s="8">
        <v>8</v>
      </c>
      <c r="I537" s="8">
        <v>0</v>
      </c>
      <c r="J537" s="115">
        <f>Table224[[#This Row],[Qty]]-Table224[[#This Row],[Issue Qty]]</f>
        <v>8</v>
      </c>
      <c r="K537" s="195"/>
      <c r="L537" s="195" t="s">
        <v>3480</v>
      </c>
      <c r="M537" s="5">
        <v>1322.44625</v>
      </c>
      <c r="N537" s="5">
        <f t="shared" si="27"/>
        <v>10579.57</v>
      </c>
      <c r="O537" s="82">
        <v>0</v>
      </c>
      <c r="P537" s="9">
        <f t="shared" si="28"/>
        <v>0</v>
      </c>
      <c r="Q537" s="5">
        <v>0</v>
      </c>
      <c r="R537" s="5"/>
      <c r="S537" s="5">
        <f t="shared" si="29"/>
        <v>10579.57</v>
      </c>
      <c r="T537" s="1" t="s">
        <v>980</v>
      </c>
      <c r="U537" s="1" t="s">
        <v>980</v>
      </c>
      <c r="V537" s="1" t="s">
        <v>1124</v>
      </c>
      <c r="W537" s="1" t="s">
        <v>2287</v>
      </c>
      <c r="X537" s="1"/>
      <c r="Y537" s="1"/>
      <c r="Z537" s="21" t="s">
        <v>38</v>
      </c>
      <c r="AA537" s="21" t="s">
        <v>153</v>
      </c>
      <c r="AB537" s="8"/>
      <c r="AC537" s="22"/>
      <c r="AD537" s="1"/>
      <c r="AE537" s="29" t="s">
        <v>1127</v>
      </c>
      <c r="AF537" s="1"/>
      <c r="AG537" s="2"/>
    </row>
    <row r="538" spans="1:33" s="208" customFormat="1" ht="30" x14ac:dyDescent="0.25">
      <c r="A538" s="4"/>
      <c r="B538" s="4">
        <v>45824</v>
      </c>
      <c r="C538" s="6" t="s">
        <v>1683</v>
      </c>
      <c r="D538" s="224" t="s">
        <v>3498</v>
      </c>
      <c r="E538" s="1" t="s">
        <v>2289</v>
      </c>
      <c r="F538" s="102" t="s">
        <v>1129</v>
      </c>
      <c r="G538" s="1" t="s">
        <v>1129</v>
      </c>
      <c r="H538" s="8">
        <v>1</v>
      </c>
      <c r="I538" s="8">
        <v>1</v>
      </c>
      <c r="J538" s="115">
        <f>Table224[[#This Row],[Qty]]-Table224[[#This Row],[Issue Qty]]</f>
        <v>0</v>
      </c>
      <c r="K538" s="195"/>
      <c r="L538" s="195" t="s">
        <v>3480</v>
      </c>
      <c r="M538" s="5">
        <v>727.12</v>
      </c>
      <c r="N538" s="5">
        <f t="shared" si="27"/>
        <v>727.12</v>
      </c>
      <c r="O538" s="82">
        <v>0.18</v>
      </c>
      <c r="P538" s="9">
        <f t="shared" si="28"/>
        <v>130.88159999999999</v>
      </c>
      <c r="Q538" s="5">
        <v>99</v>
      </c>
      <c r="R538" s="5"/>
      <c r="S538" s="5">
        <f t="shared" si="29"/>
        <v>957.00160000000005</v>
      </c>
      <c r="T538" s="1" t="s">
        <v>907</v>
      </c>
      <c r="U538" s="1" t="s">
        <v>907</v>
      </c>
      <c r="V538" s="1" t="s">
        <v>691</v>
      </c>
      <c r="W538" s="1" t="s">
        <v>2290</v>
      </c>
      <c r="X538" s="1"/>
      <c r="Y538" s="26"/>
      <c r="Z538" s="21" t="s">
        <v>327</v>
      </c>
      <c r="AA538" s="204"/>
      <c r="AB538" s="21"/>
      <c r="AC538" s="12"/>
      <c r="AD538" s="26" t="s">
        <v>3779</v>
      </c>
      <c r="AE538" s="29" t="s">
        <v>1130</v>
      </c>
      <c r="AF538" s="26"/>
      <c r="AG538" s="2"/>
    </row>
    <row r="539" spans="1:33" s="208" customFormat="1" x14ac:dyDescent="0.25">
      <c r="A539" s="4"/>
      <c r="B539" s="4">
        <v>45824</v>
      </c>
      <c r="C539" s="6" t="s">
        <v>1730</v>
      </c>
      <c r="D539" s="6" t="s">
        <v>3666</v>
      </c>
      <c r="E539" s="1" t="s">
        <v>2291</v>
      </c>
      <c r="F539" s="232" t="s">
        <v>1131</v>
      </c>
      <c r="G539" s="1" t="s">
        <v>1131</v>
      </c>
      <c r="H539" s="8">
        <v>6</v>
      </c>
      <c r="I539" s="8">
        <v>6</v>
      </c>
      <c r="J539" s="115">
        <f>Table224[[#This Row],[Qty]]-Table224[[#This Row],[Issue Qty]]</f>
        <v>0</v>
      </c>
      <c r="K539" s="195"/>
      <c r="L539" s="195" t="s">
        <v>3480</v>
      </c>
      <c r="M539" s="5">
        <v>264.49</v>
      </c>
      <c r="N539" s="5">
        <f t="shared" si="27"/>
        <v>1586.94</v>
      </c>
      <c r="O539" s="82">
        <v>0</v>
      </c>
      <c r="P539" s="9">
        <f t="shared" si="28"/>
        <v>0</v>
      </c>
      <c r="Q539" s="5">
        <v>0</v>
      </c>
      <c r="R539" s="5"/>
      <c r="S539" s="5">
        <f t="shared" si="29"/>
        <v>1586.94</v>
      </c>
      <c r="T539" s="1" t="s">
        <v>980</v>
      </c>
      <c r="U539" s="1" t="s">
        <v>980</v>
      </c>
      <c r="V539" s="1" t="s">
        <v>1124</v>
      </c>
      <c r="W539" s="1" t="s">
        <v>2287</v>
      </c>
      <c r="X539" s="1"/>
      <c r="Y539" s="1"/>
      <c r="Z539" s="21" t="s">
        <v>420</v>
      </c>
      <c r="AA539" s="8" t="s">
        <v>1132</v>
      </c>
      <c r="AB539" s="8">
        <v>3</v>
      </c>
      <c r="AC539" s="22" t="s">
        <v>3780</v>
      </c>
      <c r="AD539" s="1" t="s">
        <v>3781</v>
      </c>
      <c r="AE539" s="29" t="s">
        <v>1131</v>
      </c>
      <c r="AF539" s="1"/>
      <c r="AG539" s="2"/>
    </row>
    <row r="540" spans="1:33" s="208" customFormat="1" x14ac:dyDescent="0.25">
      <c r="A540" s="4"/>
      <c r="B540" s="4">
        <v>45824</v>
      </c>
      <c r="C540" s="1" t="s">
        <v>2096</v>
      </c>
      <c r="D540" s="224" t="s">
        <v>3454</v>
      </c>
      <c r="E540" s="1" t="s">
        <v>2292</v>
      </c>
      <c r="F540" s="102" t="s">
        <v>1133</v>
      </c>
      <c r="G540" s="1" t="s">
        <v>1133</v>
      </c>
      <c r="H540" s="8">
        <v>4</v>
      </c>
      <c r="I540" s="8">
        <v>2</v>
      </c>
      <c r="J540" s="115">
        <f>Table224[[#This Row],[Qty]]-Table224[[#This Row],[Issue Qty]]</f>
        <v>2</v>
      </c>
      <c r="K540" s="195"/>
      <c r="L540" s="195" t="s">
        <v>3480</v>
      </c>
      <c r="M540" s="5">
        <v>9840.7175000000007</v>
      </c>
      <c r="N540" s="5">
        <f t="shared" si="27"/>
        <v>39362.870000000003</v>
      </c>
      <c r="O540" s="82">
        <v>0</v>
      </c>
      <c r="P540" s="9">
        <f t="shared" si="28"/>
        <v>0</v>
      </c>
      <c r="Q540" s="5">
        <v>0</v>
      </c>
      <c r="R540" s="5"/>
      <c r="S540" s="5">
        <f t="shared" si="29"/>
        <v>39362.870000000003</v>
      </c>
      <c r="T540" s="1" t="s">
        <v>980</v>
      </c>
      <c r="U540" s="1" t="s">
        <v>980</v>
      </c>
      <c r="V540" s="1" t="s">
        <v>1124</v>
      </c>
      <c r="W540" s="1" t="s">
        <v>2287</v>
      </c>
      <c r="X540" s="1"/>
      <c r="Y540" s="1"/>
      <c r="Z540" s="21" t="s">
        <v>244</v>
      </c>
      <c r="AA540" s="8"/>
      <c r="AB540" s="8">
        <v>2</v>
      </c>
      <c r="AC540" s="22" t="s">
        <v>1125</v>
      </c>
      <c r="AD540" s="1"/>
      <c r="AE540" s="29" t="s">
        <v>1133</v>
      </c>
      <c r="AF540" s="1"/>
      <c r="AG540" s="2"/>
    </row>
    <row r="541" spans="1:33" s="208" customFormat="1" x14ac:dyDescent="0.25">
      <c r="A541" s="4"/>
      <c r="B541" s="4">
        <v>45824</v>
      </c>
      <c r="C541" s="1" t="s">
        <v>1991</v>
      </c>
      <c r="D541" s="224" t="s">
        <v>286</v>
      </c>
      <c r="E541" s="1" t="s">
        <v>2293</v>
      </c>
      <c r="F541" s="102" t="s">
        <v>1134</v>
      </c>
      <c r="G541" s="1" t="s">
        <v>1134</v>
      </c>
      <c r="H541" s="8">
        <v>4</v>
      </c>
      <c r="I541" s="8"/>
      <c r="J541" s="115">
        <f>Table224[[#This Row],[Qty]]-Table224[[#This Row],[Issue Qty]]</f>
        <v>4</v>
      </c>
      <c r="K541" s="195"/>
      <c r="L541" s="195" t="s">
        <v>3480</v>
      </c>
      <c r="M541" s="5">
        <v>52893.452499999999</v>
      </c>
      <c r="N541" s="5">
        <f t="shared" si="27"/>
        <v>211573.81</v>
      </c>
      <c r="O541" s="82">
        <v>0</v>
      </c>
      <c r="P541" s="9">
        <f t="shared" si="28"/>
        <v>0</v>
      </c>
      <c r="Q541" s="5">
        <v>0</v>
      </c>
      <c r="R541" s="5"/>
      <c r="S541" s="5">
        <f t="shared" si="29"/>
        <v>211573.81</v>
      </c>
      <c r="T541" s="1" t="s">
        <v>980</v>
      </c>
      <c r="U541" s="1" t="s">
        <v>980</v>
      </c>
      <c r="V541" s="1" t="s">
        <v>1124</v>
      </c>
      <c r="W541" s="1" t="s">
        <v>2287</v>
      </c>
      <c r="X541" s="1"/>
      <c r="Y541" s="1"/>
      <c r="Z541" s="21" t="s">
        <v>25</v>
      </c>
      <c r="AA541" s="8"/>
      <c r="AB541" s="8"/>
      <c r="AC541" s="22"/>
      <c r="AD541" s="1"/>
      <c r="AE541" s="29" t="s">
        <v>1134</v>
      </c>
      <c r="AF541" s="1"/>
      <c r="AG541" s="2"/>
    </row>
    <row r="542" spans="1:33" s="208" customFormat="1" x14ac:dyDescent="0.25">
      <c r="A542" s="4"/>
      <c r="B542" s="4">
        <v>45824</v>
      </c>
      <c r="C542" s="1" t="s">
        <v>2096</v>
      </c>
      <c r="D542" s="224" t="s">
        <v>3450</v>
      </c>
      <c r="E542" s="1" t="s">
        <v>2294</v>
      </c>
      <c r="F542" s="102" t="s">
        <v>1135</v>
      </c>
      <c r="G542" s="1" t="s">
        <v>1135</v>
      </c>
      <c r="H542" s="8">
        <v>1</v>
      </c>
      <c r="I542" s="8"/>
      <c r="J542" s="115">
        <f>Table224[[#This Row],[Qty]]-Table224[[#This Row],[Issue Qty]]</f>
        <v>1</v>
      </c>
      <c r="K542" s="195"/>
      <c r="L542" s="195" t="s">
        <v>3480</v>
      </c>
      <c r="M542" s="5">
        <v>4050.6</v>
      </c>
      <c r="N542" s="5">
        <f t="shared" si="27"/>
        <v>4050.6</v>
      </c>
      <c r="O542" s="82">
        <v>0</v>
      </c>
      <c r="P542" s="9">
        <f t="shared" si="28"/>
        <v>0</v>
      </c>
      <c r="Q542" s="5">
        <v>0</v>
      </c>
      <c r="R542" s="5"/>
      <c r="S542" s="5">
        <f t="shared" si="29"/>
        <v>4050.6</v>
      </c>
      <c r="T542" s="1" t="s">
        <v>980</v>
      </c>
      <c r="U542" s="1" t="s">
        <v>980</v>
      </c>
      <c r="V542" s="1" t="s">
        <v>1124</v>
      </c>
      <c r="W542" s="1" t="s">
        <v>2287</v>
      </c>
      <c r="X542" s="1"/>
      <c r="Y542" s="1"/>
      <c r="Z542" s="21" t="s">
        <v>29</v>
      </c>
      <c r="AA542" s="8"/>
      <c r="AB542" s="8">
        <v>1</v>
      </c>
      <c r="AC542" s="22" t="s">
        <v>1125</v>
      </c>
      <c r="AD542" s="1"/>
      <c r="AE542" s="29" t="s">
        <v>1135</v>
      </c>
      <c r="AF542" s="1"/>
      <c r="AG542" s="2"/>
    </row>
    <row r="543" spans="1:33" s="51" customFormat="1" x14ac:dyDescent="0.25">
      <c r="A543" s="4"/>
      <c r="B543" s="4">
        <v>45824</v>
      </c>
      <c r="C543" s="1" t="s">
        <v>1991</v>
      </c>
      <c r="D543" s="224" t="s">
        <v>3453</v>
      </c>
      <c r="E543" s="1" t="s">
        <v>2295</v>
      </c>
      <c r="F543" s="102" t="s">
        <v>1136</v>
      </c>
      <c r="G543" s="1" t="s">
        <v>1136</v>
      </c>
      <c r="H543" s="8">
        <v>4</v>
      </c>
      <c r="I543" s="8">
        <v>2</v>
      </c>
      <c r="J543" s="115">
        <f>Table224[[#This Row],[Qty]]-Table224[[#This Row],[Issue Qty]]</f>
        <v>2</v>
      </c>
      <c r="K543" s="195"/>
      <c r="L543" s="195" t="s">
        <v>3480</v>
      </c>
      <c r="M543" s="5">
        <v>14101.6875</v>
      </c>
      <c r="N543" s="5">
        <f t="shared" si="27"/>
        <v>56406.75</v>
      </c>
      <c r="O543" s="82">
        <v>0</v>
      </c>
      <c r="P543" s="9">
        <f t="shared" si="28"/>
        <v>0</v>
      </c>
      <c r="Q543" s="5">
        <v>0</v>
      </c>
      <c r="R543" s="5"/>
      <c r="S543" s="5">
        <f t="shared" si="29"/>
        <v>56406.75</v>
      </c>
      <c r="T543" s="1" t="s">
        <v>980</v>
      </c>
      <c r="U543" s="1" t="s">
        <v>980</v>
      </c>
      <c r="V543" s="1" t="s">
        <v>1124</v>
      </c>
      <c r="W543" s="1" t="s">
        <v>2287</v>
      </c>
      <c r="X543" s="1"/>
      <c r="Y543" s="1"/>
      <c r="Z543" s="21" t="s">
        <v>244</v>
      </c>
      <c r="AA543" s="8"/>
      <c r="AB543" s="8">
        <v>2</v>
      </c>
      <c r="AC543" s="22" t="s">
        <v>3613</v>
      </c>
      <c r="AD543" s="1"/>
      <c r="AE543" s="29" t="s">
        <v>1136</v>
      </c>
      <c r="AF543" s="1"/>
      <c r="AG543" s="2"/>
    </row>
    <row r="544" spans="1:33" s="208" customFormat="1" x14ac:dyDescent="0.25">
      <c r="A544" s="4"/>
      <c r="B544" s="4">
        <v>45824</v>
      </c>
      <c r="C544" s="1" t="s">
        <v>1991</v>
      </c>
      <c r="D544" s="224" t="s">
        <v>3443</v>
      </c>
      <c r="E544" s="1" t="s">
        <v>2296</v>
      </c>
      <c r="F544" s="102" t="s">
        <v>1137</v>
      </c>
      <c r="G544" s="1" t="s">
        <v>1137</v>
      </c>
      <c r="H544" s="8">
        <v>6</v>
      </c>
      <c r="I544" s="8">
        <v>2</v>
      </c>
      <c r="J544" s="115">
        <f>Table224[[#This Row],[Qty]]-Table224[[#This Row],[Issue Qty]]</f>
        <v>4</v>
      </c>
      <c r="K544" s="195"/>
      <c r="L544" s="195" t="s">
        <v>3480</v>
      </c>
      <c r="M544" s="5">
        <v>14983.3183333333</v>
      </c>
      <c r="N544" s="5">
        <f t="shared" si="27"/>
        <v>89899.9099999998</v>
      </c>
      <c r="O544" s="82">
        <v>0</v>
      </c>
      <c r="P544" s="9">
        <f t="shared" si="28"/>
        <v>0</v>
      </c>
      <c r="Q544" s="5">
        <v>0</v>
      </c>
      <c r="R544" s="5"/>
      <c r="S544" s="5">
        <f t="shared" si="29"/>
        <v>89899.9099999998</v>
      </c>
      <c r="T544" s="1" t="s">
        <v>980</v>
      </c>
      <c r="U544" s="1" t="s">
        <v>980</v>
      </c>
      <c r="V544" s="1" t="s">
        <v>1124</v>
      </c>
      <c r="W544" s="1" t="s">
        <v>2287</v>
      </c>
      <c r="X544" s="1"/>
      <c r="Y544" s="1"/>
      <c r="Z544" s="21" t="s">
        <v>25</v>
      </c>
      <c r="AA544" s="8"/>
      <c r="AB544" s="8">
        <v>2</v>
      </c>
      <c r="AC544" s="22" t="s">
        <v>1125</v>
      </c>
      <c r="AD544" s="1"/>
      <c r="AE544" s="29" t="s">
        <v>1137</v>
      </c>
      <c r="AF544" s="1"/>
      <c r="AG544" s="2"/>
    </row>
    <row r="545" spans="1:33" s="51" customFormat="1" x14ac:dyDescent="0.25">
      <c r="A545" s="4"/>
      <c r="B545" s="4">
        <v>45824</v>
      </c>
      <c r="C545" s="1" t="s">
        <v>1991</v>
      </c>
      <c r="D545" s="224" t="s">
        <v>3464</v>
      </c>
      <c r="E545" s="1" t="s">
        <v>2297</v>
      </c>
      <c r="F545" s="102" t="s">
        <v>1138</v>
      </c>
      <c r="G545" s="1" t="s">
        <v>1138</v>
      </c>
      <c r="H545" s="8">
        <v>6</v>
      </c>
      <c r="I545" s="8">
        <v>2</v>
      </c>
      <c r="J545" s="115">
        <f>Table224[[#This Row],[Qty]]-Table224[[#This Row],[Issue Qty]]</f>
        <v>4</v>
      </c>
      <c r="K545" s="195"/>
      <c r="L545" s="195" t="s">
        <v>3480</v>
      </c>
      <c r="M545" s="5">
        <v>10575.163333333299</v>
      </c>
      <c r="N545" s="5">
        <f t="shared" si="27"/>
        <v>63450.979999999792</v>
      </c>
      <c r="O545" s="82">
        <v>0</v>
      </c>
      <c r="P545" s="9">
        <f t="shared" si="28"/>
        <v>0</v>
      </c>
      <c r="Q545" s="5">
        <v>0</v>
      </c>
      <c r="R545" s="5"/>
      <c r="S545" s="5">
        <f t="shared" si="29"/>
        <v>63450.979999999792</v>
      </c>
      <c r="T545" s="1" t="s">
        <v>980</v>
      </c>
      <c r="U545" s="1" t="s">
        <v>980</v>
      </c>
      <c r="V545" s="1" t="s">
        <v>1124</v>
      </c>
      <c r="W545" s="1" t="s">
        <v>2287</v>
      </c>
      <c r="X545" s="1"/>
      <c r="Y545" s="1"/>
      <c r="Z545" s="21" t="s">
        <v>244</v>
      </c>
      <c r="AA545" s="8"/>
      <c r="AB545" s="8">
        <v>2</v>
      </c>
      <c r="AC545" s="22" t="s">
        <v>3481</v>
      </c>
      <c r="AD545" s="1"/>
      <c r="AE545" s="29" t="s">
        <v>1138</v>
      </c>
      <c r="AF545" s="1"/>
      <c r="AG545" s="2"/>
    </row>
    <row r="546" spans="1:33" s="24" customFormat="1" x14ac:dyDescent="0.25">
      <c r="A546" s="4"/>
      <c r="B546" s="4">
        <v>45824</v>
      </c>
      <c r="C546" s="1" t="s">
        <v>1991</v>
      </c>
      <c r="D546" s="224" t="s">
        <v>3490</v>
      </c>
      <c r="E546" s="1" t="s">
        <v>2286</v>
      </c>
      <c r="F546" s="102" t="s">
        <v>1123</v>
      </c>
      <c r="G546" s="1" t="s">
        <v>1123</v>
      </c>
      <c r="H546" s="8">
        <v>6</v>
      </c>
      <c r="I546" s="8">
        <v>2</v>
      </c>
      <c r="J546" s="115">
        <f>Table224[[#This Row],[Qty]]-Table224[[#This Row],[Issue Qty]]</f>
        <v>4</v>
      </c>
      <c r="K546" s="195"/>
      <c r="L546" s="195" t="s">
        <v>3480</v>
      </c>
      <c r="M546" s="5">
        <v>4406.9133333333302</v>
      </c>
      <c r="N546" s="5">
        <f t="shared" si="27"/>
        <v>26441.479999999981</v>
      </c>
      <c r="O546" s="82">
        <v>0</v>
      </c>
      <c r="P546" s="9">
        <f t="shared" si="28"/>
        <v>0</v>
      </c>
      <c r="Q546" s="5">
        <v>0</v>
      </c>
      <c r="R546" s="5"/>
      <c r="S546" s="5">
        <f t="shared" si="29"/>
        <v>26441.479999999981</v>
      </c>
      <c r="T546" s="1" t="s">
        <v>980</v>
      </c>
      <c r="U546" s="1" t="s">
        <v>980</v>
      </c>
      <c r="V546" s="1" t="s">
        <v>1124</v>
      </c>
      <c r="W546" s="1" t="s">
        <v>2287</v>
      </c>
      <c r="X546" s="1"/>
      <c r="Y546" s="1"/>
      <c r="Z546" s="21" t="s">
        <v>52</v>
      </c>
      <c r="AA546" s="8"/>
      <c r="AB546" s="8">
        <v>2</v>
      </c>
      <c r="AC546" s="22" t="s">
        <v>1125</v>
      </c>
      <c r="AD546" s="1"/>
      <c r="AE546" s="29" t="s">
        <v>1123</v>
      </c>
      <c r="AF546" s="1"/>
      <c r="AG546" s="2"/>
    </row>
    <row r="547" spans="1:33" s="24" customFormat="1" x14ac:dyDescent="0.25">
      <c r="A547" s="4"/>
      <c r="B547" s="4">
        <v>45824</v>
      </c>
      <c r="C547" s="6" t="s">
        <v>1730</v>
      </c>
      <c r="D547" s="224" t="s">
        <v>3489</v>
      </c>
      <c r="E547" s="1" t="s">
        <v>2283</v>
      </c>
      <c r="F547" s="102" t="s">
        <v>1120</v>
      </c>
      <c r="G547" s="1" t="s">
        <v>1121</v>
      </c>
      <c r="H547" s="8">
        <v>4</v>
      </c>
      <c r="I547" s="8"/>
      <c r="J547" s="115">
        <f>Table224[[#This Row],[Qty]]-Table224[[#This Row],[Issue Qty]]</f>
        <v>4</v>
      </c>
      <c r="K547" s="195"/>
      <c r="L547" s="195" t="s">
        <v>3480</v>
      </c>
      <c r="M547" s="5">
        <v>250</v>
      </c>
      <c r="N547" s="5">
        <f t="shared" si="27"/>
        <v>1000</v>
      </c>
      <c r="O547" s="82">
        <v>0.18</v>
      </c>
      <c r="P547" s="9">
        <f t="shared" si="28"/>
        <v>180</v>
      </c>
      <c r="Q547" s="5">
        <v>0</v>
      </c>
      <c r="R547" s="5"/>
      <c r="S547" s="5">
        <f t="shared" si="29"/>
        <v>1180</v>
      </c>
      <c r="T547" s="1" t="s">
        <v>907</v>
      </c>
      <c r="U547" s="1" t="s">
        <v>907</v>
      </c>
      <c r="V547" s="1" t="s">
        <v>829</v>
      </c>
      <c r="W547" s="1" t="s">
        <v>2280</v>
      </c>
      <c r="X547" s="1"/>
      <c r="Y547" s="26"/>
      <c r="Z547" s="21"/>
      <c r="AA547" s="204"/>
      <c r="AB547" s="21">
        <v>4</v>
      </c>
      <c r="AC547" s="12" t="s">
        <v>936</v>
      </c>
      <c r="AD547" s="26"/>
      <c r="AE547" s="29"/>
      <c r="AF547" s="26"/>
      <c r="AG547" s="207"/>
    </row>
    <row r="548" spans="1:33" s="24" customFormat="1" x14ac:dyDescent="0.25">
      <c r="A548" s="4"/>
      <c r="B548" s="4">
        <v>45824</v>
      </c>
      <c r="C548" s="1" t="s">
        <v>54</v>
      </c>
      <c r="D548" s="224" t="s">
        <v>3489</v>
      </c>
      <c r="E548" s="1" t="s">
        <v>2237</v>
      </c>
      <c r="F548" s="232" t="s">
        <v>1062</v>
      </c>
      <c r="G548" s="1" t="s">
        <v>1062</v>
      </c>
      <c r="H548" s="8">
        <v>8</v>
      </c>
      <c r="I548" s="8">
        <v>8</v>
      </c>
      <c r="J548" s="115">
        <f>Table224[[#This Row],[Qty]]-Table224[[#This Row],[Issue Qty]]</f>
        <v>0</v>
      </c>
      <c r="K548" s="195"/>
      <c r="L548" s="195" t="s">
        <v>3480</v>
      </c>
      <c r="M548" s="5">
        <v>575</v>
      </c>
      <c r="N548" s="5">
        <f t="shared" si="27"/>
        <v>4600</v>
      </c>
      <c r="O548" s="82">
        <v>0.18</v>
      </c>
      <c r="P548" s="9">
        <f t="shared" si="28"/>
        <v>828</v>
      </c>
      <c r="Q548" s="5">
        <v>0</v>
      </c>
      <c r="R548" s="5"/>
      <c r="S548" s="5">
        <f t="shared" si="29"/>
        <v>5428</v>
      </c>
      <c r="T548" s="1" t="s">
        <v>1073</v>
      </c>
      <c r="U548" s="1" t="s">
        <v>1073</v>
      </c>
      <c r="V548" s="1" t="s">
        <v>1117</v>
      </c>
      <c r="W548" s="1" t="s">
        <v>2279</v>
      </c>
      <c r="X548" s="1"/>
      <c r="Y548" s="26"/>
      <c r="Z548" s="21"/>
      <c r="AA548" s="204"/>
      <c r="AB548" s="21">
        <v>8</v>
      </c>
      <c r="AC548" s="12" t="s">
        <v>1075</v>
      </c>
      <c r="AD548" s="26"/>
      <c r="AE548" s="29" t="s">
        <v>1063</v>
      </c>
      <c r="AF548" s="26"/>
      <c r="AG548" s="207"/>
    </row>
    <row r="549" spans="1:33" s="24" customFormat="1" x14ac:dyDescent="0.25">
      <c r="A549" s="4"/>
      <c r="B549" s="4">
        <v>45824</v>
      </c>
      <c r="C549" s="1" t="s">
        <v>54</v>
      </c>
      <c r="D549" s="224" t="s">
        <v>3489</v>
      </c>
      <c r="E549" s="1" t="s">
        <v>2239</v>
      </c>
      <c r="F549" s="232" t="s">
        <v>1064</v>
      </c>
      <c r="G549" s="1" t="s">
        <v>1064</v>
      </c>
      <c r="H549" s="8">
        <v>8</v>
      </c>
      <c r="I549" s="8">
        <v>8</v>
      </c>
      <c r="J549" s="115">
        <f>Table224[[#This Row],[Qty]]-Table224[[#This Row],[Issue Qty]]</f>
        <v>0</v>
      </c>
      <c r="K549" s="195"/>
      <c r="L549" s="195" t="s">
        <v>3480</v>
      </c>
      <c r="M549" s="5">
        <v>1550</v>
      </c>
      <c r="N549" s="5">
        <f t="shared" si="27"/>
        <v>12400</v>
      </c>
      <c r="O549" s="82">
        <v>0.18</v>
      </c>
      <c r="P549" s="9">
        <f t="shared" si="28"/>
        <v>2232</v>
      </c>
      <c r="Q549" s="5">
        <v>0</v>
      </c>
      <c r="R549" s="5"/>
      <c r="S549" s="5">
        <f t="shared" si="29"/>
        <v>14632</v>
      </c>
      <c r="T549" s="1" t="s">
        <v>1073</v>
      </c>
      <c r="U549" s="1" t="s">
        <v>1073</v>
      </c>
      <c r="V549" s="1" t="s">
        <v>1117</v>
      </c>
      <c r="W549" s="1" t="s">
        <v>2279</v>
      </c>
      <c r="X549" s="1"/>
      <c r="Y549" s="26"/>
      <c r="Z549" s="21"/>
      <c r="AA549" s="204"/>
      <c r="AB549" s="21">
        <v>8</v>
      </c>
      <c r="AC549" s="12" t="s">
        <v>1075</v>
      </c>
      <c r="AD549" s="26"/>
      <c r="AE549" s="29" t="s">
        <v>1065</v>
      </c>
      <c r="AF549" s="26"/>
      <c r="AG549" s="207"/>
    </row>
    <row r="550" spans="1:33" s="24" customFormat="1" x14ac:dyDescent="0.25">
      <c r="A550" s="4"/>
      <c r="B550" s="4">
        <v>45824</v>
      </c>
      <c r="C550" s="1" t="s">
        <v>54</v>
      </c>
      <c r="D550" s="224" t="s">
        <v>3494</v>
      </c>
      <c r="E550" s="1" t="s">
        <v>2276</v>
      </c>
      <c r="F550" s="102" t="s">
        <v>1113</v>
      </c>
      <c r="G550" s="1" t="s">
        <v>870</v>
      </c>
      <c r="H550" s="8">
        <v>1</v>
      </c>
      <c r="I550" s="8">
        <v>1</v>
      </c>
      <c r="J550" s="115">
        <f>Table224[[#This Row],[Qty]]-Table224[[#This Row],[Issue Qty]]</f>
        <v>0</v>
      </c>
      <c r="K550" s="195"/>
      <c r="L550" s="195" t="s">
        <v>3480</v>
      </c>
      <c r="M550" s="5">
        <v>10350</v>
      </c>
      <c r="N550" s="5">
        <f t="shared" si="27"/>
        <v>10350</v>
      </c>
      <c r="O550" s="82">
        <v>0.18</v>
      </c>
      <c r="P550" s="9">
        <f t="shared" si="28"/>
        <v>1863</v>
      </c>
      <c r="Q550" s="5">
        <v>0</v>
      </c>
      <c r="R550" s="5"/>
      <c r="S550" s="5">
        <f t="shared" si="29"/>
        <v>12213</v>
      </c>
      <c r="T550" s="1" t="s">
        <v>907</v>
      </c>
      <c r="U550" s="1" t="s">
        <v>907</v>
      </c>
      <c r="V550" s="1" t="s">
        <v>829</v>
      </c>
      <c r="W550" s="1" t="s">
        <v>2280</v>
      </c>
      <c r="X550" s="1"/>
      <c r="Y550" s="26"/>
      <c r="Z550" s="21"/>
      <c r="AA550" s="204"/>
      <c r="AB550" s="21">
        <v>1</v>
      </c>
      <c r="AC550" s="12" t="s">
        <v>2915</v>
      </c>
      <c r="AD550" s="26"/>
      <c r="AE550" s="29" t="s">
        <v>813</v>
      </c>
      <c r="AF550" s="26"/>
      <c r="AG550" s="207"/>
    </row>
    <row r="551" spans="1:33" s="24" customFormat="1" x14ac:dyDescent="0.25">
      <c r="A551" s="4"/>
      <c r="B551" s="4">
        <v>45824</v>
      </c>
      <c r="C551" s="1" t="s">
        <v>54</v>
      </c>
      <c r="D551" s="224" t="s">
        <v>3494</v>
      </c>
      <c r="E551" s="1" t="s">
        <v>2281</v>
      </c>
      <c r="F551" s="232" t="s">
        <v>1118</v>
      </c>
      <c r="G551" s="1" t="s">
        <v>1119</v>
      </c>
      <c r="H551" s="8">
        <v>1</v>
      </c>
      <c r="I551" s="8"/>
      <c r="J551" s="115">
        <f>Table224[[#This Row],[Qty]]-Table224[[#This Row],[Issue Qty]]</f>
        <v>1</v>
      </c>
      <c r="K551" s="195"/>
      <c r="L551" s="195" t="s">
        <v>3480</v>
      </c>
      <c r="M551" s="5">
        <v>1000</v>
      </c>
      <c r="N551" s="5">
        <f t="shared" si="27"/>
        <v>1000</v>
      </c>
      <c r="O551" s="82">
        <v>0.18</v>
      </c>
      <c r="P551" s="9">
        <f t="shared" si="28"/>
        <v>180</v>
      </c>
      <c r="Q551" s="5">
        <v>0</v>
      </c>
      <c r="R551" s="5"/>
      <c r="S551" s="5">
        <f t="shared" si="29"/>
        <v>1180</v>
      </c>
      <c r="T551" s="1" t="s">
        <v>907</v>
      </c>
      <c r="U551" s="1" t="s">
        <v>907</v>
      </c>
      <c r="V551" s="1" t="s">
        <v>358</v>
      </c>
      <c r="W551" s="1" t="s">
        <v>2282</v>
      </c>
      <c r="X551" s="1"/>
      <c r="Y551" s="26"/>
      <c r="Z551" s="21"/>
      <c r="AA551" s="204"/>
      <c r="AB551" s="21">
        <v>1</v>
      </c>
      <c r="AC551" s="12" t="s">
        <v>936</v>
      </c>
      <c r="AD551" s="26"/>
      <c r="AE551" s="29"/>
      <c r="AF551" s="26"/>
      <c r="AG551" s="50"/>
    </row>
    <row r="552" spans="1:33" s="24" customFormat="1" x14ac:dyDescent="0.25">
      <c r="A552" s="4"/>
      <c r="B552" s="4">
        <v>45824</v>
      </c>
      <c r="C552" s="1" t="s">
        <v>54</v>
      </c>
      <c r="D552" s="224" t="s">
        <v>3494</v>
      </c>
      <c r="E552" s="1" t="s">
        <v>2284</v>
      </c>
      <c r="F552" s="102" t="s">
        <v>1122</v>
      </c>
      <c r="G552" s="1" t="s">
        <v>1122</v>
      </c>
      <c r="H552" s="8">
        <v>1</v>
      </c>
      <c r="I552" s="8"/>
      <c r="J552" s="115">
        <f>Table224[[#This Row],[Qty]]-Table224[[#This Row],[Issue Qty]]</f>
        <v>1</v>
      </c>
      <c r="K552" s="195"/>
      <c r="L552" s="195" t="s">
        <v>3480</v>
      </c>
      <c r="M552" s="5">
        <v>3800</v>
      </c>
      <c r="N552" s="5">
        <f t="shared" si="27"/>
        <v>3800</v>
      </c>
      <c r="O552" s="82">
        <v>0.18</v>
      </c>
      <c r="P552" s="9">
        <f t="shared" si="28"/>
        <v>684</v>
      </c>
      <c r="Q552" s="5">
        <v>0</v>
      </c>
      <c r="R552" s="5"/>
      <c r="S552" s="5">
        <f t="shared" si="29"/>
        <v>4484</v>
      </c>
      <c r="T552" s="1" t="s">
        <v>907</v>
      </c>
      <c r="U552" s="1" t="s">
        <v>907</v>
      </c>
      <c r="V552" s="1" t="s">
        <v>764</v>
      </c>
      <c r="W552" s="1" t="s">
        <v>2285</v>
      </c>
      <c r="X552" s="1"/>
      <c r="Y552" s="26"/>
      <c r="Z552" s="21"/>
      <c r="AA552" s="204"/>
      <c r="AB552" s="21">
        <v>1</v>
      </c>
      <c r="AC552" s="12" t="s">
        <v>936</v>
      </c>
      <c r="AD552" s="26"/>
      <c r="AE552" s="29"/>
      <c r="AF552" s="26"/>
      <c r="AG552" s="50"/>
    </row>
    <row r="553" spans="1:33" s="24" customFormat="1" x14ac:dyDescent="0.25">
      <c r="A553" s="4"/>
      <c r="B553" s="4">
        <v>45826</v>
      </c>
      <c r="C553" s="1" t="s">
        <v>54</v>
      </c>
      <c r="D553" s="224" t="s">
        <v>3494</v>
      </c>
      <c r="E553" s="1" t="s">
        <v>2276</v>
      </c>
      <c r="F553" s="102" t="s">
        <v>1113</v>
      </c>
      <c r="G553" s="1" t="s">
        <v>870</v>
      </c>
      <c r="H553" s="8">
        <v>1</v>
      </c>
      <c r="I553" s="8">
        <v>0</v>
      </c>
      <c r="J553" s="115">
        <f>Table224[[#This Row],[Qty]]-Table224[[#This Row],[Issue Qty]]</f>
        <v>1</v>
      </c>
      <c r="K553" s="195"/>
      <c r="L553" s="195" t="s">
        <v>3480</v>
      </c>
      <c r="M553" s="5">
        <f>9895+2240</f>
        <v>12135</v>
      </c>
      <c r="N553" s="5">
        <f t="shared" si="27"/>
        <v>12135</v>
      </c>
      <c r="O553" s="82">
        <v>0.18</v>
      </c>
      <c r="P553" s="9">
        <f t="shared" si="28"/>
        <v>2184.2999999999997</v>
      </c>
      <c r="Q553" s="5">
        <v>1180</v>
      </c>
      <c r="R553" s="5"/>
      <c r="S553" s="5">
        <f t="shared" si="29"/>
        <v>15499.3</v>
      </c>
      <c r="T553" s="1" t="s">
        <v>907</v>
      </c>
      <c r="U553" s="1" t="s">
        <v>907</v>
      </c>
      <c r="V553" s="1" t="s">
        <v>1017</v>
      </c>
      <c r="W553" s="1" t="s">
        <v>2298</v>
      </c>
      <c r="X553" s="1"/>
      <c r="Y553" s="26"/>
      <c r="Z553" s="21" t="s">
        <v>809</v>
      </c>
      <c r="AA553" s="204"/>
      <c r="AB553" s="21"/>
      <c r="AC553" s="12"/>
      <c r="AD553" s="26"/>
      <c r="AE553" s="29" t="s">
        <v>813</v>
      </c>
      <c r="AF553" s="26"/>
      <c r="AG553" s="2"/>
    </row>
    <row r="554" spans="1:33" s="24" customFormat="1" x14ac:dyDescent="0.25">
      <c r="A554" s="4"/>
      <c r="B554" s="4">
        <v>45827</v>
      </c>
      <c r="C554" s="1" t="s">
        <v>54</v>
      </c>
      <c r="D554" s="224" t="s">
        <v>3489</v>
      </c>
      <c r="E554" s="1" t="s">
        <v>2283</v>
      </c>
      <c r="F554" s="102" t="s">
        <v>1120</v>
      </c>
      <c r="G554" s="1" t="s">
        <v>1120</v>
      </c>
      <c r="H554" s="8">
        <v>4</v>
      </c>
      <c r="I554" s="8"/>
      <c r="J554" s="115">
        <f>Table224[[#This Row],[Qty]]-Table224[[#This Row],[Issue Qty]]</f>
        <v>4</v>
      </c>
      <c r="K554" s="195"/>
      <c r="L554" s="195" t="s">
        <v>3480</v>
      </c>
      <c r="M554" s="5">
        <v>100</v>
      </c>
      <c r="N554" s="5">
        <f t="shared" si="27"/>
        <v>400</v>
      </c>
      <c r="O554" s="82">
        <v>0.18</v>
      </c>
      <c r="P554" s="9">
        <f t="shared" si="28"/>
        <v>72</v>
      </c>
      <c r="Q554" s="5">
        <v>0</v>
      </c>
      <c r="R554" s="5"/>
      <c r="S554" s="5">
        <f t="shared" si="29"/>
        <v>472</v>
      </c>
      <c r="T554" s="1" t="s">
        <v>907</v>
      </c>
      <c r="U554" s="1" t="s">
        <v>907</v>
      </c>
      <c r="V554" s="1" t="s">
        <v>358</v>
      </c>
      <c r="W554" s="1" t="s">
        <v>2299</v>
      </c>
      <c r="X554" s="1"/>
      <c r="Y554" s="26"/>
      <c r="Z554" s="21"/>
      <c r="AA554" s="204"/>
      <c r="AB554" s="21">
        <v>4</v>
      </c>
      <c r="AC554" s="12" t="s">
        <v>936</v>
      </c>
      <c r="AD554" s="26"/>
      <c r="AE554" s="29" t="s">
        <v>1139</v>
      </c>
      <c r="AF554" s="26"/>
      <c r="AG554" s="2"/>
    </row>
    <row r="555" spans="1:33" s="24" customFormat="1" x14ac:dyDescent="0.25">
      <c r="A555" s="4"/>
      <c r="B555" s="4">
        <v>45828</v>
      </c>
      <c r="C555" s="1" t="s">
        <v>54</v>
      </c>
      <c r="D555" s="224" t="s">
        <v>3489</v>
      </c>
      <c r="E555" s="26" t="s">
        <v>2272</v>
      </c>
      <c r="F555" s="233" t="s">
        <v>1110</v>
      </c>
      <c r="G555" s="1" t="s">
        <v>1110</v>
      </c>
      <c r="H555" s="8">
        <v>2</v>
      </c>
      <c r="I555" s="8"/>
      <c r="J555" s="115">
        <f>Table224[[#This Row],[Qty]]-Table224[[#This Row],[Issue Qty]]</f>
        <v>2</v>
      </c>
      <c r="K555" s="195"/>
      <c r="L555" s="195" t="s">
        <v>3480</v>
      </c>
      <c r="M555" s="5">
        <v>248.57</v>
      </c>
      <c r="N555" s="5">
        <f t="shared" si="27"/>
        <v>497.14</v>
      </c>
      <c r="O555" s="82">
        <v>0.05</v>
      </c>
      <c r="P555" s="9">
        <f t="shared" si="28"/>
        <v>24.856999999999999</v>
      </c>
      <c r="Q555" s="5">
        <f>169.49+30.51</f>
        <v>200</v>
      </c>
      <c r="R555" s="5"/>
      <c r="S555" s="5">
        <f t="shared" si="29"/>
        <v>721.99699999999996</v>
      </c>
      <c r="T555" s="1" t="s">
        <v>1073</v>
      </c>
      <c r="U555" s="1" t="s">
        <v>1073</v>
      </c>
      <c r="V555" s="1" t="s">
        <v>968</v>
      </c>
      <c r="W555" s="1" t="s">
        <v>2300</v>
      </c>
      <c r="X555" s="1"/>
      <c r="Y555" s="1"/>
      <c r="Z555" s="21" t="s">
        <v>33</v>
      </c>
      <c r="AA555" s="8" t="s">
        <v>1963</v>
      </c>
      <c r="AB555" s="8"/>
      <c r="AC555" s="22"/>
      <c r="AD555" s="1"/>
      <c r="AE555" s="29"/>
      <c r="AF555" s="1"/>
      <c r="AG555" s="2"/>
    </row>
    <row r="556" spans="1:33" s="24" customFormat="1" x14ac:dyDescent="0.25">
      <c r="A556" s="4"/>
      <c r="B556" s="4">
        <v>45829</v>
      </c>
      <c r="C556" s="1" t="s">
        <v>54</v>
      </c>
      <c r="D556" s="224" t="s">
        <v>3587</v>
      </c>
      <c r="E556" s="1" t="s">
        <v>2304</v>
      </c>
      <c r="F556" s="102" t="s">
        <v>1149</v>
      </c>
      <c r="G556" s="1" t="s">
        <v>1150</v>
      </c>
      <c r="H556" s="8">
        <v>4</v>
      </c>
      <c r="I556" s="8">
        <v>4</v>
      </c>
      <c r="J556" s="115">
        <f>Table224[[#This Row],[Qty]]-Table224[[#This Row],[Issue Qty]]</f>
        <v>0</v>
      </c>
      <c r="K556" s="195"/>
      <c r="L556" s="195" t="s">
        <v>3480</v>
      </c>
      <c r="M556" s="5">
        <v>678</v>
      </c>
      <c r="N556" s="5">
        <f t="shared" si="27"/>
        <v>2712</v>
      </c>
      <c r="O556" s="82">
        <v>0.18</v>
      </c>
      <c r="P556" s="9">
        <f t="shared" si="28"/>
        <v>488.15999999999997</v>
      </c>
      <c r="Q556" s="5">
        <v>0.48</v>
      </c>
      <c r="R556" s="5"/>
      <c r="S556" s="5">
        <f t="shared" si="29"/>
        <v>3200.64</v>
      </c>
      <c r="T556" s="1" t="s">
        <v>1083</v>
      </c>
      <c r="U556" s="1" t="s">
        <v>1083</v>
      </c>
      <c r="V556" s="1" t="s">
        <v>730</v>
      </c>
      <c r="W556" s="1" t="s">
        <v>2305</v>
      </c>
      <c r="X556" s="1"/>
      <c r="Y556" s="26"/>
      <c r="Z556" s="21" t="s">
        <v>3195</v>
      </c>
      <c r="AA556" s="204"/>
      <c r="AB556" s="21">
        <v>4</v>
      </c>
      <c r="AC556" s="12" t="s">
        <v>1086</v>
      </c>
      <c r="AD556" s="26"/>
      <c r="AE556" s="29"/>
      <c r="AF556" s="26"/>
      <c r="AG556" s="2"/>
    </row>
    <row r="557" spans="1:33" s="24" customFormat="1" x14ac:dyDescent="0.25">
      <c r="A557" s="4"/>
      <c r="B557" s="4">
        <v>45829</v>
      </c>
      <c r="C557" s="1" t="s">
        <v>54</v>
      </c>
      <c r="D557" s="224" t="s">
        <v>3587</v>
      </c>
      <c r="E557" s="1" t="s">
        <v>2306</v>
      </c>
      <c r="F557" s="102" t="s">
        <v>1151</v>
      </c>
      <c r="G557" s="1" t="s">
        <v>1152</v>
      </c>
      <c r="H557" s="8">
        <v>4</v>
      </c>
      <c r="I557" s="8">
        <v>4</v>
      </c>
      <c r="J557" s="115">
        <f>Table224[[#This Row],[Qty]]-Table224[[#This Row],[Issue Qty]]</f>
        <v>0</v>
      </c>
      <c r="K557" s="195"/>
      <c r="L557" s="195" t="s">
        <v>3480</v>
      </c>
      <c r="M557" s="5">
        <v>1888</v>
      </c>
      <c r="N557" s="5">
        <f t="shared" si="27"/>
        <v>7552</v>
      </c>
      <c r="O557" s="82">
        <v>0.18</v>
      </c>
      <c r="P557" s="9">
        <f t="shared" si="28"/>
        <v>1359.36</v>
      </c>
      <c r="Q557" s="5"/>
      <c r="R557" s="5"/>
      <c r="S557" s="5">
        <f t="shared" si="29"/>
        <v>8911.36</v>
      </c>
      <c r="T557" s="1" t="s">
        <v>1083</v>
      </c>
      <c r="U557" s="1" t="s">
        <v>1083</v>
      </c>
      <c r="V557" s="1" t="s">
        <v>730</v>
      </c>
      <c r="W557" s="1" t="s">
        <v>2305</v>
      </c>
      <c r="X557" s="1"/>
      <c r="Y557" s="26"/>
      <c r="Z557" s="21" t="s">
        <v>3195</v>
      </c>
      <c r="AA557" s="204"/>
      <c r="AB557" s="21">
        <v>4</v>
      </c>
      <c r="AC557" s="12" t="s">
        <v>1086</v>
      </c>
      <c r="AD557" s="26"/>
      <c r="AE557" s="29"/>
      <c r="AF557" s="26"/>
      <c r="AG557" s="2"/>
    </row>
    <row r="558" spans="1:33" s="24" customFormat="1" x14ac:dyDescent="0.25">
      <c r="A558" s="4"/>
      <c r="B558" s="4">
        <v>45829</v>
      </c>
      <c r="C558" s="1" t="s">
        <v>54</v>
      </c>
      <c r="D558" s="224" t="s">
        <v>3497</v>
      </c>
      <c r="E558" s="1" t="s">
        <v>2301</v>
      </c>
      <c r="F558" s="102" t="s">
        <v>1140</v>
      </c>
      <c r="G558" s="1" t="s">
        <v>1141</v>
      </c>
      <c r="H558" s="8">
        <v>1</v>
      </c>
      <c r="I558" s="8"/>
      <c r="J558" s="115">
        <f>Table224[[#This Row],[Qty]]-Table224[[#This Row],[Issue Qty]]</f>
        <v>1</v>
      </c>
      <c r="K558" s="195"/>
      <c r="L558" s="195" t="s">
        <v>3480</v>
      </c>
      <c r="M558" s="5">
        <v>869</v>
      </c>
      <c r="N558" s="5">
        <f t="shared" si="27"/>
        <v>869</v>
      </c>
      <c r="O558" s="82">
        <v>0.12</v>
      </c>
      <c r="P558" s="9">
        <f t="shared" si="28"/>
        <v>104.28</v>
      </c>
      <c r="Q558" s="5"/>
      <c r="R558" s="5"/>
      <c r="S558" s="5">
        <f t="shared" si="29"/>
        <v>973.28</v>
      </c>
      <c r="T558" s="1" t="s">
        <v>1083</v>
      </c>
      <c r="U558" s="1" t="s">
        <v>1083</v>
      </c>
      <c r="V558" s="1" t="s">
        <v>601</v>
      </c>
      <c r="W558" s="1">
        <v>50253</v>
      </c>
      <c r="X558" s="1"/>
      <c r="Y558" s="26"/>
      <c r="Z558" s="21"/>
      <c r="AA558" s="204"/>
      <c r="AB558" s="21">
        <v>1</v>
      </c>
      <c r="AC558" s="12" t="s">
        <v>1075</v>
      </c>
      <c r="AD558" s="26"/>
      <c r="AE558" s="29" t="s">
        <v>1142</v>
      </c>
      <c r="AF558" s="26"/>
      <c r="AG558" s="2"/>
    </row>
    <row r="559" spans="1:33" s="24" customFormat="1" x14ac:dyDescent="0.25">
      <c r="A559" s="4"/>
      <c r="B559" s="4">
        <v>45829</v>
      </c>
      <c r="C559" s="1" t="s">
        <v>54</v>
      </c>
      <c r="D559" s="224" t="s">
        <v>3497</v>
      </c>
      <c r="E559" s="1" t="s">
        <v>2302</v>
      </c>
      <c r="F559" s="102" t="s">
        <v>1143</v>
      </c>
      <c r="G559" s="1" t="s">
        <v>1144</v>
      </c>
      <c r="H559" s="8">
        <v>2</v>
      </c>
      <c r="I559" s="8"/>
      <c r="J559" s="115">
        <f>Table224[[#This Row],[Qty]]-Table224[[#This Row],[Issue Qty]]</f>
        <v>2</v>
      </c>
      <c r="K559" s="195"/>
      <c r="L559" s="195" t="s">
        <v>3480</v>
      </c>
      <c r="M559" s="5">
        <v>369</v>
      </c>
      <c r="N559" s="5">
        <f t="shared" si="27"/>
        <v>738</v>
      </c>
      <c r="O559" s="82">
        <v>0.12</v>
      </c>
      <c r="P559" s="9">
        <f t="shared" si="28"/>
        <v>88.56</v>
      </c>
      <c r="Q559" s="5"/>
      <c r="R559" s="5"/>
      <c r="S559" s="5">
        <f t="shared" si="29"/>
        <v>826.56</v>
      </c>
      <c r="T559" s="1" t="s">
        <v>1083</v>
      </c>
      <c r="U559" s="1" t="s">
        <v>1083</v>
      </c>
      <c r="V559" s="1" t="s">
        <v>601</v>
      </c>
      <c r="W559" s="1">
        <v>50253</v>
      </c>
      <c r="X559" s="1"/>
      <c r="Y559" s="1"/>
      <c r="Z559" s="21"/>
      <c r="AA559" s="8"/>
      <c r="AB559" s="8">
        <v>2</v>
      </c>
      <c r="AC559" s="22" t="s">
        <v>1086</v>
      </c>
      <c r="AD559" s="1"/>
      <c r="AE559" s="29" t="s">
        <v>1145</v>
      </c>
      <c r="AF559" s="1"/>
      <c r="AG559" s="2"/>
    </row>
    <row r="560" spans="1:33" s="24" customFormat="1" x14ac:dyDescent="0.25">
      <c r="A560" s="4"/>
      <c r="B560" s="4">
        <v>45829</v>
      </c>
      <c r="C560" s="1" t="s">
        <v>54</v>
      </c>
      <c r="D560" s="224" t="s">
        <v>3497</v>
      </c>
      <c r="E560" s="1" t="s">
        <v>2303</v>
      </c>
      <c r="F560" s="102" t="s">
        <v>1146</v>
      </c>
      <c r="G560" s="1" t="s">
        <v>1147</v>
      </c>
      <c r="H560" s="8">
        <v>1</v>
      </c>
      <c r="I560" s="8">
        <v>1</v>
      </c>
      <c r="J560" s="115">
        <f>Table224[[#This Row],[Qty]]-Table224[[#This Row],[Issue Qty]]</f>
        <v>0</v>
      </c>
      <c r="K560" s="195"/>
      <c r="L560" s="195" t="s">
        <v>3480</v>
      </c>
      <c r="M560" s="5">
        <v>1178</v>
      </c>
      <c r="N560" s="5">
        <f t="shared" si="27"/>
        <v>1178</v>
      </c>
      <c r="O560" s="82">
        <v>0.12</v>
      </c>
      <c r="P560" s="9">
        <f t="shared" si="28"/>
        <v>141.35999999999999</v>
      </c>
      <c r="Q560" s="5"/>
      <c r="R560" s="5"/>
      <c r="S560" s="5">
        <f t="shared" si="29"/>
        <v>1319.36</v>
      </c>
      <c r="T560" s="1" t="s">
        <v>1073</v>
      </c>
      <c r="U560" s="1" t="s">
        <v>1073</v>
      </c>
      <c r="V560" s="1" t="s">
        <v>601</v>
      </c>
      <c r="W560" s="1">
        <v>50253</v>
      </c>
      <c r="X560" s="1"/>
      <c r="Y560" s="26"/>
      <c r="Z560" s="21"/>
      <c r="AA560" s="204"/>
      <c r="AB560" s="21">
        <v>1</v>
      </c>
      <c r="AC560" s="12" t="s">
        <v>1075</v>
      </c>
      <c r="AD560" s="26"/>
      <c r="AE560" s="29" t="s">
        <v>1148</v>
      </c>
      <c r="AF560" s="26"/>
      <c r="AG560" s="2"/>
    </row>
    <row r="561" spans="1:33" s="24" customFormat="1" x14ac:dyDescent="0.25">
      <c r="A561" s="4"/>
      <c r="B561" s="4">
        <v>45829</v>
      </c>
      <c r="C561" s="1" t="s">
        <v>54</v>
      </c>
      <c r="D561" s="224" t="s">
        <v>3497</v>
      </c>
      <c r="E561" s="1" t="s">
        <v>2307</v>
      </c>
      <c r="F561" s="102" t="s">
        <v>1153</v>
      </c>
      <c r="G561" s="1" t="s">
        <v>1154</v>
      </c>
      <c r="H561" s="8">
        <v>3</v>
      </c>
      <c r="I561" s="8">
        <v>2</v>
      </c>
      <c r="J561" s="115">
        <f>Table224[[#This Row],[Qty]]-Table224[[#This Row],[Issue Qty]]</f>
        <v>1</v>
      </c>
      <c r="K561" s="195"/>
      <c r="L561" s="195" t="s">
        <v>3480</v>
      </c>
      <c r="M561" s="5">
        <v>142</v>
      </c>
      <c r="N561" s="5">
        <f t="shared" si="27"/>
        <v>426</v>
      </c>
      <c r="O561" s="82">
        <v>0.12</v>
      </c>
      <c r="P561" s="9">
        <f t="shared" si="28"/>
        <v>51.12</v>
      </c>
      <c r="Q561" s="5"/>
      <c r="R561" s="5"/>
      <c r="S561" s="5">
        <f t="shared" si="29"/>
        <v>477.12</v>
      </c>
      <c r="T561" s="1" t="s">
        <v>1073</v>
      </c>
      <c r="U561" s="1" t="s">
        <v>1073</v>
      </c>
      <c r="V561" s="1" t="s">
        <v>601</v>
      </c>
      <c r="W561" s="1">
        <v>50253</v>
      </c>
      <c r="X561" s="1"/>
      <c r="Y561" s="26"/>
      <c r="Z561" s="21" t="s">
        <v>420</v>
      </c>
      <c r="AA561" s="204"/>
      <c r="AB561" s="21">
        <v>2</v>
      </c>
      <c r="AC561" s="12" t="s">
        <v>3616</v>
      </c>
      <c r="AD561" s="26"/>
      <c r="AE561" s="29"/>
      <c r="AF561" s="26"/>
      <c r="AG561" s="2"/>
    </row>
    <row r="562" spans="1:33" s="24" customFormat="1" x14ac:dyDescent="0.25">
      <c r="A562" s="4"/>
      <c r="B562" s="4">
        <v>45831</v>
      </c>
      <c r="C562" s="6" t="s">
        <v>1683</v>
      </c>
      <c r="D562" s="224" t="s">
        <v>3493</v>
      </c>
      <c r="E562" s="26" t="s">
        <v>2308</v>
      </c>
      <c r="F562" s="236" t="s">
        <v>1155</v>
      </c>
      <c r="G562" s="1" t="s">
        <v>1156</v>
      </c>
      <c r="H562" s="8">
        <v>12</v>
      </c>
      <c r="I562" s="8">
        <v>12</v>
      </c>
      <c r="J562" s="115">
        <f>Table224[[#This Row],[Qty]]-Table224[[#This Row],[Issue Qty]]</f>
        <v>0</v>
      </c>
      <c r="K562" s="195"/>
      <c r="L562" s="195" t="s">
        <v>3480</v>
      </c>
      <c r="M562" s="5">
        <v>11.26</v>
      </c>
      <c r="N562" s="5">
        <f t="shared" si="27"/>
        <v>135.12</v>
      </c>
      <c r="O562" s="82">
        <v>0.18</v>
      </c>
      <c r="P562" s="9">
        <f t="shared" si="28"/>
        <v>24.3216</v>
      </c>
      <c r="Q562" s="5">
        <v>59</v>
      </c>
      <c r="R562" s="5"/>
      <c r="S562" s="5">
        <f t="shared" si="29"/>
        <v>218.44159999999999</v>
      </c>
      <c r="T562" s="1" t="s">
        <v>980</v>
      </c>
      <c r="U562" s="1" t="s">
        <v>980</v>
      </c>
      <c r="V562" s="1" t="s">
        <v>788</v>
      </c>
      <c r="W562" s="1" t="s">
        <v>2309</v>
      </c>
      <c r="X562" s="1"/>
      <c r="Y562" s="1"/>
      <c r="Z562" s="21"/>
      <c r="AA562" s="21"/>
      <c r="AB562" s="8">
        <v>12</v>
      </c>
      <c r="AC562" s="22" t="s">
        <v>3857</v>
      </c>
      <c r="AD562" s="1"/>
      <c r="AE562" s="29"/>
      <c r="AF562" s="1"/>
      <c r="AG562" s="2"/>
    </row>
    <row r="563" spans="1:33" s="24" customFormat="1" x14ac:dyDescent="0.25">
      <c r="A563" s="4"/>
      <c r="B563" s="4">
        <v>45831</v>
      </c>
      <c r="C563" s="1" t="s">
        <v>54</v>
      </c>
      <c r="D563" s="224" t="s">
        <v>3430</v>
      </c>
      <c r="E563" s="26" t="s">
        <v>2310</v>
      </c>
      <c r="F563" s="231" t="s">
        <v>1158</v>
      </c>
      <c r="G563" s="1" t="s">
        <v>1158</v>
      </c>
      <c r="H563" s="8">
        <v>10</v>
      </c>
      <c r="I563" s="8">
        <v>1</v>
      </c>
      <c r="J563" s="115">
        <f>Table224[[#This Row],[Qty]]-Table224[[#This Row],[Issue Qty]]</f>
        <v>9</v>
      </c>
      <c r="K563" s="195"/>
      <c r="L563" s="195" t="s">
        <v>3480</v>
      </c>
      <c r="M563" s="5">
        <f>6501.18/10</f>
        <v>650.11800000000005</v>
      </c>
      <c r="N563" s="5">
        <f t="shared" ref="N563:N626" si="30">H563*M563</f>
        <v>6501.18</v>
      </c>
      <c r="O563" s="82">
        <v>0</v>
      </c>
      <c r="P563" s="9">
        <f t="shared" ref="P563:P626" si="31">N563*O563</f>
        <v>0</v>
      </c>
      <c r="Q563" s="5">
        <v>0</v>
      </c>
      <c r="R563" s="5"/>
      <c r="S563" s="5">
        <f t="shared" ref="S563:S626" si="32">N563+P563+Q563+R563</f>
        <v>6501.18</v>
      </c>
      <c r="T563" s="1" t="s">
        <v>980</v>
      </c>
      <c r="U563" s="1" t="s">
        <v>980</v>
      </c>
      <c r="V563" s="1" t="s">
        <v>1159</v>
      </c>
      <c r="W563" s="1">
        <v>45595</v>
      </c>
      <c r="X563" s="1"/>
      <c r="Y563" s="1"/>
      <c r="Z563" s="21" t="s">
        <v>688</v>
      </c>
      <c r="AA563" s="21"/>
      <c r="AB563" s="8">
        <v>4</v>
      </c>
      <c r="AC563" s="22" t="s">
        <v>1125</v>
      </c>
      <c r="AD563" s="1"/>
      <c r="AE563" s="29"/>
      <c r="AF563" s="1"/>
      <c r="AG563" s="2"/>
    </row>
    <row r="564" spans="1:33" s="24" customFormat="1" x14ac:dyDescent="0.25">
      <c r="A564" s="4"/>
      <c r="B564" s="4">
        <v>45831</v>
      </c>
      <c r="C564" s="6" t="s">
        <v>1683</v>
      </c>
      <c r="D564" s="224" t="s">
        <v>3487</v>
      </c>
      <c r="E564" s="1" t="s">
        <v>2313</v>
      </c>
      <c r="F564" s="102" t="s">
        <v>1164</v>
      </c>
      <c r="G564" s="1" t="s">
        <v>1164</v>
      </c>
      <c r="H564" s="8">
        <v>20</v>
      </c>
      <c r="I564" s="8">
        <v>20</v>
      </c>
      <c r="J564" s="115">
        <f>Table224[[#This Row],[Qty]]-Table224[[#This Row],[Issue Qty]]</f>
        <v>0</v>
      </c>
      <c r="K564" s="195"/>
      <c r="L564" s="195" t="s">
        <v>3480</v>
      </c>
      <c r="M564" s="5">
        <v>17</v>
      </c>
      <c r="N564" s="5">
        <f t="shared" si="30"/>
        <v>340</v>
      </c>
      <c r="O564" s="82">
        <v>0.18</v>
      </c>
      <c r="P564" s="9">
        <f t="shared" si="31"/>
        <v>61.199999999999996</v>
      </c>
      <c r="Q564" s="5">
        <v>354</v>
      </c>
      <c r="R564" s="5"/>
      <c r="S564" s="5">
        <f t="shared" si="32"/>
        <v>755.2</v>
      </c>
      <c r="T564" s="1" t="s">
        <v>980</v>
      </c>
      <c r="U564" s="1" t="s">
        <v>980</v>
      </c>
      <c r="V564" s="1" t="s">
        <v>792</v>
      </c>
      <c r="W564" s="1" t="s">
        <v>2314</v>
      </c>
      <c r="X564" s="1"/>
      <c r="Y564" s="1"/>
      <c r="Z564" s="21"/>
      <c r="AA564" s="21"/>
      <c r="AB564" s="8">
        <v>20</v>
      </c>
      <c r="AC564" s="22" t="s">
        <v>2947</v>
      </c>
      <c r="AD564" s="1"/>
      <c r="AE564" s="29" t="s">
        <v>1165</v>
      </c>
      <c r="AF564" s="1"/>
      <c r="AG564" s="2"/>
    </row>
    <row r="565" spans="1:33" s="24" customFormat="1" x14ac:dyDescent="0.25">
      <c r="A565" s="4"/>
      <c r="B565" s="4">
        <v>45831</v>
      </c>
      <c r="C565" s="1" t="s">
        <v>54</v>
      </c>
      <c r="D565" s="224" t="s">
        <v>3494</v>
      </c>
      <c r="E565" s="1" t="s">
        <v>2311</v>
      </c>
      <c r="F565" s="102" t="s">
        <v>1160</v>
      </c>
      <c r="G565" s="1" t="s">
        <v>1160</v>
      </c>
      <c r="H565" s="8">
        <v>6</v>
      </c>
      <c r="I565" s="8">
        <v>6</v>
      </c>
      <c r="J565" s="115">
        <f>Table224[[#This Row],[Qty]]-Table224[[#This Row],[Issue Qty]]</f>
        <v>0</v>
      </c>
      <c r="K565" s="195"/>
      <c r="L565" s="195" t="s">
        <v>3480</v>
      </c>
      <c r="M565" s="5">
        <v>126</v>
      </c>
      <c r="N565" s="5">
        <f t="shared" si="30"/>
        <v>756</v>
      </c>
      <c r="O565" s="82">
        <v>0.18</v>
      </c>
      <c r="P565" s="9">
        <f t="shared" si="31"/>
        <v>136.07999999999998</v>
      </c>
      <c r="Q565" s="5">
        <v>0</v>
      </c>
      <c r="R565" s="5"/>
      <c r="S565" s="5">
        <f t="shared" si="32"/>
        <v>892.07999999999993</v>
      </c>
      <c r="T565" s="1" t="s">
        <v>1073</v>
      </c>
      <c r="U565" s="1" t="s">
        <v>1073</v>
      </c>
      <c r="V565" s="1" t="s">
        <v>358</v>
      </c>
      <c r="W565" s="1" t="s">
        <v>2312</v>
      </c>
      <c r="X565" s="1"/>
      <c r="Y565" s="26"/>
      <c r="Z565" s="21"/>
      <c r="AA565" s="204"/>
      <c r="AB565" s="21">
        <v>6</v>
      </c>
      <c r="AC565" s="12" t="s">
        <v>1115</v>
      </c>
      <c r="AD565" s="26"/>
      <c r="AE565" s="29" t="s">
        <v>1161</v>
      </c>
      <c r="AF565" s="26"/>
      <c r="AG565" s="2"/>
    </row>
    <row r="566" spans="1:33" s="24" customFormat="1" x14ac:dyDescent="0.25">
      <c r="A566" s="4"/>
      <c r="B566" s="4">
        <v>45831</v>
      </c>
      <c r="C566" s="1" t="s">
        <v>54</v>
      </c>
      <c r="D566" s="224" t="s">
        <v>3494</v>
      </c>
      <c r="E566" s="1" t="s">
        <v>2311</v>
      </c>
      <c r="F566" s="102" t="s">
        <v>1160</v>
      </c>
      <c r="G566" s="1" t="s">
        <v>1162</v>
      </c>
      <c r="H566" s="8">
        <v>4</v>
      </c>
      <c r="I566" s="8">
        <v>4</v>
      </c>
      <c r="J566" s="115">
        <f>Table224[[#This Row],[Qty]]-Table224[[#This Row],[Issue Qty]]</f>
        <v>0</v>
      </c>
      <c r="K566" s="195"/>
      <c r="L566" s="195" t="s">
        <v>3480</v>
      </c>
      <c r="M566" s="5">
        <v>130.19999999999999</v>
      </c>
      <c r="N566" s="5">
        <f t="shared" si="30"/>
        <v>520.79999999999995</v>
      </c>
      <c r="O566" s="82">
        <v>0.18</v>
      </c>
      <c r="P566" s="9">
        <f t="shared" si="31"/>
        <v>93.743999999999986</v>
      </c>
      <c r="Q566" s="5">
        <v>0</v>
      </c>
      <c r="R566" s="5"/>
      <c r="S566" s="5">
        <f t="shared" si="32"/>
        <v>614.54399999999998</v>
      </c>
      <c r="T566" s="1" t="s">
        <v>1073</v>
      </c>
      <c r="U566" s="1" t="s">
        <v>1073</v>
      </c>
      <c r="V566" s="1" t="s">
        <v>358</v>
      </c>
      <c r="W566" s="1" t="s">
        <v>2312</v>
      </c>
      <c r="X566" s="1"/>
      <c r="Y566" s="26"/>
      <c r="Z566" s="21"/>
      <c r="AA566" s="204"/>
      <c r="AB566" s="21">
        <v>4</v>
      </c>
      <c r="AC566" s="12" t="s">
        <v>1115</v>
      </c>
      <c r="AD566" s="26"/>
      <c r="AE566" s="29" t="s">
        <v>1163</v>
      </c>
      <c r="AF566" s="26"/>
      <c r="AG566" s="2"/>
    </row>
    <row r="567" spans="1:33" s="24" customFormat="1" x14ac:dyDescent="0.25">
      <c r="A567" s="4"/>
      <c r="B567" s="4">
        <v>45832</v>
      </c>
      <c r="C567" s="1" t="s">
        <v>54</v>
      </c>
      <c r="D567" s="224" t="s">
        <v>3494</v>
      </c>
      <c r="E567" s="26" t="s">
        <v>2327</v>
      </c>
      <c r="F567" s="231" t="s">
        <v>1186</v>
      </c>
      <c r="G567" s="1" t="s">
        <v>1186</v>
      </c>
      <c r="H567" s="8">
        <v>1</v>
      </c>
      <c r="I567" s="8">
        <v>1</v>
      </c>
      <c r="J567" s="115">
        <f>Table224[[#This Row],[Qty]]-Table224[[#This Row],[Issue Qty]]</f>
        <v>0</v>
      </c>
      <c r="K567" s="195"/>
      <c r="L567" s="195" t="s">
        <v>3480</v>
      </c>
      <c r="M567" s="5">
        <v>420</v>
      </c>
      <c r="N567" s="5">
        <f t="shared" si="30"/>
        <v>420</v>
      </c>
      <c r="O567" s="82">
        <v>0.18</v>
      </c>
      <c r="P567" s="9">
        <f t="shared" si="31"/>
        <v>75.599999999999994</v>
      </c>
      <c r="Q567" s="5">
        <v>0</v>
      </c>
      <c r="R567" s="5"/>
      <c r="S567" s="5">
        <f t="shared" si="32"/>
        <v>495.6</v>
      </c>
      <c r="T567" s="1" t="s">
        <v>1083</v>
      </c>
      <c r="U567" s="1" t="s">
        <v>1083</v>
      </c>
      <c r="V567" s="1" t="s">
        <v>829</v>
      </c>
      <c r="W567" s="1" t="s">
        <v>2319</v>
      </c>
      <c r="X567" s="1"/>
      <c r="Y567" s="1"/>
      <c r="Z567" s="21" t="s">
        <v>809</v>
      </c>
      <c r="AA567" s="8"/>
      <c r="AB567" s="8">
        <v>1</v>
      </c>
      <c r="AC567" s="12" t="s">
        <v>1086</v>
      </c>
      <c r="AD567" s="1"/>
      <c r="AE567" s="29"/>
      <c r="AF567" s="1"/>
      <c r="AG567" s="26"/>
    </row>
    <row r="568" spans="1:33" s="24" customFormat="1" x14ac:dyDescent="0.25">
      <c r="A568" s="4"/>
      <c r="B568" s="4">
        <v>45832</v>
      </c>
      <c r="C568" s="1" t="s">
        <v>54</v>
      </c>
      <c r="D568" s="224" t="s">
        <v>3497</v>
      </c>
      <c r="E568" s="1" t="s">
        <v>2202</v>
      </c>
      <c r="F568" s="236" t="s">
        <v>1184</v>
      </c>
      <c r="G568" s="1" t="s">
        <v>996</v>
      </c>
      <c r="H568" s="8">
        <v>1</v>
      </c>
      <c r="I568" s="8">
        <v>1</v>
      </c>
      <c r="J568" s="115">
        <f>Table224[[#This Row],[Qty]]-Table224[[#This Row],[Issue Qty]]</f>
        <v>0</v>
      </c>
      <c r="K568" s="332">
        <v>1</v>
      </c>
      <c r="L568" s="195" t="s">
        <v>3480</v>
      </c>
      <c r="M568" s="5">
        <v>517</v>
      </c>
      <c r="N568" s="5">
        <f t="shared" si="30"/>
        <v>517</v>
      </c>
      <c r="O568" s="82">
        <v>0.12</v>
      </c>
      <c r="P568" s="9">
        <f t="shared" si="31"/>
        <v>62.04</v>
      </c>
      <c r="Q568" s="5">
        <f>250*0.12+250</f>
        <v>280</v>
      </c>
      <c r="R568" s="5"/>
      <c r="S568" s="5">
        <f t="shared" si="32"/>
        <v>859.04</v>
      </c>
      <c r="T568" s="1" t="s">
        <v>907</v>
      </c>
      <c r="U568" s="1" t="s">
        <v>907</v>
      </c>
      <c r="V568" s="1" t="s">
        <v>601</v>
      </c>
      <c r="W568" s="1">
        <v>50253</v>
      </c>
      <c r="X568" s="1"/>
      <c r="Y568" s="26"/>
      <c r="Z568" s="21"/>
      <c r="AA568" s="204"/>
      <c r="AB568" s="21">
        <v>1</v>
      </c>
      <c r="AC568" s="12" t="s">
        <v>936</v>
      </c>
      <c r="AD568" s="26"/>
      <c r="AE568" s="29" t="s">
        <v>1185</v>
      </c>
      <c r="AF568" s="26"/>
      <c r="AG568" s="26"/>
    </row>
    <row r="569" spans="1:33" s="24" customFormat="1" x14ac:dyDescent="0.25">
      <c r="A569" s="4"/>
      <c r="B569" s="4">
        <v>45832</v>
      </c>
      <c r="C569" s="1" t="s">
        <v>54</v>
      </c>
      <c r="D569" s="224" t="s">
        <v>3497</v>
      </c>
      <c r="E569" s="1" t="s">
        <v>2328</v>
      </c>
      <c r="F569" s="102" t="s">
        <v>1187</v>
      </c>
      <c r="G569" s="1" t="s">
        <v>1187</v>
      </c>
      <c r="H569" s="8">
        <v>1</v>
      </c>
      <c r="I569" s="8">
        <v>1</v>
      </c>
      <c r="J569" s="115">
        <f>Table224[[#This Row],[Qty]]-Table224[[#This Row],[Issue Qty]]</f>
        <v>0</v>
      </c>
      <c r="K569" s="195"/>
      <c r="L569" s="195" t="s">
        <v>3480</v>
      </c>
      <c r="M569" s="5">
        <v>249</v>
      </c>
      <c r="N569" s="5">
        <f t="shared" si="30"/>
        <v>249</v>
      </c>
      <c r="O569" s="82">
        <v>0.12</v>
      </c>
      <c r="P569" s="9">
        <f t="shared" si="31"/>
        <v>29.88</v>
      </c>
      <c r="Q569" s="5">
        <v>0</v>
      </c>
      <c r="R569" s="5"/>
      <c r="S569" s="5">
        <f t="shared" si="32"/>
        <v>278.88</v>
      </c>
      <c r="T569" s="1" t="s">
        <v>1083</v>
      </c>
      <c r="U569" s="1" t="s">
        <v>1083</v>
      </c>
      <c r="V569" s="1" t="s">
        <v>601</v>
      </c>
      <c r="W569" s="1">
        <v>50253</v>
      </c>
      <c r="X569" s="1"/>
      <c r="Y569" s="1"/>
      <c r="Z569" s="21" t="s">
        <v>809</v>
      </c>
      <c r="AA569" s="8"/>
      <c r="AB569" s="8">
        <v>1</v>
      </c>
      <c r="AC569" s="12" t="s">
        <v>1086</v>
      </c>
      <c r="AD569" s="1"/>
      <c r="AE569" s="29" t="s">
        <v>1188</v>
      </c>
      <c r="AF569" s="1"/>
      <c r="AG569" s="26"/>
    </row>
    <row r="570" spans="1:33" s="24" customFormat="1" x14ac:dyDescent="0.25">
      <c r="A570" s="4"/>
      <c r="B570" s="4">
        <v>45832</v>
      </c>
      <c r="C570" s="1" t="s">
        <v>54</v>
      </c>
      <c r="D570" s="224" t="s">
        <v>3497</v>
      </c>
      <c r="E570" s="1" t="s">
        <v>2329</v>
      </c>
      <c r="F570" s="102" t="s">
        <v>1189</v>
      </c>
      <c r="G570" s="1" t="s">
        <v>1189</v>
      </c>
      <c r="H570" s="8">
        <v>1</v>
      </c>
      <c r="I570" s="8">
        <v>1</v>
      </c>
      <c r="J570" s="115">
        <f>Table224[[#This Row],[Qty]]-Table224[[#This Row],[Issue Qty]]</f>
        <v>0</v>
      </c>
      <c r="K570" s="195"/>
      <c r="L570" s="195" t="s">
        <v>3480</v>
      </c>
      <c r="M570" s="5">
        <v>504</v>
      </c>
      <c r="N570" s="5">
        <f t="shared" si="30"/>
        <v>504</v>
      </c>
      <c r="O570" s="82">
        <v>0.12</v>
      </c>
      <c r="P570" s="9">
        <f t="shared" si="31"/>
        <v>60.48</v>
      </c>
      <c r="Q570" s="5">
        <v>0</v>
      </c>
      <c r="R570" s="5"/>
      <c r="S570" s="5">
        <f t="shared" si="32"/>
        <v>564.48</v>
      </c>
      <c r="T570" s="1" t="s">
        <v>1083</v>
      </c>
      <c r="U570" s="1" t="s">
        <v>1083</v>
      </c>
      <c r="V570" s="1" t="s">
        <v>601</v>
      </c>
      <c r="W570" s="1">
        <v>50253</v>
      </c>
      <c r="X570" s="1"/>
      <c r="Y570" s="1"/>
      <c r="Z570" s="21" t="s">
        <v>2527</v>
      </c>
      <c r="AA570" s="8"/>
      <c r="AB570" s="8">
        <v>1</v>
      </c>
      <c r="AC570" s="12" t="s">
        <v>1086</v>
      </c>
      <c r="AD570" s="1"/>
      <c r="AE570" s="29" t="s">
        <v>1190</v>
      </c>
      <c r="AF570" s="1"/>
      <c r="AG570" s="26"/>
    </row>
    <row r="571" spans="1:33" s="24" customFormat="1" x14ac:dyDescent="0.25">
      <c r="A571" s="4"/>
      <c r="B571" s="4">
        <v>45832</v>
      </c>
      <c r="C571" s="1" t="s">
        <v>54</v>
      </c>
      <c r="D571" s="224" t="s">
        <v>3497</v>
      </c>
      <c r="E571" s="26" t="s">
        <v>2330</v>
      </c>
      <c r="F571" s="233" t="s">
        <v>1191</v>
      </c>
      <c r="G571" s="1" t="s">
        <v>1191</v>
      </c>
      <c r="H571" s="8">
        <v>2</v>
      </c>
      <c r="I571" s="8">
        <v>2</v>
      </c>
      <c r="J571" s="115">
        <f>Table224[[#This Row],[Qty]]-Table224[[#This Row],[Issue Qty]]</f>
        <v>0</v>
      </c>
      <c r="K571" s="195"/>
      <c r="L571" s="195" t="s">
        <v>3480</v>
      </c>
      <c r="M571" s="5">
        <v>292</v>
      </c>
      <c r="N571" s="5">
        <f t="shared" si="30"/>
        <v>584</v>
      </c>
      <c r="O571" s="82">
        <v>0.12</v>
      </c>
      <c r="P571" s="9">
        <f t="shared" si="31"/>
        <v>70.08</v>
      </c>
      <c r="Q571" s="5">
        <v>0</v>
      </c>
      <c r="R571" s="5"/>
      <c r="S571" s="5">
        <f t="shared" si="32"/>
        <v>654.08000000000004</v>
      </c>
      <c r="T571" s="1" t="s">
        <v>1083</v>
      </c>
      <c r="U571" s="1" t="s">
        <v>1083</v>
      </c>
      <c r="V571" s="1" t="s">
        <v>601</v>
      </c>
      <c r="W571" s="1">
        <v>50253</v>
      </c>
      <c r="X571" s="1"/>
      <c r="Y571" s="1"/>
      <c r="Z571" s="21" t="s">
        <v>809</v>
      </c>
      <c r="AA571" s="8"/>
      <c r="AB571" s="8">
        <v>2</v>
      </c>
      <c r="AC571" s="12" t="s">
        <v>1086</v>
      </c>
      <c r="AD571" s="1"/>
      <c r="AE571" s="29"/>
      <c r="AF571" s="1"/>
      <c r="AG571" s="26"/>
    </row>
    <row r="572" spans="1:33" s="24" customFormat="1" x14ac:dyDescent="0.25">
      <c r="A572" s="4"/>
      <c r="B572" s="4">
        <v>45832</v>
      </c>
      <c r="C572" s="1" t="s">
        <v>54</v>
      </c>
      <c r="D572" s="224" t="s">
        <v>3497</v>
      </c>
      <c r="E572" s="1" t="s">
        <v>2331</v>
      </c>
      <c r="F572" s="102" t="s">
        <v>1192</v>
      </c>
      <c r="G572" s="1" t="s">
        <v>1192</v>
      </c>
      <c r="H572" s="8">
        <v>1</v>
      </c>
      <c r="I572" s="8">
        <v>1</v>
      </c>
      <c r="J572" s="115">
        <f>Table224[[#This Row],[Qty]]-Table224[[#This Row],[Issue Qty]]</f>
        <v>0</v>
      </c>
      <c r="K572" s="195"/>
      <c r="L572" s="195" t="s">
        <v>3480</v>
      </c>
      <c r="M572" s="5">
        <v>494</v>
      </c>
      <c r="N572" s="5">
        <f t="shared" si="30"/>
        <v>494</v>
      </c>
      <c r="O572" s="82">
        <v>0.12</v>
      </c>
      <c r="P572" s="9">
        <f t="shared" si="31"/>
        <v>59.28</v>
      </c>
      <c r="Q572" s="5">
        <v>0</v>
      </c>
      <c r="R572" s="5"/>
      <c r="S572" s="5">
        <f t="shared" si="32"/>
        <v>553.28</v>
      </c>
      <c r="T572" s="1" t="s">
        <v>1083</v>
      </c>
      <c r="U572" s="1" t="s">
        <v>1083</v>
      </c>
      <c r="V572" s="1" t="s">
        <v>601</v>
      </c>
      <c r="W572" s="1">
        <v>50253</v>
      </c>
      <c r="X572" s="1"/>
      <c r="Y572" s="26"/>
      <c r="Z572" s="21" t="s">
        <v>809</v>
      </c>
      <c r="AA572" s="204"/>
      <c r="AB572" s="21">
        <v>1</v>
      </c>
      <c r="AC572" s="12" t="s">
        <v>1086</v>
      </c>
      <c r="AD572" s="26"/>
      <c r="AE572" s="29" t="s">
        <v>1193</v>
      </c>
      <c r="AF572" s="26"/>
      <c r="AG572" s="26"/>
    </row>
    <row r="573" spans="1:33" s="24" customFormat="1" x14ac:dyDescent="0.25">
      <c r="A573" s="4"/>
      <c r="B573" s="4">
        <v>45832</v>
      </c>
      <c r="C573" s="1" t="s">
        <v>54</v>
      </c>
      <c r="D573" s="224" t="s">
        <v>3497</v>
      </c>
      <c r="E573" s="1" t="s">
        <v>2332</v>
      </c>
      <c r="F573" s="102" t="s">
        <v>1194</v>
      </c>
      <c r="G573" s="1" t="s">
        <v>1194</v>
      </c>
      <c r="H573" s="8">
        <v>1</v>
      </c>
      <c r="I573" s="8">
        <v>1</v>
      </c>
      <c r="J573" s="115">
        <f>Table224[[#This Row],[Qty]]-Table224[[#This Row],[Issue Qty]]</f>
        <v>0</v>
      </c>
      <c r="K573" s="195"/>
      <c r="L573" s="195" t="s">
        <v>3480</v>
      </c>
      <c r="M573" s="5">
        <v>543</v>
      </c>
      <c r="N573" s="5">
        <f t="shared" si="30"/>
        <v>543</v>
      </c>
      <c r="O573" s="82">
        <v>0.12</v>
      </c>
      <c r="P573" s="9">
        <f t="shared" si="31"/>
        <v>65.16</v>
      </c>
      <c r="Q573" s="5">
        <v>0</v>
      </c>
      <c r="R573" s="5"/>
      <c r="S573" s="5">
        <f t="shared" si="32"/>
        <v>608.16</v>
      </c>
      <c r="T573" s="1" t="s">
        <v>1083</v>
      </c>
      <c r="U573" s="1" t="s">
        <v>1083</v>
      </c>
      <c r="V573" s="1" t="s">
        <v>601</v>
      </c>
      <c r="W573" s="1">
        <v>50253</v>
      </c>
      <c r="X573" s="1"/>
      <c r="Y573" s="26"/>
      <c r="Z573" s="21" t="s">
        <v>809</v>
      </c>
      <c r="AA573" s="204"/>
      <c r="AB573" s="21">
        <v>1</v>
      </c>
      <c r="AC573" s="12" t="s">
        <v>1086</v>
      </c>
      <c r="AD573" s="26"/>
      <c r="AE573" s="29" t="s">
        <v>1195</v>
      </c>
      <c r="AF573" s="26"/>
      <c r="AG573" s="26"/>
    </row>
    <row r="574" spans="1:33" s="24" customFormat="1" x14ac:dyDescent="0.25">
      <c r="A574" s="4"/>
      <c r="B574" s="4">
        <v>45832</v>
      </c>
      <c r="C574" s="1" t="s">
        <v>54</v>
      </c>
      <c r="D574" s="224" t="s">
        <v>3494</v>
      </c>
      <c r="E574" s="26" t="s">
        <v>2333</v>
      </c>
      <c r="F574" s="233" t="s">
        <v>1196</v>
      </c>
      <c r="G574" s="1" t="s">
        <v>1196</v>
      </c>
      <c r="H574" s="8">
        <v>1</v>
      </c>
      <c r="I574" s="8">
        <v>1</v>
      </c>
      <c r="J574" s="115">
        <f>Table224[[#This Row],[Qty]]-Table224[[#This Row],[Issue Qty]]</f>
        <v>0</v>
      </c>
      <c r="K574" s="195"/>
      <c r="L574" s="195" t="s">
        <v>3480</v>
      </c>
      <c r="M574" s="5">
        <v>1500</v>
      </c>
      <c r="N574" s="5">
        <f t="shared" si="30"/>
        <v>1500</v>
      </c>
      <c r="O574" s="82">
        <v>0.18</v>
      </c>
      <c r="P574" s="9">
        <f t="shared" si="31"/>
        <v>270</v>
      </c>
      <c r="Q574" s="5">
        <v>0</v>
      </c>
      <c r="R574" s="5"/>
      <c r="S574" s="5">
        <f t="shared" si="32"/>
        <v>1770</v>
      </c>
      <c r="T574" s="1" t="s">
        <v>1083</v>
      </c>
      <c r="U574" s="1" t="s">
        <v>1083</v>
      </c>
      <c r="V574" s="1" t="s">
        <v>829</v>
      </c>
      <c r="W574" s="1" t="s">
        <v>2319</v>
      </c>
      <c r="X574" s="1"/>
      <c r="Y574" s="26"/>
      <c r="Z574" s="21" t="s">
        <v>809</v>
      </c>
      <c r="AA574" s="204"/>
      <c r="AB574" s="21">
        <v>1</v>
      </c>
      <c r="AC574" s="12" t="s">
        <v>1086</v>
      </c>
      <c r="AD574" s="26"/>
      <c r="AE574" s="29"/>
      <c r="AF574" s="26"/>
      <c r="AG574" s="26"/>
    </row>
    <row r="575" spans="1:33" s="24" customFormat="1" x14ac:dyDescent="0.25">
      <c r="A575" s="4"/>
      <c r="B575" s="4">
        <v>45832</v>
      </c>
      <c r="C575" s="1" t="s">
        <v>54</v>
      </c>
      <c r="D575" s="224" t="s">
        <v>3494</v>
      </c>
      <c r="E575" s="1" t="s">
        <v>2334</v>
      </c>
      <c r="F575" s="102" t="s">
        <v>1197</v>
      </c>
      <c r="G575" s="1" t="s">
        <v>1197</v>
      </c>
      <c r="H575" s="8">
        <v>1</v>
      </c>
      <c r="I575" s="8"/>
      <c r="J575" s="115">
        <f>Table224[[#This Row],[Qty]]-Table224[[#This Row],[Issue Qty]]</f>
        <v>1</v>
      </c>
      <c r="K575" s="195"/>
      <c r="L575" s="195" t="s">
        <v>3480</v>
      </c>
      <c r="M575" s="5">
        <v>840</v>
      </c>
      <c r="N575" s="5">
        <f t="shared" si="30"/>
        <v>840</v>
      </c>
      <c r="O575" s="82">
        <v>0.18</v>
      </c>
      <c r="P575" s="9">
        <f t="shared" si="31"/>
        <v>151.19999999999999</v>
      </c>
      <c r="Q575" s="5">
        <v>0</v>
      </c>
      <c r="R575" s="5"/>
      <c r="S575" s="5">
        <f t="shared" si="32"/>
        <v>991.2</v>
      </c>
      <c r="T575" s="1" t="s">
        <v>1083</v>
      </c>
      <c r="U575" s="1" t="s">
        <v>1083</v>
      </c>
      <c r="V575" s="1" t="s">
        <v>829</v>
      </c>
      <c r="W575" s="1" t="s">
        <v>2319</v>
      </c>
      <c r="X575" s="1"/>
      <c r="Y575" s="26"/>
      <c r="Z575" s="21" t="s">
        <v>809</v>
      </c>
      <c r="AA575" s="204"/>
      <c r="AB575" s="21">
        <v>1</v>
      </c>
      <c r="AC575" s="12" t="s">
        <v>1086</v>
      </c>
      <c r="AD575" s="26"/>
      <c r="AE575" s="29" t="s">
        <v>1198</v>
      </c>
      <c r="AF575" s="26"/>
      <c r="AG575" s="26"/>
    </row>
    <row r="576" spans="1:33" s="206" customFormat="1" x14ac:dyDescent="0.25">
      <c r="A576" s="4"/>
      <c r="B576" s="4">
        <v>45832</v>
      </c>
      <c r="C576" s="1" t="s">
        <v>1991</v>
      </c>
      <c r="D576" s="224" t="s">
        <v>3509</v>
      </c>
      <c r="E576" s="26" t="s">
        <v>2315</v>
      </c>
      <c r="F576" s="233" t="s">
        <v>1166</v>
      </c>
      <c r="G576" s="1" t="s">
        <v>1166</v>
      </c>
      <c r="H576" s="8">
        <v>1</v>
      </c>
      <c r="I576" s="8">
        <v>1</v>
      </c>
      <c r="J576" s="115">
        <f>Table224[[#This Row],[Qty]]-Table224[[#This Row],[Issue Qty]]</f>
        <v>0</v>
      </c>
      <c r="K576" s="195"/>
      <c r="L576" s="195" t="s">
        <v>3480</v>
      </c>
      <c r="M576" s="5">
        <v>38.979999999999997</v>
      </c>
      <c r="N576" s="5">
        <f t="shared" si="30"/>
        <v>38.979999999999997</v>
      </c>
      <c r="O576" s="82">
        <v>0.18</v>
      </c>
      <c r="P576" s="9">
        <f t="shared" si="31"/>
        <v>7.0163999999999991</v>
      </c>
      <c r="Q576" s="5">
        <v>0</v>
      </c>
      <c r="R576" s="5"/>
      <c r="S576" s="5">
        <f t="shared" si="32"/>
        <v>45.996399999999994</v>
      </c>
      <c r="T576" s="1" t="s">
        <v>726</v>
      </c>
      <c r="U576" s="1" t="s">
        <v>726</v>
      </c>
      <c r="V576" s="1" t="s">
        <v>691</v>
      </c>
      <c r="W576" s="1" t="s">
        <v>2316</v>
      </c>
      <c r="X576" s="1"/>
      <c r="Y576" s="1"/>
      <c r="Z576" s="21" t="s">
        <v>650</v>
      </c>
      <c r="AA576" s="21" t="s">
        <v>3617</v>
      </c>
      <c r="AB576" s="8"/>
      <c r="AC576" s="22"/>
      <c r="AD576" s="1"/>
      <c r="AE576" s="29"/>
      <c r="AF576" s="1"/>
      <c r="AG576" s="2"/>
    </row>
    <row r="577" spans="1:33" s="206" customFormat="1" ht="30" x14ac:dyDescent="0.25">
      <c r="A577" s="4"/>
      <c r="B577" s="4">
        <v>45832</v>
      </c>
      <c r="C577" s="1" t="s">
        <v>1991</v>
      </c>
      <c r="D577" s="224" t="s">
        <v>3561</v>
      </c>
      <c r="E577" s="26" t="s">
        <v>2317</v>
      </c>
      <c r="F577" s="233" t="s">
        <v>1168</v>
      </c>
      <c r="G577" s="1" t="s">
        <v>1168</v>
      </c>
      <c r="H577" s="8">
        <v>1</v>
      </c>
      <c r="I577" s="8"/>
      <c r="J577" s="115">
        <f>Table224[[#This Row],[Qty]]-Table224[[#This Row],[Issue Qty]]</f>
        <v>1</v>
      </c>
      <c r="K577" s="195"/>
      <c r="L577" s="195" t="s">
        <v>3480</v>
      </c>
      <c r="M577" s="5">
        <v>152.54</v>
      </c>
      <c r="N577" s="5">
        <f t="shared" si="30"/>
        <v>152.54</v>
      </c>
      <c r="O577" s="82">
        <v>0.18</v>
      </c>
      <c r="P577" s="9">
        <f t="shared" si="31"/>
        <v>27.457199999999997</v>
      </c>
      <c r="Q577" s="5">
        <v>0</v>
      </c>
      <c r="R577" s="5"/>
      <c r="S577" s="5">
        <f t="shared" si="32"/>
        <v>179.99719999999999</v>
      </c>
      <c r="T577" s="1" t="s">
        <v>726</v>
      </c>
      <c r="U577" s="1" t="s">
        <v>726</v>
      </c>
      <c r="V577" s="1" t="s">
        <v>691</v>
      </c>
      <c r="W577" s="1" t="s">
        <v>2316</v>
      </c>
      <c r="X577" s="1"/>
      <c r="Y577" s="1"/>
      <c r="Z577" s="21" t="s">
        <v>38</v>
      </c>
      <c r="AA577" s="8" t="s">
        <v>3562</v>
      </c>
      <c r="AB577" s="8"/>
      <c r="AC577" s="22"/>
      <c r="AD577" s="1"/>
      <c r="AE577" s="29"/>
      <c r="AF577" s="1"/>
      <c r="AG577" s="2"/>
    </row>
    <row r="578" spans="1:33" s="206" customFormat="1" x14ac:dyDescent="0.25">
      <c r="A578" s="4"/>
      <c r="B578" s="4">
        <v>45832</v>
      </c>
      <c r="C578" s="1" t="s">
        <v>54</v>
      </c>
      <c r="D578" s="224" t="s">
        <v>3494</v>
      </c>
      <c r="E578" s="1" t="s">
        <v>2318</v>
      </c>
      <c r="F578" s="102" t="s">
        <v>1169</v>
      </c>
      <c r="G578" s="1" t="s">
        <v>1169</v>
      </c>
      <c r="H578" s="8">
        <v>4</v>
      </c>
      <c r="I578" s="8">
        <v>4</v>
      </c>
      <c r="J578" s="115">
        <f>Table224[[#This Row],[Qty]]-Table224[[#This Row],[Issue Qty]]</f>
        <v>0</v>
      </c>
      <c r="K578" s="195"/>
      <c r="L578" s="195" t="s">
        <v>3480</v>
      </c>
      <c r="M578" s="5">
        <v>300</v>
      </c>
      <c r="N578" s="5">
        <f t="shared" si="30"/>
        <v>1200</v>
      </c>
      <c r="O578" s="82">
        <v>0.18</v>
      </c>
      <c r="P578" s="9">
        <f t="shared" si="31"/>
        <v>216</v>
      </c>
      <c r="Q578" s="5">
        <v>0</v>
      </c>
      <c r="R578" s="5"/>
      <c r="S578" s="5">
        <f t="shared" si="32"/>
        <v>1416</v>
      </c>
      <c r="T578" s="1" t="s">
        <v>1083</v>
      </c>
      <c r="U578" s="1" t="s">
        <v>1083</v>
      </c>
      <c r="V578" s="1" t="s">
        <v>829</v>
      </c>
      <c r="W578" s="1" t="s">
        <v>2319</v>
      </c>
      <c r="X578" s="1"/>
      <c r="Y578" s="26"/>
      <c r="Z578" s="21"/>
      <c r="AA578" s="204"/>
      <c r="AB578" s="21">
        <v>4</v>
      </c>
      <c r="AC578" s="12" t="s">
        <v>1086</v>
      </c>
      <c r="AD578" s="26"/>
      <c r="AE578" s="29" t="s">
        <v>1170</v>
      </c>
      <c r="AF578" s="26"/>
      <c r="AG578" s="2"/>
    </row>
    <row r="579" spans="1:33" s="206" customFormat="1" x14ac:dyDescent="0.25">
      <c r="A579" s="4"/>
      <c r="B579" s="4">
        <v>45832</v>
      </c>
      <c r="C579" s="1" t="s">
        <v>54</v>
      </c>
      <c r="D579" s="224" t="s">
        <v>3494</v>
      </c>
      <c r="E579" s="1" t="s">
        <v>2320</v>
      </c>
      <c r="F579" s="102" t="s">
        <v>1171</v>
      </c>
      <c r="G579" s="1" t="s">
        <v>1171</v>
      </c>
      <c r="H579" s="8">
        <v>4</v>
      </c>
      <c r="I579" s="8">
        <v>4</v>
      </c>
      <c r="J579" s="115">
        <f>Table224[[#This Row],[Qty]]-Table224[[#This Row],[Issue Qty]]</f>
        <v>0</v>
      </c>
      <c r="K579" s="195"/>
      <c r="L579" s="195" t="s">
        <v>3480</v>
      </c>
      <c r="M579" s="5">
        <v>300</v>
      </c>
      <c r="N579" s="5">
        <f t="shared" si="30"/>
        <v>1200</v>
      </c>
      <c r="O579" s="82">
        <v>0.18</v>
      </c>
      <c r="P579" s="9">
        <f t="shared" si="31"/>
        <v>216</v>
      </c>
      <c r="Q579" s="5">
        <v>0</v>
      </c>
      <c r="R579" s="5"/>
      <c r="S579" s="5">
        <f t="shared" si="32"/>
        <v>1416</v>
      </c>
      <c r="T579" s="1" t="s">
        <v>1083</v>
      </c>
      <c r="U579" s="1" t="s">
        <v>1083</v>
      </c>
      <c r="V579" s="1" t="s">
        <v>829</v>
      </c>
      <c r="W579" s="1" t="s">
        <v>2319</v>
      </c>
      <c r="X579" s="1"/>
      <c r="Y579" s="26"/>
      <c r="Z579" s="21"/>
      <c r="AA579" s="204"/>
      <c r="AB579" s="21">
        <v>4</v>
      </c>
      <c r="AC579" s="12" t="s">
        <v>1086</v>
      </c>
      <c r="AD579" s="26"/>
      <c r="AE579" s="29" t="s">
        <v>1172</v>
      </c>
      <c r="AF579" s="26"/>
      <c r="AG579" s="2"/>
    </row>
    <row r="580" spans="1:33" s="206" customFormat="1" ht="30" x14ac:dyDescent="0.25">
      <c r="A580" s="4"/>
      <c r="B580" s="4">
        <v>45832</v>
      </c>
      <c r="C580" s="1" t="s">
        <v>1991</v>
      </c>
      <c r="D580" s="224" t="s">
        <v>3618</v>
      </c>
      <c r="E580" s="26" t="s">
        <v>2321</v>
      </c>
      <c r="F580" s="168" t="s">
        <v>1173</v>
      </c>
      <c r="G580" s="1" t="s">
        <v>1173</v>
      </c>
      <c r="H580" s="8">
        <v>2</v>
      </c>
      <c r="I580" s="8">
        <v>0</v>
      </c>
      <c r="J580" s="115">
        <f>Table224[[#This Row],[Qty]]-Table224[[#This Row],[Issue Qty]]</f>
        <v>2</v>
      </c>
      <c r="K580" s="195"/>
      <c r="L580" s="195" t="s">
        <v>3480</v>
      </c>
      <c r="M580" s="5">
        <v>66.099999999999994</v>
      </c>
      <c r="N580" s="5">
        <f t="shared" si="30"/>
        <v>132.19999999999999</v>
      </c>
      <c r="O580" s="82">
        <v>0.18</v>
      </c>
      <c r="P580" s="9">
        <f t="shared" si="31"/>
        <v>23.795999999999996</v>
      </c>
      <c r="Q580" s="5">
        <v>99</v>
      </c>
      <c r="R580" s="5"/>
      <c r="S580" s="5">
        <f t="shared" si="32"/>
        <v>254.99599999999998</v>
      </c>
      <c r="T580" s="1" t="s">
        <v>726</v>
      </c>
      <c r="U580" s="1" t="s">
        <v>726</v>
      </c>
      <c r="V580" s="1" t="s">
        <v>691</v>
      </c>
      <c r="W580" s="1" t="s">
        <v>2316</v>
      </c>
      <c r="X580" s="1"/>
      <c r="Y580" s="1"/>
      <c r="Z580" s="21" t="s">
        <v>650</v>
      </c>
      <c r="AA580" s="8"/>
      <c r="AB580" s="8"/>
      <c r="AC580" s="22" t="s">
        <v>3620</v>
      </c>
      <c r="AD580" s="1"/>
      <c r="AE580" s="29"/>
      <c r="AF580" s="1"/>
      <c r="AG580" s="2"/>
    </row>
    <row r="581" spans="1:33" s="206" customFormat="1" x14ac:dyDescent="0.25">
      <c r="A581" s="4"/>
      <c r="B581" s="4">
        <v>45832</v>
      </c>
      <c r="C581" s="1" t="s">
        <v>54</v>
      </c>
      <c r="D581" s="224" t="s">
        <v>3494</v>
      </c>
      <c r="E581" s="1" t="s">
        <v>2322</v>
      </c>
      <c r="F581" s="102" t="s">
        <v>1174</v>
      </c>
      <c r="G581" s="1" t="s">
        <v>1174</v>
      </c>
      <c r="H581" s="8">
        <v>1</v>
      </c>
      <c r="I581" s="8">
        <v>1</v>
      </c>
      <c r="J581" s="115">
        <f>Table224[[#This Row],[Qty]]-Table224[[#This Row],[Issue Qty]]</f>
        <v>0</v>
      </c>
      <c r="K581" s="195"/>
      <c r="L581" s="195" t="s">
        <v>3480</v>
      </c>
      <c r="M581" s="5">
        <v>300</v>
      </c>
      <c r="N581" s="5">
        <f t="shared" si="30"/>
        <v>300</v>
      </c>
      <c r="O581" s="82">
        <v>0.18</v>
      </c>
      <c r="P581" s="9">
        <f t="shared" si="31"/>
        <v>54</v>
      </c>
      <c r="Q581" s="5">
        <v>0</v>
      </c>
      <c r="R581" s="5"/>
      <c r="S581" s="5">
        <f t="shared" si="32"/>
        <v>354</v>
      </c>
      <c r="T581" s="1" t="s">
        <v>1083</v>
      </c>
      <c r="U581" s="1" t="s">
        <v>1083</v>
      </c>
      <c r="V581" s="1" t="s">
        <v>829</v>
      </c>
      <c r="W581" s="1" t="s">
        <v>2319</v>
      </c>
      <c r="X581" s="1"/>
      <c r="Y581" s="26"/>
      <c r="Z581" s="21" t="s">
        <v>809</v>
      </c>
      <c r="AA581" s="204"/>
      <c r="AB581" s="8">
        <v>1</v>
      </c>
      <c r="AC581" s="22" t="s">
        <v>1086</v>
      </c>
      <c r="AD581" s="26"/>
      <c r="AE581" s="29" t="s">
        <v>1175</v>
      </c>
      <c r="AF581" s="26"/>
      <c r="AG581" s="2"/>
    </row>
    <row r="582" spans="1:33" s="206" customFormat="1" x14ac:dyDescent="0.25">
      <c r="A582" s="4"/>
      <c r="B582" s="4">
        <v>45832</v>
      </c>
      <c r="C582" s="1" t="s">
        <v>54</v>
      </c>
      <c r="D582" s="224" t="s">
        <v>3494</v>
      </c>
      <c r="E582" s="1" t="s">
        <v>2323</v>
      </c>
      <c r="F582" s="102" t="s">
        <v>1176</v>
      </c>
      <c r="G582" s="1" t="s">
        <v>1176</v>
      </c>
      <c r="H582" s="8">
        <v>1</v>
      </c>
      <c r="I582" s="8">
        <v>1</v>
      </c>
      <c r="J582" s="115">
        <f>Table224[[#This Row],[Qty]]-Table224[[#This Row],[Issue Qty]]</f>
        <v>0</v>
      </c>
      <c r="K582" s="195"/>
      <c r="L582" s="195" t="s">
        <v>3480</v>
      </c>
      <c r="M582" s="5">
        <v>1140</v>
      </c>
      <c r="N582" s="5">
        <f t="shared" si="30"/>
        <v>1140</v>
      </c>
      <c r="O582" s="82">
        <v>0.18</v>
      </c>
      <c r="P582" s="9">
        <f t="shared" si="31"/>
        <v>205.2</v>
      </c>
      <c r="Q582" s="5">
        <v>0</v>
      </c>
      <c r="R582" s="5"/>
      <c r="S582" s="5">
        <f t="shared" si="32"/>
        <v>1345.2</v>
      </c>
      <c r="T582" s="1" t="s">
        <v>1083</v>
      </c>
      <c r="U582" s="1" t="s">
        <v>1083</v>
      </c>
      <c r="V582" s="1" t="s">
        <v>829</v>
      </c>
      <c r="W582" s="1" t="s">
        <v>2319</v>
      </c>
      <c r="X582" s="1"/>
      <c r="Y582" s="26"/>
      <c r="Z582" s="21" t="s">
        <v>809</v>
      </c>
      <c r="AA582" s="204"/>
      <c r="AB582" s="8">
        <v>1</v>
      </c>
      <c r="AC582" s="22" t="s">
        <v>1086</v>
      </c>
      <c r="AD582" s="26"/>
      <c r="AE582" s="29" t="s">
        <v>1177</v>
      </c>
      <c r="AF582" s="26"/>
      <c r="AG582" s="26"/>
    </row>
    <row r="583" spans="1:33" s="206" customFormat="1" x14ac:dyDescent="0.25">
      <c r="A583" s="4"/>
      <c r="B583" s="4">
        <v>45832</v>
      </c>
      <c r="C583" s="1" t="s">
        <v>54</v>
      </c>
      <c r="D583" s="224" t="s">
        <v>3494</v>
      </c>
      <c r="E583" s="1" t="s">
        <v>2324</v>
      </c>
      <c r="F583" s="102" t="s">
        <v>1178</v>
      </c>
      <c r="G583" s="1" t="s">
        <v>1178</v>
      </c>
      <c r="H583" s="8">
        <v>1</v>
      </c>
      <c r="I583" s="8">
        <v>1</v>
      </c>
      <c r="J583" s="115">
        <f>Table224[[#This Row],[Qty]]-Table224[[#This Row],[Issue Qty]]</f>
        <v>0</v>
      </c>
      <c r="K583" s="195"/>
      <c r="L583" s="195" t="s">
        <v>3480</v>
      </c>
      <c r="M583" s="5">
        <v>1140</v>
      </c>
      <c r="N583" s="5">
        <f t="shared" si="30"/>
        <v>1140</v>
      </c>
      <c r="O583" s="82">
        <v>0.18</v>
      </c>
      <c r="P583" s="9">
        <f t="shared" si="31"/>
        <v>205.2</v>
      </c>
      <c r="Q583" s="5">
        <v>0</v>
      </c>
      <c r="R583" s="5"/>
      <c r="S583" s="5">
        <f t="shared" si="32"/>
        <v>1345.2</v>
      </c>
      <c r="T583" s="1" t="s">
        <v>1083</v>
      </c>
      <c r="U583" s="1" t="s">
        <v>1083</v>
      </c>
      <c r="V583" s="1" t="s">
        <v>829</v>
      </c>
      <c r="W583" s="1" t="s">
        <v>2319</v>
      </c>
      <c r="X583" s="1"/>
      <c r="Y583" s="26"/>
      <c r="Z583" s="21" t="s">
        <v>809</v>
      </c>
      <c r="AA583" s="204"/>
      <c r="AB583" s="8">
        <v>1</v>
      </c>
      <c r="AC583" s="22" t="s">
        <v>1086</v>
      </c>
      <c r="AD583" s="26"/>
      <c r="AE583" s="29" t="s">
        <v>1179</v>
      </c>
      <c r="AF583" s="26"/>
      <c r="AG583" s="26"/>
    </row>
    <row r="584" spans="1:33" s="206" customFormat="1" x14ac:dyDescent="0.25">
      <c r="A584" s="4"/>
      <c r="B584" s="4">
        <v>45832</v>
      </c>
      <c r="C584" s="1" t="s">
        <v>54</v>
      </c>
      <c r="D584" s="224" t="s">
        <v>3494</v>
      </c>
      <c r="E584" s="1" t="s">
        <v>2325</v>
      </c>
      <c r="F584" s="102" t="s">
        <v>1180</v>
      </c>
      <c r="G584" s="1" t="s">
        <v>1180</v>
      </c>
      <c r="H584" s="8">
        <v>1</v>
      </c>
      <c r="I584" s="8">
        <v>1</v>
      </c>
      <c r="J584" s="115">
        <f>Table224[[#This Row],[Qty]]-Table224[[#This Row],[Issue Qty]]</f>
        <v>0</v>
      </c>
      <c r="K584" s="195"/>
      <c r="L584" s="195" t="s">
        <v>3480</v>
      </c>
      <c r="M584" s="5">
        <v>300</v>
      </c>
      <c r="N584" s="5">
        <f t="shared" si="30"/>
        <v>300</v>
      </c>
      <c r="O584" s="82">
        <v>0.18</v>
      </c>
      <c r="P584" s="9">
        <f t="shared" si="31"/>
        <v>54</v>
      </c>
      <c r="Q584" s="5">
        <v>0</v>
      </c>
      <c r="R584" s="5"/>
      <c r="S584" s="5">
        <f t="shared" si="32"/>
        <v>354</v>
      </c>
      <c r="T584" s="1" t="s">
        <v>1083</v>
      </c>
      <c r="U584" s="1" t="s">
        <v>1083</v>
      </c>
      <c r="V584" s="1" t="s">
        <v>829</v>
      </c>
      <c r="W584" s="1" t="s">
        <v>2319</v>
      </c>
      <c r="X584" s="1"/>
      <c r="Y584" s="26"/>
      <c r="Z584" s="21" t="s">
        <v>809</v>
      </c>
      <c r="AA584" s="204"/>
      <c r="AB584" s="8">
        <v>1</v>
      </c>
      <c r="AC584" s="22" t="s">
        <v>1086</v>
      </c>
      <c r="AD584" s="26"/>
      <c r="AE584" s="29" t="s">
        <v>1181</v>
      </c>
      <c r="AF584" s="26"/>
      <c r="AG584" s="26"/>
    </row>
    <row r="585" spans="1:33" s="206" customFormat="1" x14ac:dyDescent="0.25">
      <c r="A585" s="4"/>
      <c r="B585" s="4">
        <v>45832</v>
      </c>
      <c r="C585" s="1" t="s">
        <v>54</v>
      </c>
      <c r="D585" s="224" t="s">
        <v>3494</v>
      </c>
      <c r="E585" s="1" t="s">
        <v>2326</v>
      </c>
      <c r="F585" s="102" t="s">
        <v>1182</v>
      </c>
      <c r="G585" s="1" t="s">
        <v>1182</v>
      </c>
      <c r="H585" s="8">
        <v>1</v>
      </c>
      <c r="I585" s="8"/>
      <c r="J585" s="115">
        <f>Table224[[#This Row],[Qty]]-Table224[[#This Row],[Issue Qty]]</f>
        <v>1</v>
      </c>
      <c r="K585" s="195"/>
      <c r="L585" s="195" t="s">
        <v>3480</v>
      </c>
      <c r="M585" s="5">
        <v>2160</v>
      </c>
      <c r="N585" s="5">
        <f t="shared" si="30"/>
        <v>2160</v>
      </c>
      <c r="O585" s="82">
        <v>0.18</v>
      </c>
      <c r="P585" s="9">
        <f t="shared" si="31"/>
        <v>388.8</v>
      </c>
      <c r="Q585" s="5">
        <v>0</v>
      </c>
      <c r="R585" s="5"/>
      <c r="S585" s="5">
        <f t="shared" si="32"/>
        <v>2548.8000000000002</v>
      </c>
      <c r="T585" s="1" t="s">
        <v>1083</v>
      </c>
      <c r="U585" s="1" t="s">
        <v>1083</v>
      </c>
      <c r="V585" s="1" t="s">
        <v>829</v>
      </c>
      <c r="W585" s="1" t="s">
        <v>2319</v>
      </c>
      <c r="X585" s="1"/>
      <c r="Y585" s="1"/>
      <c r="Z585" s="21" t="s">
        <v>809</v>
      </c>
      <c r="AA585" s="8"/>
      <c r="AB585" s="8">
        <v>1</v>
      </c>
      <c r="AC585" s="22" t="s">
        <v>1086</v>
      </c>
      <c r="AD585" s="1"/>
      <c r="AE585" s="29" t="s">
        <v>1183</v>
      </c>
      <c r="AF585" s="1"/>
      <c r="AG585" s="26"/>
    </row>
    <row r="586" spans="1:33" s="206" customFormat="1" ht="30" x14ac:dyDescent="0.25">
      <c r="A586" s="4"/>
      <c r="B586" s="4">
        <v>45834</v>
      </c>
      <c r="C586" s="6" t="s">
        <v>1695</v>
      </c>
      <c r="D586" s="224" t="s">
        <v>3457</v>
      </c>
      <c r="E586" s="1" t="s">
        <v>2342</v>
      </c>
      <c r="F586" s="102" t="s">
        <v>1207</v>
      </c>
      <c r="G586" s="1" t="s">
        <v>1207</v>
      </c>
      <c r="H586" s="8">
        <v>5</v>
      </c>
      <c r="I586" s="8">
        <v>2</v>
      </c>
      <c r="J586" s="115">
        <f>Table224[[#This Row],[Qty]]-Table224[[#This Row],[Issue Qty]]</f>
        <v>3</v>
      </c>
      <c r="K586" s="195"/>
      <c r="L586" s="195" t="s">
        <v>3480</v>
      </c>
      <c r="M586" s="5">
        <v>34532</v>
      </c>
      <c r="N586" s="5">
        <f t="shared" si="30"/>
        <v>172660</v>
      </c>
      <c r="O586" s="82">
        <v>0.05</v>
      </c>
      <c r="P586" s="9">
        <f t="shared" si="31"/>
        <v>8633</v>
      </c>
      <c r="Q586" s="5">
        <v>0</v>
      </c>
      <c r="R586" s="5"/>
      <c r="S586" s="5">
        <f t="shared" si="32"/>
        <v>181293</v>
      </c>
      <c r="T586" s="1" t="s">
        <v>980</v>
      </c>
      <c r="U586" s="1" t="s">
        <v>980</v>
      </c>
      <c r="V586" s="1" t="s">
        <v>1060</v>
      </c>
      <c r="W586" s="1" t="s">
        <v>2336</v>
      </c>
      <c r="X586" s="1"/>
      <c r="Y586" s="1"/>
      <c r="Z586" s="21" t="s">
        <v>1046</v>
      </c>
      <c r="AA586" s="8"/>
      <c r="AB586" s="8">
        <v>2</v>
      </c>
      <c r="AC586" s="22" t="s">
        <v>3422</v>
      </c>
      <c r="AD586" s="1"/>
      <c r="AE586" s="29" t="s">
        <v>1208</v>
      </c>
      <c r="AF586" s="1"/>
      <c r="AG586" s="26"/>
    </row>
    <row r="587" spans="1:33" s="206" customFormat="1" ht="30" x14ac:dyDescent="0.25">
      <c r="A587" s="4"/>
      <c r="B587" s="4">
        <v>45834</v>
      </c>
      <c r="C587" s="1" t="s">
        <v>2096</v>
      </c>
      <c r="D587" s="224" t="s">
        <v>3451</v>
      </c>
      <c r="E587" s="26" t="s">
        <v>2335</v>
      </c>
      <c r="F587" s="233" t="s">
        <v>1199</v>
      </c>
      <c r="G587" s="1" t="s">
        <v>1199</v>
      </c>
      <c r="H587" s="8">
        <v>10</v>
      </c>
      <c r="I587" s="8"/>
      <c r="J587" s="115">
        <f>Table224[[#This Row],[Qty]]-Table224[[#This Row],[Issue Qty]]</f>
        <v>10</v>
      </c>
      <c r="K587" s="195"/>
      <c r="L587" s="195" t="s">
        <v>3480</v>
      </c>
      <c r="M587" s="5">
        <v>7017</v>
      </c>
      <c r="N587" s="5">
        <f t="shared" si="30"/>
        <v>70170</v>
      </c>
      <c r="O587" s="82">
        <v>0.05</v>
      </c>
      <c r="P587" s="9">
        <f t="shared" si="31"/>
        <v>3508.5</v>
      </c>
      <c r="Q587" s="5">
        <v>0</v>
      </c>
      <c r="R587" s="5"/>
      <c r="S587" s="5">
        <f t="shared" si="32"/>
        <v>73678.5</v>
      </c>
      <c r="T587" s="1" t="s">
        <v>980</v>
      </c>
      <c r="U587" s="1" t="s">
        <v>980</v>
      </c>
      <c r="V587" s="1" t="s">
        <v>1060</v>
      </c>
      <c r="W587" s="1" t="s">
        <v>2336</v>
      </c>
      <c r="X587" s="1"/>
      <c r="Y587" s="1"/>
      <c r="Z587" s="21" t="s">
        <v>29</v>
      </c>
      <c r="AA587" s="8"/>
      <c r="AB587" s="8">
        <v>1</v>
      </c>
      <c r="AC587" s="22" t="s">
        <v>1125</v>
      </c>
      <c r="AD587" s="1"/>
      <c r="AE587" s="29"/>
      <c r="AF587" s="1"/>
      <c r="AG587" s="26"/>
    </row>
    <row r="588" spans="1:33" s="206" customFormat="1" ht="30" x14ac:dyDescent="0.25">
      <c r="A588" s="4"/>
      <c r="B588" s="4">
        <v>45834</v>
      </c>
      <c r="C588" s="6" t="s">
        <v>1683</v>
      </c>
      <c r="D588" s="224" t="s">
        <v>3431</v>
      </c>
      <c r="E588" s="26" t="s">
        <v>2337</v>
      </c>
      <c r="F588" s="233" t="s">
        <v>1200</v>
      </c>
      <c r="G588" s="1" t="s">
        <v>1201</v>
      </c>
      <c r="H588" s="8">
        <v>8</v>
      </c>
      <c r="I588" s="8"/>
      <c r="J588" s="115">
        <f>Table224[[#This Row],[Qty]]-Table224[[#This Row],[Issue Qty]]</f>
        <v>8</v>
      </c>
      <c r="K588" s="195"/>
      <c r="L588" s="195" t="s">
        <v>3480</v>
      </c>
      <c r="M588" s="5">
        <v>5110</v>
      </c>
      <c r="N588" s="5">
        <f t="shared" si="30"/>
        <v>40880</v>
      </c>
      <c r="O588" s="82">
        <v>0.05</v>
      </c>
      <c r="P588" s="9">
        <f t="shared" si="31"/>
        <v>2044</v>
      </c>
      <c r="Q588" s="5">
        <v>0</v>
      </c>
      <c r="R588" s="5"/>
      <c r="S588" s="5">
        <f t="shared" si="32"/>
        <v>42924</v>
      </c>
      <c r="T588" s="1" t="s">
        <v>980</v>
      </c>
      <c r="U588" s="1" t="s">
        <v>980</v>
      </c>
      <c r="V588" s="1" t="s">
        <v>1060</v>
      </c>
      <c r="W588" s="1" t="s">
        <v>2336</v>
      </c>
      <c r="X588" s="1"/>
      <c r="Y588" s="1"/>
      <c r="Z588" s="21"/>
      <c r="AA588" s="8"/>
      <c r="AB588" s="8">
        <v>4</v>
      </c>
      <c r="AC588" s="22" t="s">
        <v>3435</v>
      </c>
      <c r="AD588" s="1"/>
      <c r="AE588" s="29"/>
      <c r="AF588" s="1"/>
      <c r="AG588" s="26"/>
    </row>
    <row r="589" spans="1:33" s="206" customFormat="1" x14ac:dyDescent="0.25">
      <c r="A589" s="4"/>
      <c r="B589" s="4">
        <v>45834</v>
      </c>
      <c r="C589" s="6" t="s">
        <v>1683</v>
      </c>
      <c r="D589" s="224" t="s">
        <v>3431</v>
      </c>
      <c r="E589" s="26" t="s">
        <v>2338</v>
      </c>
      <c r="F589" s="233" t="s">
        <v>1202</v>
      </c>
      <c r="G589" s="1" t="s">
        <v>1202</v>
      </c>
      <c r="H589" s="8">
        <v>20</v>
      </c>
      <c r="I589" s="8"/>
      <c r="J589" s="115">
        <f>Table224[[#This Row],[Qty]]-Table224[[#This Row],[Issue Qty]]</f>
        <v>20</v>
      </c>
      <c r="K589" s="195"/>
      <c r="L589" s="195" t="s">
        <v>3480</v>
      </c>
      <c r="M589" s="5">
        <v>1940</v>
      </c>
      <c r="N589" s="5">
        <f t="shared" si="30"/>
        <v>38800</v>
      </c>
      <c r="O589" s="82">
        <v>0.05</v>
      </c>
      <c r="P589" s="9">
        <f t="shared" si="31"/>
        <v>1940</v>
      </c>
      <c r="Q589" s="5">
        <v>0</v>
      </c>
      <c r="R589" s="5"/>
      <c r="S589" s="5">
        <f t="shared" si="32"/>
        <v>40740</v>
      </c>
      <c r="T589" s="1" t="s">
        <v>980</v>
      </c>
      <c r="U589" s="1" t="s">
        <v>980</v>
      </c>
      <c r="V589" s="1" t="s">
        <v>1060</v>
      </c>
      <c r="W589" s="1" t="s">
        <v>2336</v>
      </c>
      <c r="X589" s="1"/>
      <c r="Y589" s="1"/>
      <c r="Z589" s="21" t="s">
        <v>22</v>
      </c>
      <c r="AA589" s="21" t="s">
        <v>1963</v>
      </c>
      <c r="AB589" s="8">
        <v>8</v>
      </c>
      <c r="AC589" s="22" t="s">
        <v>3434</v>
      </c>
      <c r="AD589" s="1"/>
      <c r="AE589" s="29"/>
      <c r="AF589" s="1"/>
      <c r="AG589" s="26"/>
    </row>
    <row r="590" spans="1:33" s="206" customFormat="1" x14ac:dyDescent="0.25">
      <c r="A590" s="4"/>
      <c r="B590" s="4">
        <v>45834</v>
      </c>
      <c r="C590" s="1" t="s">
        <v>1991</v>
      </c>
      <c r="D590" s="224" t="s">
        <v>3443</v>
      </c>
      <c r="E590" s="26" t="s">
        <v>2339</v>
      </c>
      <c r="F590" s="233" t="s">
        <v>1203</v>
      </c>
      <c r="G590" s="1" t="s">
        <v>1204</v>
      </c>
      <c r="H590" s="8">
        <v>2</v>
      </c>
      <c r="I590" s="8">
        <v>1</v>
      </c>
      <c r="J590" s="115">
        <f>Table224[[#This Row],[Qty]]-Table224[[#This Row],[Issue Qty]]</f>
        <v>1</v>
      </c>
      <c r="K590" s="195"/>
      <c r="L590" s="195" t="s">
        <v>3480</v>
      </c>
      <c r="M590" s="5">
        <v>11896</v>
      </c>
      <c r="N590" s="5">
        <f t="shared" si="30"/>
        <v>23792</v>
      </c>
      <c r="O590" s="82">
        <v>0.05</v>
      </c>
      <c r="P590" s="9">
        <f t="shared" si="31"/>
        <v>1189.6000000000001</v>
      </c>
      <c r="Q590" s="5">
        <v>1711</v>
      </c>
      <c r="R590" s="5"/>
      <c r="S590" s="5">
        <f t="shared" si="32"/>
        <v>26692.6</v>
      </c>
      <c r="T590" s="1" t="s">
        <v>980</v>
      </c>
      <c r="U590" s="1" t="s">
        <v>980</v>
      </c>
      <c r="V590" s="1" t="s">
        <v>1060</v>
      </c>
      <c r="W590" s="1" t="s">
        <v>2336</v>
      </c>
      <c r="X590" s="1"/>
      <c r="Y590" s="1"/>
      <c r="Z590" s="21" t="s">
        <v>244</v>
      </c>
      <c r="AA590" s="8"/>
      <c r="AB590" s="8">
        <v>1</v>
      </c>
      <c r="AC590" s="22" t="s">
        <v>145</v>
      </c>
      <c r="AD590" s="1"/>
      <c r="AE590" s="29"/>
      <c r="AF590" s="1"/>
      <c r="AG590" s="26"/>
    </row>
    <row r="591" spans="1:33" s="206" customFormat="1" x14ac:dyDescent="0.25">
      <c r="A591" s="4"/>
      <c r="B591" s="4">
        <v>45834</v>
      </c>
      <c r="C591" s="1" t="s">
        <v>1991</v>
      </c>
      <c r="D591" s="224" t="s">
        <v>3455</v>
      </c>
      <c r="E591" s="1" t="s">
        <v>2340</v>
      </c>
      <c r="F591" s="102" t="s">
        <v>1205</v>
      </c>
      <c r="G591" s="1" t="s">
        <v>1205</v>
      </c>
      <c r="H591" s="8">
        <v>5</v>
      </c>
      <c r="I591" s="8">
        <v>2</v>
      </c>
      <c r="J591" s="115">
        <f>Table224[[#This Row],[Qty]]-Table224[[#This Row],[Issue Qty]]</f>
        <v>3</v>
      </c>
      <c r="K591" s="195"/>
      <c r="L591" s="195" t="s">
        <v>3480</v>
      </c>
      <c r="M591" s="5">
        <v>1808.57</v>
      </c>
      <c r="N591" s="5">
        <f t="shared" si="30"/>
        <v>9042.85</v>
      </c>
      <c r="O591" s="82">
        <v>0.05</v>
      </c>
      <c r="P591" s="9">
        <f t="shared" si="31"/>
        <v>452.14250000000004</v>
      </c>
      <c r="Q591" s="5">
        <f>157.01</f>
        <v>157.01</v>
      </c>
      <c r="R591" s="5"/>
      <c r="S591" s="5">
        <f t="shared" si="32"/>
        <v>9652.0025000000005</v>
      </c>
      <c r="T591" s="1" t="s">
        <v>980</v>
      </c>
      <c r="U591" s="1" t="s">
        <v>980</v>
      </c>
      <c r="V591" s="1" t="s">
        <v>749</v>
      </c>
      <c r="W591" s="1" t="s">
        <v>2341</v>
      </c>
      <c r="X591" s="1"/>
      <c r="Y591" s="1"/>
      <c r="Z591" s="21" t="s">
        <v>38</v>
      </c>
      <c r="AA591" s="21" t="s">
        <v>1128</v>
      </c>
      <c r="AB591" s="8">
        <v>4</v>
      </c>
      <c r="AC591" s="22" t="s">
        <v>1125</v>
      </c>
      <c r="AD591" s="1"/>
      <c r="AE591" s="29" t="s">
        <v>1206</v>
      </c>
      <c r="AF591" s="1"/>
      <c r="AG591" s="26"/>
    </row>
    <row r="592" spans="1:33" s="206" customFormat="1" x14ac:dyDescent="0.25">
      <c r="A592" s="4"/>
      <c r="B592" s="4">
        <v>45835</v>
      </c>
      <c r="C592" s="6" t="s">
        <v>1730</v>
      </c>
      <c r="D592" s="224" t="s">
        <v>3590</v>
      </c>
      <c r="E592" s="26" t="s">
        <v>2343</v>
      </c>
      <c r="F592" s="231" t="s">
        <v>1209</v>
      </c>
      <c r="G592" s="1" t="s">
        <v>1209</v>
      </c>
      <c r="H592" s="8">
        <v>1</v>
      </c>
      <c r="I592" s="8"/>
      <c r="J592" s="115">
        <f>Table224[[#This Row],[Qty]]-Table224[[#This Row],[Issue Qty]]</f>
        <v>1</v>
      </c>
      <c r="K592" s="195"/>
      <c r="L592" s="195" t="s">
        <v>3480</v>
      </c>
      <c r="M592" s="5">
        <v>9600</v>
      </c>
      <c r="N592" s="5">
        <f t="shared" si="30"/>
        <v>9600</v>
      </c>
      <c r="O592" s="82">
        <v>0.18</v>
      </c>
      <c r="P592" s="9">
        <f t="shared" si="31"/>
        <v>1728</v>
      </c>
      <c r="Q592" s="5">
        <v>2124</v>
      </c>
      <c r="R592" s="5"/>
      <c r="S592" s="5">
        <f t="shared" si="32"/>
        <v>13452</v>
      </c>
      <c r="T592" s="1" t="s">
        <v>907</v>
      </c>
      <c r="U592" s="1" t="s">
        <v>907</v>
      </c>
      <c r="V592" s="1" t="s">
        <v>1210</v>
      </c>
      <c r="W592" s="1" t="s">
        <v>2344</v>
      </c>
      <c r="X592" s="1"/>
      <c r="Y592" s="1"/>
      <c r="Z592" s="21"/>
      <c r="AA592" s="8"/>
      <c r="AB592" s="8">
        <v>1</v>
      </c>
      <c r="AC592" s="22" t="s">
        <v>1211</v>
      </c>
      <c r="AD592" s="1"/>
      <c r="AE592" s="29"/>
      <c r="AF592" s="1"/>
      <c r="AG592" s="26"/>
    </row>
    <row r="593" spans="1:33" s="206" customFormat="1" x14ac:dyDescent="0.25">
      <c r="A593" s="4"/>
      <c r="B593" s="4">
        <v>45836</v>
      </c>
      <c r="C593" s="1" t="s">
        <v>54</v>
      </c>
      <c r="D593" s="224" t="s">
        <v>3494</v>
      </c>
      <c r="E593" s="1" t="s">
        <v>2345</v>
      </c>
      <c r="F593" s="236" t="s">
        <v>1212</v>
      </c>
      <c r="G593" s="1" t="s">
        <v>1213</v>
      </c>
      <c r="H593" s="8">
        <v>2</v>
      </c>
      <c r="I593" s="8">
        <v>2</v>
      </c>
      <c r="J593" s="115">
        <f>Table224[[#This Row],[Qty]]-Table224[[#This Row],[Issue Qty]]</f>
        <v>0</v>
      </c>
      <c r="K593" s="332">
        <v>2</v>
      </c>
      <c r="L593" s="195" t="s">
        <v>3480</v>
      </c>
      <c r="M593" s="5">
        <v>282</v>
      </c>
      <c r="N593" s="5">
        <f t="shared" si="30"/>
        <v>564</v>
      </c>
      <c r="O593" s="82">
        <v>0.18</v>
      </c>
      <c r="P593" s="9">
        <f t="shared" si="31"/>
        <v>101.52</v>
      </c>
      <c r="Q593" s="5">
        <v>0</v>
      </c>
      <c r="R593" s="5"/>
      <c r="S593" s="5">
        <f t="shared" si="32"/>
        <v>665.52</v>
      </c>
      <c r="T593" s="1" t="s">
        <v>726</v>
      </c>
      <c r="U593" s="1" t="s">
        <v>726</v>
      </c>
      <c r="V593" s="1" t="s">
        <v>358</v>
      </c>
      <c r="W593" s="1" t="s">
        <v>2346</v>
      </c>
      <c r="X593" s="1"/>
      <c r="Y593" s="26"/>
      <c r="Z593" s="21" t="s">
        <v>650</v>
      </c>
      <c r="AA593" s="204"/>
      <c r="AB593" s="21">
        <v>2</v>
      </c>
      <c r="AC593" s="12" t="s">
        <v>481</v>
      </c>
      <c r="AD593" s="26"/>
      <c r="AE593" s="29" t="s">
        <v>1214</v>
      </c>
      <c r="AF593" s="26"/>
      <c r="AG593" s="26"/>
    </row>
    <row r="594" spans="1:33" s="206" customFormat="1" x14ac:dyDescent="0.25">
      <c r="A594" s="4"/>
      <c r="B594" s="4">
        <v>45836</v>
      </c>
      <c r="C594" s="1" t="s">
        <v>54</v>
      </c>
      <c r="D594" s="224" t="s">
        <v>3494</v>
      </c>
      <c r="E594" s="1" t="s">
        <v>2347</v>
      </c>
      <c r="F594" s="236" t="s">
        <v>1215</v>
      </c>
      <c r="G594" s="1" t="s">
        <v>1216</v>
      </c>
      <c r="H594" s="8">
        <v>2</v>
      </c>
      <c r="I594" s="8">
        <v>2</v>
      </c>
      <c r="J594" s="115">
        <f>Table224[[#This Row],[Qty]]-Table224[[#This Row],[Issue Qty]]</f>
        <v>0</v>
      </c>
      <c r="K594" s="332">
        <v>2</v>
      </c>
      <c r="L594" s="195" t="s">
        <v>3480</v>
      </c>
      <c r="M594" s="5">
        <v>276</v>
      </c>
      <c r="N594" s="5">
        <f t="shared" si="30"/>
        <v>552</v>
      </c>
      <c r="O594" s="82">
        <v>0.18</v>
      </c>
      <c r="P594" s="9">
        <f t="shared" si="31"/>
        <v>99.36</v>
      </c>
      <c r="Q594" s="5">
        <v>0</v>
      </c>
      <c r="R594" s="5"/>
      <c r="S594" s="5">
        <f t="shared" si="32"/>
        <v>651.36</v>
      </c>
      <c r="T594" s="1" t="s">
        <v>726</v>
      </c>
      <c r="U594" s="1" t="s">
        <v>726</v>
      </c>
      <c r="V594" s="1" t="s">
        <v>358</v>
      </c>
      <c r="W594" s="1" t="s">
        <v>2346</v>
      </c>
      <c r="X594" s="1"/>
      <c r="Y594" s="26"/>
      <c r="Z594" s="21" t="s">
        <v>650</v>
      </c>
      <c r="AA594" s="204"/>
      <c r="AB594" s="21">
        <v>2</v>
      </c>
      <c r="AC594" s="12" t="s">
        <v>481</v>
      </c>
      <c r="AD594" s="26"/>
      <c r="AE594" s="29" t="s">
        <v>1217</v>
      </c>
      <c r="AF594" s="26"/>
      <c r="AG594" s="26"/>
    </row>
    <row r="595" spans="1:33" s="206" customFormat="1" ht="30" x14ac:dyDescent="0.25">
      <c r="A595" s="4"/>
      <c r="B595" s="4">
        <v>45836</v>
      </c>
      <c r="C595" s="1" t="s">
        <v>2096</v>
      </c>
      <c r="D595" s="224" t="s">
        <v>3455</v>
      </c>
      <c r="E595" s="26" t="s">
        <v>2348</v>
      </c>
      <c r="F595" s="233" t="s">
        <v>1218</v>
      </c>
      <c r="G595" s="1" t="s">
        <v>1219</v>
      </c>
      <c r="H595" s="8">
        <v>1</v>
      </c>
      <c r="I595" s="8"/>
      <c r="J595" s="115">
        <f>Table224[[#This Row],[Qty]]-Table224[[#This Row],[Issue Qty]]</f>
        <v>1</v>
      </c>
      <c r="K595" s="195"/>
      <c r="L595" s="195" t="s">
        <v>3480</v>
      </c>
      <c r="M595" s="5">
        <v>2380</v>
      </c>
      <c r="N595" s="5">
        <f t="shared" si="30"/>
        <v>2380</v>
      </c>
      <c r="O595" s="82">
        <v>0.05</v>
      </c>
      <c r="P595" s="9">
        <f t="shared" si="31"/>
        <v>119</v>
      </c>
      <c r="Q595" s="5">
        <f>126.27+22.73</f>
        <v>149</v>
      </c>
      <c r="R595" s="5"/>
      <c r="S595" s="5">
        <f t="shared" si="32"/>
        <v>2648</v>
      </c>
      <c r="T595" s="1" t="s">
        <v>980</v>
      </c>
      <c r="U595" s="1" t="s">
        <v>980</v>
      </c>
      <c r="V595" s="1" t="s">
        <v>1220</v>
      </c>
      <c r="W595" s="1" t="s">
        <v>2349</v>
      </c>
      <c r="X595" s="1"/>
      <c r="Y595" s="1"/>
      <c r="Z595" s="21"/>
      <c r="AA595" s="8"/>
      <c r="AB595" s="8">
        <v>1</v>
      </c>
      <c r="AC595" s="22" t="s">
        <v>1125</v>
      </c>
      <c r="AD595" s="1"/>
      <c r="AE595" s="29"/>
      <c r="AF595" s="1"/>
      <c r="AG595" s="26"/>
    </row>
    <row r="596" spans="1:33" s="206" customFormat="1" ht="30" x14ac:dyDescent="0.25">
      <c r="A596" s="4"/>
      <c r="B596" s="4">
        <v>45836</v>
      </c>
      <c r="C596" s="1" t="s">
        <v>2096</v>
      </c>
      <c r="D596" s="224" t="s">
        <v>3455</v>
      </c>
      <c r="E596" s="26" t="s">
        <v>2348</v>
      </c>
      <c r="F596" s="233" t="s">
        <v>1218</v>
      </c>
      <c r="G596" s="1" t="s">
        <v>1219</v>
      </c>
      <c r="H596" s="8">
        <v>6</v>
      </c>
      <c r="I596" s="8"/>
      <c r="J596" s="115">
        <f>Table224[[#This Row],[Qty]]-Table224[[#This Row],[Issue Qty]]</f>
        <v>6</v>
      </c>
      <c r="K596" s="195"/>
      <c r="L596" s="195" t="s">
        <v>3480</v>
      </c>
      <c r="M596" s="5">
        <f>15994.29/6</f>
        <v>2665.7150000000001</v>
      </c>
      <c r="N596" s="5">
        <f t="shared" si="30"/>
        <v>15994.29</v>
      </c>
      <c r="O596" s="82">
        <v>0.05</v>
      </c>
      <c r="P596" s="9">
        <f t="shared" si="31"/>
        <v>799.71450000000004</v>
      </c>
      <c r="Q596" s="5">
        <v>642</v>
      </c>
      <c r="R596" s="5"/>
      <c r="S596" s="5">
        <f t="shared" si="32"/>
        <v>17436.004500000003</v>
      </c>
      <c r="T596" s="1" t="s">
        <v>980</v>
      </c>
      <c r="U596" s="1" t="s">
        <v>980</v>
      </c>
      <c r="V596" s="1" t="s">
        <v>531</v>
      </c>
      <c r="W596" s="1">
        <v>24470</v>
      </c>
      <c r="X596" s="1"/>
      <c r="Y596" s="1"/>
      <c r="Z596" s="21" t="s">
        <v>29</v>
      </c>
      <c r="AA596" s="8"/>
      <c r="AB596" s="8">
        <v>1</v>
      </c>
      <c r="AC596" s="22" t="s">
        <v>1125</v>
      </c>
      <c r="AD596" s="1"/>
      <c r="AE596" s="29"/>
      <c r="AF596" s="1"/>
      <c r="AG596" s="2"/>
    </row>
    <row r="597" spans="1:33" s="206" customFormat="1" x14ac:dyDescent="0.25">
      <c r="A597" s="4"/>
      <c r="B597" s="4">
        <v>45839</v>
      </c>
      <c r="C597" s="1" t="s">
        <v>54</v>
      </c>
      <c r="D597" s="224" t="s">
        <v>3489</v>
      </c>
      <c r="E597" s="26" t="s">
        <v>2354</v>
      </c>
      <c r="F597" s="231" t="s">
        <v>1224</v>
      </c>
      <c r="G597" s="1" t="s">
        <v>1224</v>
      </c>
      <c r="H597" s="8">
        <v>2</v>
      </c>
      <c r="I597" s="8"/>
      <c r="J597" s="115">
        <f>Table224[[#This Row],[Qty]]-Table224[[#This Row],[Issue Qty]]</f>
        <v>2</v>
      </c>
      <c r="K597" s="195"/>
      <c r="L597" s="195" t="s">
        <v>3480</v>
      </c>
      <c r="M597" s="5">
        <v>1356</v>
      </c>
      <c r="N597" s="5">
        <f t="shared" si="30"/>
        <v>2712</v>
      </c>
      <c r="O597" s="82">
        <v>0.18</v>
      </c>
      <c r="P597" s="9">
        <f t="shared" si="31"/>
        <v>488.15999999999997</v>
      </c>
      <c r="Q597" s="5">
        <v>0</v>
      </c>
      <c r="R597" s="5"/>
      <c r="S597" s="5">
        <f t="shared" si="32"/>
        <v>3200.16</v>
      </c>
      <c r="T597" s="1" t="s">
        <v>1083</v>
      </c>
      <c r="U597" s="1" t="s">
        <v>1083</v>
      </c>
      <c r="V597" s="1" t="s">
        <v>764</v>
      </c>
      <c r="W597" s="1" t="s">
        <v>2351</v>
      </c>
      <c r="X597" s="1"/>
      <c r="Y597" s="1"/>
      <c r="Z597" s="21"/>
      <c r="AA597" s="8"/>
      <c r="AB597" s="8">
        <v>2</v>
      </c>
      <c r="AC597" s="22" t="s">
        <v>1086</v>
      </c>
      <c r="AD597" s="1"/>
      <c r="AE597" s="29"/>
      <c r="AF597" s="1"/>
      <c r="AG597" s="26"/>
    </row>
    <row r="598" spans="1:33" s="206" customFormat="1" x14ac:dyDescent="0.25">
      <c r="A598" s="4"/>
      <c r="B598" s="4">
        <v>45839</v>
      </c>
      <c r="C598" s="1" t="s">
        <v>54</v>
      </c>
      <c r="D598" s="224" t="s">
        <v>3489</v>
      </c>
      <c r="E598" s="1" t="s">
        <v>2350</v>
      </c>
      <c r="F598" s="102" t="s">
        <v>1221</v>
      </c>
      <c r="G598" s="1" t="s">
        <v>1221</v>
      </c>
      <c r="H598" s="8">
        <v>2</v>
      </c>
      <c r="I598" s="8">
        <v>2</v>
      </c>
      <c r="J598" s="115">
        <f>Table224[[#This Row],[Qty]]-Table224[[#This Row],[Issue Qty]]</f>
        <v>0</v>
      </c>
      <c r="K598" s="195"/>
      <c r="L598" s="195" t="s">
        <v>3480</v>
      </c>
      <c r="M598" s="5">
        <v>1577</v>
      </c>
      <c r="N598" s="5">
        <f t="shared" si="30"/>
        <v>3154</v>
      </c>
      <c r="O598" s="82">
        <v>0.18</v>
      </c>
      <c r="P598" s="9">
        <f t="shared" si="31"/>
        <v>567.72</v>
      </c>
      <c r="Q598" s="5">
        <v>0</v>
      </c>
      <c r="R598" s="5"/>
      <c r="S598" s="5">
        <f t="shared" si="32"/>
        <v>3721.7200000000003</v>
      </c>
      <c r="T598" s="1" t="s">
        <v>1083</v>
      </c>
      <c r="U598" s="1" t="s">
        <v>1083</v>
      </c>
      <c r="V598" s="1" t="s">
        <v>764</v>
      </c>
      <c r="W598" s="1" t="s">
        <v>2351</v>
      </c>
      <c r="X598" s="1"/>
      <c r="Y598" s="1"/>
      <c r="Z598" s="21"/>
      <c r="AA598" s="8"/>
      <c r="AB598" s="8">
        <v>2</v>
      </c>
      <c r="AC598" s="22" t="s">
        <v>1086</v>
      </c>
      <c r="AD598" s="1"/>
      <c r="AE598" s="29" t="s">
        <v>1221</v>
      </c>
      <c r="AF598" s="1"/>
      <c r="AG598" s="26"/>
    </row>
    <row r="599" spans="1:33" s="24" customFormat="1" x14ac:dyDescent="0.25">
      <c r="A599" s="4"/>
      <c r="B599" s="4">
        <v>45839</v>
      </c>
      <c r="C599" s="1" t="s">
        <v>54</v>
      </c>
      <c r="D599" s="224" t="s">
        <v>3489</v>
      </c>
      <c r="E599" s="26" t="s">
        <v>2352</v>
      </c>
      <c r="F599" s="233" t="s">
        <v>1222</v>
      </c>
      <c r="G599" s="1" t="s">
        <v>1222</v>
      </c>
      <c r="H599" s="8">
        <v>1</v>
      </c>
      <c r="I599" s="8">
        <v>1</v>
      </c>
      <c r="J599" s="115">
        <f>Table224[[#This Row],[Qty]]-Table224[[#This Row],[Issue Qty]]</f>
        <v>0</v>
      </c>
      <c r="K599" s="195"/>
      <c r="L599" s="195" t="s">
        <v>3480</v>
      </c>
      <c r="M599" s="5">
        <v>930</v>
      </c>
      <c r="N599" s="5">
        <f t="shared" si="30"/>
        <v>930</v>
      </c>
      <c r="O599" s="82">
        <v>0.18</v>
      </c>
      <c r="P599" s="9">
        <f t="shared" si="31"/>
        <v>167.4</v>
      </c>
      <c r="Q599" s="5">
        <v>0</v>
      </c>
      <c r="R599" s="5"/>
      <c r="S599" s="5">
        <f t="shared" si="32"/>
        <v>1097.4000000000001</v>
      </c>
      <c r="T599" s="1" t="s">
        <v>1083</v>
      </c>
      <c r="U599" s="1" t="s">
        <v>1083</v>
      </c>
      <c r="V599" s="1" t="s">
        <v>764</v>
      </c>
      <c r="W599" s="1" t="s">
        <v>2351</v>
      </c>
      <c r="X599" s="1"/>
      <c r="Y599" s="26"/>
      <c r="Z599" s="21"/>
      <c r="AA599" s="204"/>
      <c r="AB599" s="21">
        <v>1</v>
      </c>
      <c r="AC599" s="22" t="s">
        <v>1086</v>
      </c>
      <c r="AD599" s="26"/>
      <c r="AE599" s="29"/>
      <c r="AF599" s="26"/>
      <c r="AG599" s="26"/>
    </row>
    <row r="600" spans="1:33" s="206" customFormat="1" x14ac:dyDescent="0.25">
      <c r="A600" s="4"/>
      <c r="B600" s="4">
        <v>45839</v>
      </c>
      <c r="C600" s="1" t="s">
        <v>54</v>
      </c>
      <c r="D600" s="224" t="s">
        <v>3489</v>
      </c>
      <c r="E600" s="26" t="s">
        <v>2353</v>
      </c>
      <c r="F600" s="233" t="s">
        <v>1223</v>
      </c>
      <c r="G600" s="1" t="s">
        <v>1223</v>
      </c>
      <c r="H600" s="8">
        <v>1</v>
      </c>
      <c r="I600" s="8">
        <v>1</v>
      </c>
      <c r="J600" s="115">
        <f>Table224[[#This Row],[Qty]]-Table224[[#This Row],[Issue Qty]]</f>
        <v>0</v>
      </c>
      <c r="K600" s="195"/>
      <c r="L600" s="195" t="s">
        <v>3480</v>
      </c>
      <c r="M600" s="5">
        <v>980</v>
      </c>
      <c r="N600" s="5">
        <f t="shared" si="30"/>
        <v>980</v>
      </c>
      <c r="O600" s="82">
        <v>0.18</v>
      </c>
      <c r="P600" s="9">
        <f t="shared" si="31"/>
        <v>176.4</v>
      </c>
      <c r="Q600" s="5">
        <v>0</v>
      </c>
      <c r="R600" s="5"/>
      <c r="S600" s="5">
        <f t="shared" si="32"/>
        <v>1156.4000000000001</v>
      </c>
      <c r="T600" s="1" t="s">
        <v>1083</v>
      </c>
      <c r="U600" s="1" t="s">
        <v>1083</v>
      </c>
      <c r="V600" s="1" t="s">
        <v>764</v>
      </c>
      <c r="W600" s="1" t="s">
        <v>2351</v>
      </c>
      <c r="X600" s="1"/>
      <c r="Y600" s="26"/>
      <c r="Z600" s="21"/>
      <c r="AA600" s="204"/>
      <c r="AB600" s="21">
        <v>1</v>
      </c>
      <c r="AC600" s="22" t="s">
        <v>1086</v>
      </c>
      <c r="AD600" s="26"/>
      <c r="AE600" s="29"/>
      <c r="AF600" s="26"/>
      <c r="AG600" s="26"/>
    </row>
    <row r="601" spans="1:33" s="206" customFormat="1" ht="30" x14ac:dyDescent="0.25">
      <c r="A601" s="4"/>
      <c r="B601" s="4">
        <v>45840</v>
      </c>
      <c r="C601" s="6" t="s">
        <v>1683</v>
      </c>
      <c r="D601" s="224" t="s">
        <v>3498</v>
      </c>
      <c r="E601" s="1" t="s">
        <v>2289</v>
      </c>
      <c r="F601" s="102" t="s">
        <v>1129</v>
      </c>
      <c r="G601" s="1" t="s">
        <v>1129</v>
      </c>
      <c r="H601" s="8">
        <v>1</v>
      </c>
      <c r="I601" s="8">
        <v>1</v>
      </c>
      <c r="J601" s="115">
        <f>Table224[[#This Row],[Qty]]-Table224[[#This Row],[Issue Qty]]</f>
        <v>0</v>
      </c>
      <c r="K601" s="195"/>
      <c r="L601" s="195" t="s">
        <v>3480</v>
      </c>
      <c r="M601" s="5">
        <v>727.12</v>
      </c>
      <c r="N601" s="5">
        <f t="shared" si="30"/>
        <v>727.12</v>
      </c>
      <c r="O601" s="82">
        <v>0.18</v>
      </c>
      <c r="P601" s="9">
        <f t="shared" si="31"/>
        <v>130.88159999999999</v>
      </c>
      <c r="Q601" s="5">
        <v>99</v>
      </c>
      <c r="R601" s="5"/>
      <c r="S601" s="5">
        <f t="shared" si="32"/>
        <v>957.00160000000005</v>
      </c>
      <c r="T601" s="1" t="s">
        <v>907</v>
      </c>
      <c r="U601" s="1" t="s">
        <v>907</v>
      </c>
      <c r="V601" s="1" t="s">
        <v>691</v>
      </c>
      <c r="W601" s="1" t="s">
        <v>2355</v>
      </c>
      <c r="X601" s="1"/>
      <c r="Y601" s="26"/>
      <c r="Z601" s="21"/>
      <c r="AA601" s="204"/>
      <c r="AB601" s="21">
        <v>1</v>
      </c>
      <c r="AC601" s="12" t="s">
        <v>2915</v>
      </c>
      <c r="AD601" s="26"/>
      <c r="AE601" s="29" t="s">
        <v>1130</v>
      </c>
      <c r="AF601" s="26"/>
      <c r="AG601" s="26"/>
    </row>
    <row r="602" spans="1:33" s="206" customFormat="1" ht="30" x14ac:dyDescent="0.25">
      <c r="A602" s="4"/>
      <c r="B602" s="4">
        <v>45840</v>
      </c>
      <c r="C602" s="6" t="s">
        <v>1683</v>
      </c>
      <c r="D602" s="224" t="s">
        <v>3438</v>
      </c>
      <c r="E602" s="1" t="s">
        <v>2235</v>
      </c>
      <c r="F602" s="102" t="s">
        <v>1058</v>
      </c>
      <c r="G602" s="1" t="s">
        <v>1225</v>
      </c>
      <c r="H602" s="8">
        <v>1</v>
      </c>
      <c r="I602" s="8"/>
      <c r="J602" s="115">
        <f>Table224[[#This Row],[Qty]]-Table224[[#This Row],[Issue Qty]]</f>
        <v>1</v>
      </c>
      <c r="K602" s="195"/>
      <c r="L602" s="195" t="s">
        <v>3480</v>
      </c>
      <c r="M602" s="5">
        <v>1191</v>
      </c>
      <c r="N602" s="5">
        <f t="shared" si="30"/>
        <v>1191</v>
      </c>
      <c r="O602" s="82">
        <v>0.05</v>
      </c>
      <c r="P602" s="9">
        <f t="shared" si="31"/>
        <v>59.550000000000004</v>
      </c>
      <c r="Q602" s="5">
        <v>120.36</v>
      </c>
      <c r="R602" s="5"/>
      <c r="S602" s="5">
        <f t="shared" si="32"/>
        <v>1370.9099999999999</v>
      </c>
      <c r="T602" s="1" t="s">
        <v>1226</v>
      </c>
      <c r="U602" s="1" t="s">
        <v>1226</v>
      </c>
      <c r="V602" s="1" t="s">
        <v>1060</v>
      </c>
      <c r="W602" s="1" t="s">
        <v>2356</v>
      </c>
      <c r="X602" s="1"/>
      <c r="Y602" s="26"/>
      <c r="Z602" s="21" t="s">
        <v>1624</v>
      </c>
      <c r="AA602" s="204"/>
      <c r="AB602" s="21"/>
      <c r="AC602" s="12"/>
      <c r="AD602" s="26"/>
      <c r="AE602" s="29" t="s">
        <v>1061</v>
      </c>
      <c r="AF602" s="26"/>
      <c r="AG602" s="26"/>
    </row>
    <row r="603" spans="1:33" s="206" customFormat="1" x14ac:dyDescent="0.25">
      <c r="A603" s="4"/>
      <c r="B603" s="4">
        <v>45840</v>
      </c>
      <c r="C603" s="6" t="s">
        <v>1730</v>
      </c>
      <c r="D603" s="224" t="s">
        <v>3590</v>
      </c>
      <c r="E603" s="26" t="s">
        <v>2357</v>
      </c>
      <c r="F603" s="231" t="s">
        <v>1228</v>
      </c>
      <c r="G603" s="1" t="s">
        <v>1229</v>
      </c>
      <c r="H603" s="8">
        <v>1</v>
      </c>
      <c r="I603" s="8">
        <v>1</v>
      </c>
      <c r="J603" s="115">
        <f>Table224[[#This Row],[Qty]]-Table224[[#This Row],[Issue Qty]]</f>
        <v>0</v>
      </c>
      <c r="K603" s="195"/>
      <c r="L603" s="195" t="s">
        <v>3480</v>
      </c>
      <c r="M603" s="5">
        <v>19000</v>
      </c>
      <c r="N603" s="5">
        <f t="shared" si="30"/>
        <v>19000</v>
      </c>
      <c r="O603" s="82">
        <v>0.18</v>
      </c>
      <c r="P603" s="9">
        <f t="shared" si="31"/>
        <v>3420</v>
      </c>
      <c r="Q603" s="5">
        <v>0</v>
      </c>
      <c r="R603" s="5"/>
      <c r="S603" s="5">
        <f t="shared" si="32"/>
        <v>22420</v>
      </c>
      <c r="T603" s="1" t="s">
        <v>1230</v>
      </c>
      <c r="U603" s="1" t="s">
        <v>1230</v>
      </c>
      <c r="V603" s="1" t="s">
        <v>1231</v>
      </c>
      <c r="W603" s="1" t="s">
        <v>2358</v>
      </c>
      <c r="X603" s="1"/>
      <c r="Y603" s="1"/>
      <c r="Z603" s="21"/>
      <c r="AA603" s="8"/>
      <c r="AB603" s="8">
        <v>1</v>
      </c>
      <c r="AC603" s="22" t="s">
        <v>474</v>
      </c>
      <c r="AD603" s="1"/>
      <c r="AE603" s="29"/>
      <c r="AF603" s="1"/>
      <c r="AG603" s="26"/>
    </row>
    <row r="604" spans="1:33" s="206" customFormat="1" x14ac:dyDescent="0.25">
      <c r="A604" s="4"/>
      <c r="B604" s="4">
        <v>45840</v>
      </c>
      <c r="C604" s="6" t="s">
        <v>1730</v>
      </c>
      <c r="D604" s="6" t="s">
        <v>3589</v>
      </c>
      <c r="E604" s="26" t="s">
        <v>2359</v>
      </c>
      <c r="F604" s="233" t="s">
        <v>1232</v>
      </c>
      <c r="G604" s="1" t="s">
        <v>1232</v>
      </c>
      <c r="H604" s="8">
        <v>3</v>
      </c>
      <c r="I604" s="8">
        <v>2</v>
      </c>
      <c r="J604" s="115">
        <f>Table224[[#This Row],[Qty]]-Table224[[#This Row],[Issue Qty]]</f>
        <v>1</v>
      </c>
      <c r="K604" s="195"/>
      <c r="L604" s="195" t="s">
        <v>3486</v>
      </c>
      <c r="M604" s="5">
        <v>189.52</v>
      </c>
      <c r="N604" s="5">
        <f t="shared" si="30"/>
        <v>568.56000000000006</v>
      </c>
      <c r="O604" s="82">
        <v>0.05</v>
      </c>
      <c r="P604" s="9">
        <f t="shared" si="31"/>
        <v>28.428000000000004</v>
      </c>
      <c r="Q604" s="5">
        <v>99</v>
      </c>
      <c r="R604" s="5"/>
      <c r="S604" s="5">
        <f t="shared" si="32"/>
        <v>695.98800000000006</v>
      </c>
      <c r="T604" s="1" t="s">
        <v>980</v>
      </c>
      <c r="U604" s="1" t="s">
        <v>980</v>
      </c>
      <c r="V604" s="1" t="s">
        <v>1233</v>
      </c>
      <c r="W604" s="1" t="s">
        <v>2360</v>
      </c>
      <c r="X604" s="1"/>
      <c r="Y604" s="1"/>
      <c r="Z604" s="21" t="s">
        <v>420</v>
      </c>
      <c r="AA604" s="8" t="s">
        <v>1341</v>
      </c>
      <c r="AB604" s="8">
        <v>2</v>
      </c>
      <c r="AC604" s="22" t="s">
        <v>1125</v>
      </c>
      <c r="AD604" s="1"/>
      <c r="AE604" s="29"/>
      <c r="AF604" s="1"/>
      <c r="AG604" s="26"/>
    </row>
    <row r="605" spans="1:33" s="206" customFormat="1" x14ac:dyDescent="0.25">
      <c r="A605" s="4"/>
      <c r="B605" s="4">
        <v>45841</v>
      </c>
      <c r="C605" s="6" t="s">
        <v>1730</v>
      </c>
      <c r="D605" s="6" t="s">
        <v>3666</v>
      </c>
      <c r="E605" s="1" t="s">
        <v>37</v>
      </c>
      <c r="F605" s="102" t="s">
        <v>1248</v>
      </c>
      <c r="G605" s="1" t="s">
        <v>1248</v>
      </c>
      <c r="H605" s="8">
        <v>2</v>
      </c>
      <c r="I605" s="8"/>
      <c r="J605" s="115">
        <f>Table224[[#This Row],[Qty]]-Table224[[#This Row],[Issue Qty]]</f>
        <v>2</v>
      </c>
      <c r="K605" s="195"/>
      <c r="L605" s="195" t="s">
        <v>3480</v>
      </c>
      <c r="M605" s="5">
        <v>60</v>
      </c>
      <c r="N605" s="5">
        <f t="shared" si="30"/>
        <v>120</v>
      </c>
      <c r="O605" s="82">
        <v>0.05</v>
      </c>
      <c r="P605" s="9">
        <f t="shared" si="31"/>
        <v>6</v>
      </c>
      <c r="Q605" s="5">
        <v>0</v>
      </c>
      <c r="R605" s="5"/>
      <c r="S605" s="5">
        <f t="shared" si="32"/>
        <v>126</v>
      </c>
      <c r="T605" s="1" t="s">
        <v>907</v>
      </c>
      <c r="U605" s="1" t="s">
        <v>907</v>
      </c>
      <c r="V605" s="1" t="s">
        <v>444</v>
      </c>
      <c r="W605" s="1" t="s">
        <v>2361</v>
      </c>
      <c r="X605" s="1"/>
      <c r="Y605" s="26"/>
      <c r="Z605" s="21"/>
      <c r="AA605" s="204"/>
      <c r="AB605" s="21">
        <v>2</v>
      </c>
      <c r="AC605" s="12" t="s">
        <v>936</v>
      </c>
      <c r="AD605" s="26"/>
      <c r="AE605" s="29"/>
      <c r="AF605" s="26"/>
      <c r="AG605" s="26"/>
    </row>
    <row r="606" spans="1:33" s="206" customFormat="1" x14ac:dyDescent="0.25">
      <c r="A606" s="4"/>
      <c r="B606" s="4">
        <v>45841</v>
      </c>
      <c r="C606" s="1" t="s">
        <v>54</v>
      </c>
      <c r="D606" s="224" t="s">
        <v>3587</v>
      </c>
      <c r="E606" s="1" t="s">
        <v>2366</v>
      </c>
      <c r="F606" s="102" t="s">
        <v>1242</v>
      </c>
      <c r="G606" s="1" t="s">
        <v>1243</v>
      </c>
      <c r="H606" s="8">
        <v>5</v>
      </c>
      <c r="I606" s="8">
        <v>5</v>
      </c>
      <c r="J606" s="115">
        <f>Table224[[#This Row],[Qty]]-Table224[[#This Row],[Issue Qty]]</f>
        <v>0</v>
      </c>
      <c r="K606" s="195"/>
      <c r="L606" s="195" t="s">
        <v>3480</v>
      </c>
      <c r="M606" s="5">
        <v>3486</v>
      </c>
      <c r="N606" s="5">
        <f t="shared" si="30"/>
        <v>17430</v>
      </c>
      <c r="O606" s="82">
        <v>0.18</v>
      </c>
      <c r="P606" s="9">
        <f t="shared" si="31"/>
        <v>3137.4</v>
      </c>
      <c r="Q606" s="5">
        <v>0</v>
      </c>
      <c r="R606" s="5"/>
      <c r="S606" s="5">
        <f t="shared" si="32"/>
        <v>20567.400000000001</v>
      </c>
      <c r="T606" s="1" t="s">
        <v>980</v>
      </c>
      <c r="U606" s="1" t="s">
        <v>980</v>
      </c>
      <c r="V606" s="1" t="s">
        <v>730</v>
      </c>
      <c r="W606" s="1" t="s">
        <v>2367</v>
      </c>
      <c r="X606" s="1"/>
      <c r="Y606" s="26"/>
      <c r="Z606" s="21"/>
      <c r="AA606" s="204"/>
      <c r="AB606" s="21">
        <v>5</v>
      </c>
      <c r="AC606" s="12" t="s">
        <v>1125</v>
      </c>
      <c r="AD606" s="26"/>
      <c r="AE606" s="29"/>
      <c r="AF606" s="26"/>
      <c r="AG606" s="26"/>
    </row>
    <row r="607" spans="1:33" s="206" customFormat="1" x14ac:dyDescent="0.25">
      <c r="A607" s="4"/>
      <c r="B607" s="4">
        <v>45841</v>
      </c>
      <c r="C607" s="1" t="s">
        <v>54</v>
      </c>
      <c r="D607" s="224" t="s">
        <v>3587</v>
      </c>
      <c r="E607" s="1" t="s">
        <v>2368</v>
      </c>
      <c r="F607" s="102" t="s">
        <v>1244</v>
      </c>
      <c r="G607" s="1" t="s">
        <v>1245</v>
      </c>
      <c r="H607" s="8">
        <v>5</v>
      </c>
      <c r="I607" s="8">
        <v>5</v>
      </c>
      <c r="J607" s="115">
        <f>Table224[[#This Row],[Qty]]-Table224[[#This Row],[Issue Qty]]</f>
        <v>0</v>
      </c>
      <c r="K607" s="195"/>
      <c r="L607" s="195" t="s">
        <v>3480</v>
      </c>
      <c r="M607" s="5">
        <v>2324</v>
      </c>
      <c r="N607" s="5">
        <f t="shared" si="30"/>
        <v>11620</v>
      </c>
      <c r="O607" s="82">
        <v>0.18</v>
      </c>
      <c r="P607" s="9">
        <f t="shared" si="31"/>
        <v>2091.6</v>
      </c>
      <c r="Q607" s="5">
        <v>0</v>
      </c>
      <c r="R607" s="5"/>
      <c r="S607" s="5">
        <f t="shared" si="32"/>
        <v>13711.6</v>
      </c>
      <c r="T607" s="1" t="s">
        <v>980</v>
      </c>
      <c r="U607" s="1" t="s">
        <v>980</v>
      </c>
      <c r="V607" s="1" t="s">
        <v>730</v>
      </c>
      <c r="W607" s="1" t="s">
        <v>2367</v>
      </c>
      <c r="X607" s="1"/>
      <c r="Y607" s="26"/>
      <c r="Z607" s="21"/>
      <c r="AA607" s="204"/>
      <c r="AB607" s="21">
        <v>5</v>
      </c>
      <c r="AC607" s="12" t="s">
        <v>1125</v>
      </c>
      <c r="AD607" s="26"/>
      <c r="AE607" s="29"/>
      <c r="AF607" s="26"/>
      <c r="AG607" s="26"/>
    </row>
    <row r="608" spans="1:33" s="206" customFormat="1" x14ac:dyDescent="0.25">
      <c r="A608" s="4"/>
      <c r="B608" s="4">
        <v>45841</v>
      </c>
      <c r="C608" s="1" t="s">
        <v>54</v>
      </c>
      <c r="D608" s="224" t="s">
        <v>3587</v>
      </c>
      <c r="E608" s="1" t="s">
        <v>2369</v>
      </c>
      <c r="F608" s="102" t="s">
        <v>1246</v>
      </c>
      <c r="G608" s="1" t="s">
        <v>1247</v>
      </c>
      <c r="H608" s="8">
        <v>5</v>
      </c>
      <c r="I608" s="8">
        <v>5</v>
      </c>
      <c r="J608" s="115">
        <f>Table224[[#This Row],[Qty]]-Table224[[#This Row],[Issue Qty]]</f>
        <v>0</v>
      </c>
      <c r="K608" s="195"/>
      <c r="L608" s="195" t="s">
        <v>3480</v>
      </c>
      <c r="M608" s="5">
        <v>4648</v>
      </c>
      <c r="N608" s="5">
        <f t="shared" si="30"/>
        <v>23240</v>
      </c>
      <c r="O608" s="82">
        <v>0.18</v>
      </c>
      <c r="P608" s="9">
        <f t="shared" si="31"/>
        <v>4183.2</v>
      </c>
      <c r="Q608" s="5">
        <v>0</v>
      </c>
      <c r="R608" s="5"/>
      <c r="S608" s="5">
        <f t="shared" si="32"/>
        <v>27423.200000000001</v>
      </c>
      <c r="T608" s="1" t="s">
        <v>980</v>
      </c>
      <c r="U608" s="1" t="s">
        <v>980</v>
      </c>
      <c r="V608" s="1" t="s">
        <v>730</v>
      </c>
      <c r="W608" s="1" t="s">
        <v>2367</v>
      </c>
      <c r="X608" s="1"/>
      <c r="Y608" s="26"/>
      <c r="Z608" s="21"/>
      <c r="AA608" s="204"/>
      <c r="AB608" s="21">
        <v>5</v>
      </c>
      <c r="AC608" s="12" t="s">
        <v>1125</v>
      </c>
      <c r="AD608" s="26"/>
      <c r="AE608" s="29"/>
      <c r="AF608" s="26"/>
      <c r="AG608" s="26"/>
    </row>
    <row r="609" spans="1:33" s="206" customFormat="1" x14ac:dyDescent="0.25">
      <c r="A609" s="4"/>
      <c r="B609" s="4">
        <v>45841</v>
      </c>
      <c r="C609" s="1" t="s">
        <v>54</v>
      </c>
      <c r="D609" s="23" t="s">
        <v>3500</v>
      </c>
      <c r="E609" s="1" t="s">
        <v>1871</v>
      </c>
      <c r="F609" s="236" t="s">
        <v>452</v>
      </c>
      <c r="G609" s="1" t="s">
        <v>1236</v>
      </c>
      <c r="H609" s="8">
        <v>4</v>
      </c>
      <c r="I609" s="8">
        <v>4</v>
      </c>
      <c r="J609" s="115">
        <f>Table224[[#This Row],[Qty]]-Table224[[#This Row],[Issue Qty]]</f>
        <v>0</v>
      </c>
      <c r="K609" s="332">
        <v>2</v>
      </c>
      <c r="L609" s="195" t="s">
        <v>3480</v>
      </c>
      <c r="M609" s="5">
        <v>850</v>
      </c>
      <c r="N609" s="5">
        <f t="shared" si="30"/>
        <v>3400</v>
      </c>
      <c r="O609" s="82">
        <v>0.05</v>
      </c>
      <c r="P609" s="9">
        <f t="shared" si="31"/>
        <v>170</v>
      </c>
      <c r="Q609" s="5">
        <v>0</v>
      </c>
      <c r="R609" s="5"/>
      <c r="S609" s="5">
        <f t="shared" si="32"/>
        <v>3570</v>
      </c>
      <c r="T609" s="1" t="s">
        <v>907</v>
      </c>
      <c r="U609" s="1" t="s">
        <v>907</v>
      </c>
      <c r="V609" s="1" t="s">
        <v>444</v>
      </c>
      <c r="W609" s="1" t="s">
        <v>2361</v>
      </c>
      <c r="X609" s="1"/>
      <c r="Y609" s="26"/>
      <c r="Z609" s="21"/>
      <c r="AA609" s="204"/>
      <c r="AB609" s="21">
        <v>4</v>
      </c>
      <c r="AC609" s="12" t="s">
        <v>3825</v>
      </c>
      <c r="AD609" s="26"/>
      <c r="AE609" s="29" t="s">
        <v>1237</v>
      </c>
      <c r="AF609" s="26"/>
      <c r="AG609" s="26"/>
    </row>
    <row r="610" spans="1:33" s="206" customFormat="1" x14ac:dyDescent="0.25">
      <c r="A610" s="4"/>
      <c r="B610" s="4">
        <v>45841</v>
      </c>
      <c r="C610" s="1" t="s">
        <v>54</v>
      </c>
      <c r="D610" s="23" t="s">
        <v>3500</v>
      </c>
      <c r="E610" s="1" t="s">
        <v>2362</v>
      </c>
      <c r="F610" s="236" t="s">
        <v>1238</v>
      </c>
      <c r="G610" s="1" t="s">
        <v>1239</v>
      </c>
      <c r="H610" s="8">
        <v>2</v>
      </c>
      <c r="I610" s="8">
        <v>2</v>
      </c>
      <c r="J610" s="115">
        <f>Table224[[#This Row],[Qty]]-Table224[[#This Row],[Issue Qty]]</f>
        <v>0</v>
      </c>
      <c r="K610" s="332">
        <v>2</v>
      </c>
      <c r="L610" s="195" t="s">
        <v>3480</v>
      </c>
      <c r="M610" s="5">
        <v>1595</v>
      </c>
      <c r="N610" s="5">
        <f t="shared" si="30"/>
        <v>3190</v>
      </c>
      <c r="O610" s="82">
        <v>0.05</v>
      </c>
      <c r="P610" s="9">
        <f t="shared" si="31"/>
        <v>159.5</v>
      </c>
      <c r="Q610" s="5">
        <v>0</v>
      </c>
      <c r="R610" s="5"/>
      <c r="S610" s="5">
        <f t="shared" si="32"/>
        <v>3349.5</v>
      </c>
      <c r="T610" s="1" t="s">
        <v>907</v>
      </c>
      <c r="U610" s="1" t="s">
        <v>907</v>
      </c>
      <c r="V610" s="1" t="s">
        <v>444</v>
      </c>
      <c r="W610" s="1" t="s">
        <v>2361</v>
      </c>
      <c r="X610" s="1"/>
      <c r="Y610" s="26"/>
      <c r="Z610" s="21"/>
      <c r="AA610" s="204"/>
      <c r="AB610" s="21">
        <v>2</v>
      </c>
      <c r="AC610" s="12" t="s">
        <v>3826</v>
      </c>
      <c r="AD610" s="26"/>
      <c r="AE610" s="29"/>
      <c r="AF610" s="26"/>
      <c r="AG610" s="26"/>
    </row>
    <row r="611" spans="1:33" s="206" customFormat="1" x14ac:dyDescent="0.25">
      <c r="A611" s="4"/>
      <c r="B611" s="4">
        <v>45841</v>
      </c>
      <c r="C611" s="1" t="s">
        <v>1991</v>
      </c>
      <c r="D611" s="224" t="s">
        <v>3490</v>
      </c>
      <c r="E611" s="26" t="s">
        <v>1890</v>
      </c>
      <c r="F611" s="233" t="s">
        <v>498</v>
      </c>
      <c r="G611" s="1" t="s">
        <v>1234</v>
      </c>
      <c r="H611" s="8">
        <v>1</v>
      </c>
      <c r="I611" s="8">
        <v>1</v>
      </c>
      <c r="J611" s="115">
        <f>Table224[[#This Row],[Qty]]-Table224[[#This Row],[Issue Qty]]</f>
        <v>0</v>
      </c>
      <c r="K611" s="195"/>
      <c r="L611" s="195" t="s">
        <v>3480</v>
      </c>
      <c r="M611" s="5">
        <v>21000</v>
      </c>
      <c r="N611" s="5">
        <f t="shared" si="30"/>
        <v>21000</v>
      </c>
      <c r="O611" s="82">
        <v>0.05</v>
      </c>
      <c r="P611" s="9">
        <f t="shared" si="31"/>
        <v>1050</v>
      </c>
      <c r="Q611" s="5">
        <v>0</v>
      </c>
      <c r="R611" s="5"/>
      <c r="S611" s="5">
        <f t="shared" si="32"/>
        <v>22050</v>
      </c>
      <c r="T611" s="1" t="s">
        <v>907</v>
      </c>
      <c r="U611" s="1" t="s">
        <v>907</v>
      </c>
      <c r="V611" s="1" t="s">
        <v>444</v>
      </c>
      <c r="W611" s="1" t="s">
        <v>2361</v>
      </c>
      <c r="X611" s="1"/>
      <c r="Y611" s="1"/>
      <c r="Z611" s="21" t="s">
        <v>52</v>
      </c>
      <c r="AA611" s="21"/>
      <c r="AB611" s="8">
        <v>1</v>
      </c>
      <c r="AC611" s="22" t="s">
        <v>936</v>
      </c>
      <c r="AD611" s="1"/>
      <c r="AE611" s="23"/>
      <c r="AF611" s="1"/>
      <c r="AG611" s="26"/>
    </row>
    <row r="612" spans="1:33" s="206" customFormat="1" x14ac:dyDescent="0.25">
      <c r="A612" s="4"/>
      <c r="B612" s="4">
        <v>45841</v>
      </c>
      <c r="C612" s="6" t="s">
        <v>1683</v>
      </c>
      <c r="D612" s="224" t="s">
        <v>3431</v>
      </c>
      <c r="E612" s="1" t="s">
        <v>1898</v>
      </c>
      <c r="F612" s="102" t="s">
        <v>524</v>
      </c>
      <c r="G612" s="1" t="s">
        <v>1250</v>
      </c>
      <c r="H612" s="8">
        <v>1</v>
      </c>
      <c r="I612" s="8"/>
      <c r="J612" s="115">
        <f>Table224[[#This Row],[Qty]]-Table224[[#This Row],[Issue Qty]]</f>
        <v>1</v>
      </c>
      <c r="K612" s="195"/>
      <c r="L612" s="195" t="s">
        <v>3480</v>
      </c>
      <c r="M612" s="5">
        <v>12000</v>
      </c>
      <c r="N612" s="5">
        <f t="shared" si="30"/>
        <v>12000</v>
      </c>
      <c r="O612" s="82">
        <v>0.18</v>
      </c>
      <c r="P612" s="9">
        <f t="shared" si="31"/>
        <v>2160</v>
      </c>
      <c r="Q612" s="5">
        <v>0</v>
      </c>
      <c r="R612" s="5"/>
      <c r="S612" s="5">
        <f t="shared" si="32"/>
        <v>14160</v>
      </c>
      <c r="T612" s="1" t="s">
        <v>331</v>
      </c>
      <c r="U612" s="1" t="s">
        <v>331</v>
      </c>
      <c r="V612" s="1" t="s">
        <v>444</v>
      </c>
      <c r="W612" s="1" t="s">
        <v>2370</v>
      </c>
      <c r="X612" s="1"/>
      <c r="Y612" s="26"/>
      <c r="Z612" s="21" t="s">
        <v>64</v>
      </c>
      <c r="AA612" s="21" t="s">
        <v>523</v>
      </c>
      <c r="AB612" s="21"/>
      <c r="AC612" s="59"/>
      <c r="AD612" s="26"/>
      <c r="AE612" s="29"/>
      <c r="AF612" s="26"/>
      <c r="AG612" s="26"/>
    </row>
    <row r="613" spans="1:33" s="206" customFormat="1" x14ac:dyDescent="0.25">
      <c r="A613" s="4"/>
      <c r="B613" s="4">
        <v>45841</v>
      </c>
      <c r="C613" s="6" t="s">
        <v>1683</v>
      </c>
      <c r="D613" s="224" t="s">
        <v>3431</v>
      </c>
      <c r="E613" s="1" t="s">
        <v>1897</v>
      </c>
      <c r="F613" s="102" t="s">
        <v>521</v>
      </c>
      <c r="G613" s="1" t="s">
        <v>521</v>
      </c>
      <c r="H613" s="8">
        <v>1</v>
      </c>
      <c r="I613" s="8"/>
      <c r="J613" s="115">
        <f>Table224[[#This Row],[Qty]]-Table224[[#This Row],[Issue Qty]]</f>
        <v>1</v>
      </c>
      <c r="K613" s="195"/>
      <c r="L613" s="195" t="s">
        <v>3480</v>
      </c>
      <c r="M613" s="5">
        <v>12000</v>
      </c>
      <c r="N613" s="5">
        <f t="shared" si="30"/>
        <v>12000</v>
      </c>
      <c r="O613" s="82">
        <v>0.18</v>
      </c>
      <c r="P613" s="9">
        <f t="shared" si="31"/>
        <v>2160</v>
      </c>
      <c r="Q613" s="5">
        <v>0</v>
      </c>
      <c r="R613" s="5"/>
      <c r="S613" s="5">
        <f t="shared" si="32"/>
        <v>14160</v>
      </c>
      <c r="T613" s="1" t="s">
        <v>331</v>
      </c>
      <c r="U613" s="1" t="s">
        <v>331</v>
      </c>
      <c r="V613" s="1" t="s">
        <v>444</v>
      </c>
      <c r="W613" s="1" t="s">
        <v>2370</v>
      </c>
      <c r="X613" s="1"/>
      <c r="Y613" s="26"/>
      <c r="Z613" s="21" t="s">
        <v>64</v>
      </c>
      <c r="AA613" s="21" t="s">
        <v>523</v>
      </c>
      <c r="AB613" s="21"/>
      <c r="AC613" s="59"/>
      <c r="AD613" s="26"/>
      <c r="AE613" s="29"/>
      <c r="AF613" s="26"/>
      <c r="AG613" s="26"/>
    </row>
    <row r="614" spans="1:33" s="206" customFormat="1" x14ac:dyDescent="0.25">
      <c r="A614" s="4"/>
      <c r="B614" s="4">
        <v>45841</v>
      </c>
      <c r="C614" s="1" t="s">
        <v>54</v>
      </c>
      <c r="D614" s="224" t="s">
        <v>3494</v>
      </c>
      <c r="E614" s="1" t="s">
        <v>2363</v>
      </c>
      <c r="F614" s="236" t="s">
        <v>1240</v>
      </c>
      <c r="G614" s="1" t="s">
        <v>1240</v>
      </c>
      <c r="H614" s="8">
        <v>2</v>
      </c>
      <c r="I614" s="8">
        <v>2</v>
      </c>
      <c r="J614" s="115">
        <f>Table224[[#This Row],[Qty]]-Table224[[#This Row],[Issue Qty]]</f>
        <v>0</v>
      </c>
      <c r="K614" s="332">
        <v>2</v>
      </c>
      <c r="L614" s="195" t="s">
        <v>3480</v>
      </c>
      <c r="M614" s="5">
        <v>260</v>
      </c>
      <c r="N614" s="5">
        <f t="shared" si="30"/>
        <v>520</v>
      </c>
      <c r="O614" s="82">
        <v>0.18</v>
      </c>
      <c r="P614" s="9">
        <f t="shared" si="31"/>
        <v>93.6</v>
      </c>
      <c r="Q614" s="5">
        <v>0</v>
      </c>
      <c r="R614" s="5"/>
      <c r="S614" s="5">
        <f t="shared" si="32"/>
        <v>613.6</v>
      </c>
      <c r="T614" s="1" t="s">
        <v>726</v>
      </c>
      <c r="U614" s="1" t="s">
        <v>726</v>
      </c>
      <c r="V614" s="1" t="s">
        <v>829</v>
      </c>
      <c r="W614" s="1" t="s">
        <v>2364</v>
      </c>
      <c r="X614" s="1"/>
      <c r="Y614" s="26"/>
      <c r="Z614" s="21"/>
      <c r="AA614" s="204"/>
      <c r="AB614" s="21">
        <v>2</v>
      </c>
      <c r="AC614" s="12" t="s">
        <v>481</v>
      </c>
      <c r="AD614" s="26"/>
      <c r="AE614" s="29" t="s">
        <v>1214</v>
      </c>
      <c r="AF614" s="26"/>
      <c r="AG614" s="26"/>
    </row>
    <row r="615" spans="1:33" s="206" customFormat="1" x14ac:dyDescent="0.25">
      <c r="A615" s="4"/>
      <c r="B615" s="4">
        <v>45841</v>
      </c>
      <c r="C615" s="1" t="s">
        <v>54</v>
      </c>
      <c r="D615" s="224" t="s">
        <v>3495</v>
      </c>
      <c r="E615" s="1" t="s">
        <v>2166</v>
      </c>
      <c r="F615" s="102" t="s">
        <v>957</v>
      </c>
      <c r="G615" s="1" t="s">
        <v>1249</v>
      </c>
      <c r="H615" s="8">
        <v>1</v>
      </c>
      <c r="I615" s="8">
        <v>1</v>
      </c>
      <c r="J615" s="115">
        <f>Table224[[#This Row],[Qty]]-Table224[[#This Row],[Issue Qty]]</f>
        <v>0</v>
      </c>
      <c r="K615" s="195"/>
      <c r="L615" s="195" t="s">
        <v>3486</v>
      </c>
      <c r="M615" s="5">
        <v>283</v>
      </c>
      <c r="N615" s="5">
        <f t="shared" si="30"/>
        <v>283</v>
      </c>
      <c r="O615" s="82">
        <v>0.05</v>
      </c>
      <c r="P615" s="9">
        <f t="shared" si="31"/>
        <v>14.15</v>
      </c>
      <c r="Q615" s="5">
        <v>0</v>
      </c>
      <c r="R615" s="5"/>
      <c r="S615" s="5">
        <f t="shared" si="32"/>
        <v>297.14999999999998</v>
      </c>
      <c r="T615" s="1" t="s">
        <v>907</v>
      </c>
      <c r="U615" s="1" t="s">
        <v>907</v>
      </c>
      <c r="V615" s="1" t="s">
        <v>444</v>
      </c>
      <c r="W615" s="1" t="s">
        <v>2361</v>
      </c>
      <c r="X615" s="1"/>
      <c r="Y615" s="26"/>
      <c r="Z615" s="21" t="s">
        <v>3349</v>
      </c>
      <c r="AA615" s="204"/>
      <c r="AB615" s="21">
        <v>1</v>
      </c>
      <c r="AC615" s="12" t="s">
        <v>936</v>
      </c>
      <c r="AD615" s="26"/>
      <c r="AE615" s="29"/>
      <c r="AF615" s="26"/>
      <c r="AG615" s="26"/>
    </row>
    <row r="616" spans="1:33" s="206" customFormat="1" x14ac:dyDescent="0.25">
      <c r="A616" s="4"/>
      <c r="B616" s="4">
        <v>45841</v>
      </c>
      <c r="C616" s="1" t="s">
        <v>54</v>
      </c>
      <c r="D616" s="224" t="s">
        <v>3494</v>
      </c>
      <c r="E616" s="1" t="s">
        <v>2365</v>
      </c>
      <c r="F616" s="236" t="s">
        <v>1241</v>
      </c>
      <c r="G616" s="1" t="s">
        <v>1241</v>
      </c>
      <c r="H616" s="8">
        <v>2</v>
      </c>
      <c r="I616" s="8">
        <v>2</v>
      </c>
      <c r="J616" s="115">
        <f>Table224[[#This Row],[Qty]]-Table224[[#This Row],[Issue Qty]]</f>
        <v>0</v>
      </c>
      <c r="K616" s="332">
        <v>2</v>
      </c>
      <c r="L616" s="195" t="s">
        <v>3480</v>
      </c>
      <c r="M616" s="5">
        <v>260</v>
      </c>
      <c r="N616" s="5">
        <f t="shared" si="30"/>
        <v>520</v>
      </c>
      <c r="O616" s="82">
        <v>0.18</v>
      </c>
      <c r="P616" s="9">
        <f t="shared" si="31"/>
        <v>93.6</v>
      </c>
      <c r="Q616" s="5">
        <v>0</v>
      </c>
      <c r="R616" s="5"/>
      <c r="S616" s="5">
        <f t="shared" si="32"/>
        <v>613.6</v>
      </c>
      <c r="T616" s="1" t="s">
        <v>726</v>
      </c>
      <c r="U616" s="1" t="s">
        <v>726</v>
      </c>
      <c r="V616" s="1" t="s">
        <v>829</v>
      </c>
      <c r="W616" s="1" t="s">
        <v>2364</v>
      </c>
      <c r="X616" s="1"/>
      <c r="Y616" s="2"/>
      <c r="Z616" s="21" t="s">
        <v>650</v>
      </c>
      <c r="AA616" s="21"/>
      <c r="AB616" s="21">
        <v>2</v>
      </c>
      <c r="AC616" s="12" t="s">
        <v>481</v>
      </c>
      <c r="AD616" s="2"/>
      <c r="AE616" s="29" t="s">
        <v>1217</v>
      </c>
      <c r="AF616" s="2"/>
      <c r="AG616" s="26"/>
    </row>
    <row r="617" spans="1:33" s="206" customFormat="1" x14ac:dyDescent="0.25">
      <c r="A617" s="4"/>
      <c r="B617" s="4">
        <v>45842</v>
      </c>
      <c r="C617" s="6" t="s">
        <v>1683</v>
      </c>
      <c r="D617" s="224" t="s">
        <v>1663</v>
      </c>
      <c r="E617" s="1" t="s">
        <v>2371</v>
      </c>
      <c r="F617" s="232" t="s">
        <v>1251</v>
      </c>
      <c r="G617" s="1" t="s">
        <v>1252</v>
      </c>
      <c r="H617" s="8">
        <v>2</v>
      </c>
      <c r="I617" s="8"/>
      <c r="J617" s="115">
        <f>Table224[[#This Row],[Qty]]-Table224[[#This Row],[Issue Qty]]</f>
        <v>2</v>
      </c>
      <c r="K617" s="195"/>
      <c r="L617" s="195" t="s">
        <v>3480</v>
      </c>
      <c r="M617" s="5">
        <v>39600</v>
      </c>
      <c r="N617" s="5">
        <f t="shared" si="30"/>
        <v>79200</v>
      </c>
      <c r="O617" s="82">
        <v>0.18</v>
      </c>
      <c r="P617" s="9">
        <f t="shared" si="31"/>
        <v>14256</v>
      </c>
      <c r="Q617" s="5">
        <v>0</v>
      </c>
      <c r="R617" s="5"/>
      <c r="S617" s="5">
        <f t="shared" si="32"/>
        <v>93456</v>
      </c>
      <c r="T617" s="1" t="s">
        <v>1230</v>
      </c>
      <c r="U617" s="1" t="s">
        <v>1230</v>
      </c>
      <c r="V617" s="1" t="s">
        <v>896</v>
      </c>
      <c r="W617" s="1" t="s">
        <v>2372</v>
      </c>
      <c r="X617" s="1"/>
      <c r="Y617" s="2"/>
      <c r="Z617" s="21" t="s">
        <v>3365</v>
      </c>
      <c r="AA617" s="21"/>
      <c r="AB617" s="21"/>
      <c r="AC617" s="12"/>
      <c r="AD617" s="2"/>
      <c r="AE617" s="29" t="s">
        <v>1253</v>
      </c>
      <c r="AF617" s="2"/>
      <c r="AG617" s="26"/>
    </row>
    <row r="618" spans="1:33" s="206" customFormat="1" x14ac:dyDescent="0.25">
      <c r="A618" s="4"/>
      <c r="B618" s="4">
        <v>45842</v>
      </c>
      <c r="C618" s="6" t="s">
        <v>1683</v>
      </c>
      <c r="D618" s="224" t="s">
        <v>1663</v>
      </c>
      <c r="E618" s="1" t="s">
        <v>2371</v>
      </c>
      <c r="F618" s="232" t="s">
        <v>1251</v>
      </c>
      <c r="G618" s="1" t="s">
        <v>1252</v>
      </c>
      <c r="H618" s="8">
        <v>2</v>
      </c>
      <c r="I618" s="8"/>
      <c r="J618" s="115">
        <f>Table224[[#This Row],[Qty]]-Table224[[#This Row],[Issue Qty]]</f>
        <v>2</v>
      </c>
      <c r="K618" s="195"/>
      <c r="L618" s="195" t="s">
        <v>3480</v>
      </c>
      <c r="M618" s="5">
        <v>39600</v>
      </c>
      <c r="N618" s="5">
        <f t="shared" si="30"/>
        <v>79200</v>
      </c>
      <c r="O618" s="82">
        <v>0.18</v>
      </c>
      <c r="P618" s="9">
        <f t="shared" si="31"/>
        <v>14256</v>
      </c>
      <c r="Q618" s="5">
        <v>0</v>
      </c>
      <c r="R618" s="5"/>
      <c r="S618" s="5">
        <f t="shared" si="32"/>
        <v>93456</v>
      </c>
      <c r="T618" s="1" t="s">
        <v>1230</v>
      </c>
      <c r="U618" s="1" t="s">
        <v>1230</v>
      </c>
      <c r="V618" s="1" t="s">
        <v>896</v>
      </c>
      <c r="W618" s="1" t="s">
        <v>2372</v>
      </c>
      <c r="X618" s="1"/>
      <c r="Y618" s="2"/>
      <c r="Z618" s="21" t="s">
        <v>3365</v>
      </c>
      <c r="AA618" s="21"/>
      <c r="AB618" s="21"/>
      <c r="AC618" s="12"/>
      <c r="AD618" s="2"/>
      <c r="AE618" s="29" t="s">
        <v>1253</v>
      </c>
      <c r="AF618" s="2"/>
      <c r="AG618" s="26"/>
    </row>
    <row r="619" spans="1:33" s="206" customFormat="1" ht="30" x14ac:dyDescent="0.25">
      <c r="A619" s="4"/>
      <c r="B619" s="4">
        <v>45842</v>
      </c>
      <c r="C619" s="6" t="s">
        <v>1683</v>
      </c>
      <c r="D619" s="224" t="s">
        <v>3487</v>
      </c>
      <c r="E619" s="1" t="s">
        <v>2373</v>
      </c>
      <c r="F619" s="102" t="s">
        <v>1254</v>
      </c>
      <c r="G619" s="1" t="s">
        <v>1254</v>
      </c>
      <c r="H619" s="8">
        <v>7</v>
      </c>
      <c r="I619" s="8">
        <v>5</v>
      </c>
      <c r="J619" s="115">
        <f>Table224[[#This Row],[Qty]]-Table224[[#This Row],[Issue Qty]]</f>
        <v>2</v>
      </c>
      <c r="K619" s="195"/>
      <c r="L619" s="195" t="s">
        <v>3480</v>
      </c>
      <c r="M619" s="5">
        <v>171.42</v>
      </c>
      <c r="N619" s="5">
        <f t="shared" si="30"/>
        <v>1199.9399999999998</v>
      </c>
      <c r="O619" s="82">
        <v>0.05</v>
      </c>
      <c r="P619" s="9">
        <f t="shared" si="31"/>
        <v>59.996999999999993</v>
      </c>
      <c r="Q619" s="5">
        <v>177.06</v>
      </c>
      <c r="R619" s="5"/>
      <c r="S619" s="5">
        <f t="shared" si="32"/>
        <v>1436.9969999999998</v>
      </c>
      <c r="T619" s="1" t="s">
        <v>980</v>
      </c>
      <c r="U619" s="1" t="s">
        <v>980</v>
      </c>
      <c r="V619" s="1" t="s">
        <v>1255</v>
      </c>
      <c r="W619" s="1" t="s">
        <v>2374</v>
      </c>
      <c r="X619" s="1"/>
      <c r="Y619" s="1"/>
      <c r="Z619" s="21" t="s">
        <v>78</v>
      </c>
      <c r="AA619" s="8"/>
      <c r="AB619" s="8">
        <v>5</v>
      </c>
      <c r="AC619" s="22" t="s">
        <v>1125</v>
      </c>
      <c r="AD619" s="1"/>
      <c r="AE619" s="29" t="s">
        <v>1085</v>
      </c>
      <c r="AF619" s="1"/>
      <c r="AG619" s="26"/>
    </row>
    <row r="620" spans="1:33" s="206" customFormat="1" ht="30" x14ac:dyDescent="0.25">
      <c r="A620" s="4"/>
      <c r="B620" s="4">
        <v>45842</v>
      </c>
      <c r="C620" s="6" t="s">
        <v>1683</v>
      </c>
      <c r="D620" s="224" t="s">
        <v>3438</v>
      </c>
      <c r="E620" s="1" t="s">
        <v>2234</v>
      </c>
      <c r="F620" s="102" t="s">
        <v>1054</v>
      </c>
      <c r="G620" s="1" t="s">
        <v>1054</v>
      </c>
      <c r="H620" s="8">
        <v>1</v>
      </c>
      <c r="I620" s="8">
        <v>1</v>
      </c>
      <c r="J620" s="115">
        <f>Table224[[#This Row],[Qty]]-Table224[[#This Row],[Issue Qty]]</f>
        <v>0</v>
      </c>
      <c r="K620" s="195"/>
      <c r="L620" s="195" t="s">
        <v>3480</v>
      </c>
      <c r="M620" s="5">
        <v>1038.1400000000001</v>
      </c>
      <c r="N620" s="5">
        <f t="shared" si="30"/>
        <v>1038.1400000000001</v>
      </c>
      <c r="O620" s="82">
        <v>0.18</v>
      </c>
      <c r="P620" s="9">
        <f t="shared" si="31"/>
        <v>186.86520000000002</v>
      </c>
      <c r="Q620" s="5">
        <v>210.84</v>
      </c>
      <c r="R620" s="5"/>
      <c r="S620" s="5">
        <f t="shared" si="32"/>
        <v>1435.8452</v>
      </c>
      <c r="T620" s="1" t="s">
        <v>1226</v>
      </c>
      <c r="U620" s="1" t="s">
        <v>1226</v>
      </c>
      <c r="V620" s="1" t="s">
        <v>1256</v>
      </c>
      <c r="W620" s="1" t="s">
        <v>2375</v>
      </c>
      <c r="X620" s="1"/>
      <c r="Y620" s="2"/>
      <c r="Z620" s="21" t="s">
        <v>1624</v>
      </c>
      <c r="AA620" s="21"/>
      <c r="AB620" s="21"/>
      <c r="AC620" s="12"/>
      <c r="AD620" s="2"/>
      <c r="AE620" s="29" t="s">
        <v>1257</v>
      </c>
      <c r="AF620" s="2"/>
      <c r="AG620" s="26"/>
    </row>
    <row r="621" spans="1:33" s="206" customFormat="1" x14ac:dyDescent="0.25">
      <c r="A621" s="4"/>
      <c r="B621" s="4">
        <v>45842</v>
      </c>
      <c r="C621" s="6" t="s">
        <v>1730</v>
      </c>
      <c r="D621" s="224" t="s">
        <v>3495</v>
      </c>
      <c r="E621" s="26" t="s">
        <v>2376</v>
      </c>
      <c r="F621" s="233" t="s">
        <v>1258</v>
      </c>
      <c r="G621" s="1" t="s">
        <v>1259</v>
      </c>
      <c r="H621" s="8">
        <v>1</v>
      </c>
      <c r="I621" s="8"/>
      <c r="J621" s="115">
        <f>Table224[[#This Row],[Qty]]-Table224[[#This Row],[Issue Qty]]</f>
        <v>1</v>
      </c>
      <c r="K621" s="195"/>
      <c r="L621" s="195" t="s">
        <v>3486</v>
      </c>
      <c r="M621" s="5">
        <f>25.42*20</f>
        <v>508.40000000000003</v>
      </c>
      <c r="N621" s="5">
        <f t="shared" si="30"/>
        <v>508.40000000000003</v>
      </c>
      <c r="O621" s="82">
        <v>0.18</v>
      </c>
      <c r="P621" s="9">
        <f t="shared" si="31"/>
        <v>91.512</v>
      </c>
      <c r="Q621" s="5">
        <v>0</v>
      </c>
      <c r="R621" s="5"/>
      <c r="S621" s="5">
        <f t="shared" si="32"/>
        <v>599.91200000000003</v>
      </c>
      <c r="T621" s="1" t="s">
        <v>980</v>
      </c>
      <c r="U621" s="1" t="s">
        <v>980</v>
      </c>
      <c r="V621" s="1" t="s">
        <v>1260</v>
      </c>
      <c r="W621" s="1" t="s">
        <v>2377</v>
      </c>
      <c r="X621" s="1"/>
      <c r="Y621" s="1"/>
      <c r="Z621" s="21"/>
      <c r="AA621" s="8"/>
      <c r="AB621" s="8">
        <v>1</v>
      </c>
      <c r="AC621" s="22" t="s">
        <v>1125</v>
      </c>
      <c r="AD621" s="1"/>
      <c r="AE621" s="29"/>
      <c r="AF621" s="1"/>
      <c r="AG621" s="26"/>
    </row>
    <row r="622" spans="1:33" s="206" customFormat="1" x14ac:dyDescent="0.25">
      <c r="A622" s="4"/>
      <c r="B622" s="4">
        <v>45842</v>
      </c>
      <c r="C622" s="6" t="s">
        <v>1730</v>
      </c>
      <c r="D622" s="224" t="s">
        <v>3495</v>
      </c>
      <c r="E622" s="26" t="s">
        <v>2378</v>
      </c>
      <c r="F622" s="233" t="s">
        <v>1261</v>
      </c>
      <c r="G622" s="1" t="s">
        <v>1262</v>
      </c>
      <c r="H622" s="8">
        <v>1</v>
      </c>
      <c r="I622" s="8"/>
      <c r="J622" s="115">
        <f>Table224[[#This Row],[Qty]]-Table224[[#This Row],[Issue Qty]]</f>
        <v>1</v>
      </c>
      <c r="K622" s="195"/>
      <c r="L622" s="195" t="s">
        <v>3486</v>
      </c>
      <c r="M622" s="5">
        <f>29.66*20</f>
        <v>593.20000000000005</v>
      </c>
      <c r="N622" s="5">
        <f t="shared" si="30"/>
        <v>593.20000000000005</v>
      </c>
      <c r="O622" s="82">
        <v>0.18</v>
      </c>
      <c r="P622" s="9">
        <f t="shared" si="31"/>
        <v>106.77600000000001</v>
      </c>
      <c r="Q622" s="5">
        <v>168.64</v>
      </c>
      <c r="R622" s="5"/>
      <c r="S622" s="5">
        <f t="shared" si="32"/>
        <v>868.6160000000001</v>
      </c>
      <c r="T622" s="1" t="s">
        <v>980</v>
      </c>
      <c r="U622" s="1" t="s">
        <v>980</v>
      </c>
      <c r="V622" s="1" t="s">
        <v>1260</v>
      </c>
      <c r="W622" s="1" t="s">
        <v>2377</v>
      </c>
      <c r="X622" s="1"/>
      <c r="Y622" s="1"/>
      <c r="Z622" s="21"/>
      <c r="AA622" s="8"/>
      <c r="AB622" s="8">
        <v>1</v>
      </c>
      <c r="AC622" s="22" t="s">
        <v>1125</v>
      </c>
      <c r="AD622" s="1"/>
      <c r="AE622" s="29"/>
      <c r="AF622" s="1"/>
      <c r="AG622" s="26"/>
    </row>
    <row r="623" spans="1:33" s="206" customFormat="1" x14ac:dyDescent="0.25">
      <c r="A623" s="4"/>
      <c r="B623" s="4">
        <v>45843</v>
      </c>
      <c r="C623" s="1" t="s">
        <v>2003</v>
      </c>
      <c r="D623" s="224" t="s">
        <v>3499</v>
      </c>
      <c r="E623" s="1" t="s">
        <v>2395</v>
      </c>
      <c r="F623" s="102" t="s">
        <v>1285</v>
      </c>
      <c r="G623" s="1" t="s">
        <v>1286</v>
      </c>
      <c r="H623" s="8">
        <v>1</v>
      </c>
      <c r="I623" s="8">
        <v>1</v>
      </c>
      <c r="J623" s="115">
        <f>Table224[[#This Row],[Qty]]-Table224[[#This Row],[Issue Qty]]</f>
        <v>0</v>
      </c>
      <c r="K623" s="195"/>
      <c r="L623" s="195" t="s">
        <v>3480</v>
      </c>
      <c r="M623" s="5">
        <v>1000</v>
      </c>
      <c r="N623" s="5">
        <f t="shared" si="30"/>
        <v>1000</v>
      </c>
      <c r="O623" s="82">
        <v>0.18</v>
      </c>
      <c r="P623" s="9">
        <f t="shared" si="31"/>
        <v>180</v>
      </c>
      <c r="Q623" s="5">
        <v>0</v>
      </c>
      <c r="R623" s="5"/>
      <c r="S623" s="5">
        <f t="shared" si="32"/>
        <v>1180</v>
      </c>
      <c r="T623" s="1" t="s">
        <v>1230</v>
      </c>
      <c r="U623" s="1" t="s">
        <v>1230</v>
      </c>
      <c r="V623" s="1" t="s">
        <v>1269</v>
      </c>
      <c r="W623" s="1" t="s">
        <v>2392</v>
      </c>
      <c r="X623" s="1"/>
      <c r="Y623" s="26"/>
      <c r="Z623" s="21"/>
      <c r="AA623" s="204"/>
      <c r="AB623" s="21">
        <v>1</v>
      </c>
      <c r="AC623" s="12" t="s">
        <v>1266</v>
      </c>
      <c r="AD623" s="26"/>
      <c r="AE623" s="29" t="s">
        <v>1281</v>
      </c>
      <c r="AF623" s="26"/>
      <c r="AG623" s="26"/>
    </row>
    <row r="624" spans="1:33" s="206" customFormat="1" x14ac:dyDescent="0.25">
      <c r="A624" s="4"/>
      <c r="B624" s="4">
        <v>45843</v>
      </c>
      <c r="C624" s="1" t="s">
        <v>2003</v>
      </c>
      <c r="D624" s="224" t="s">
        <v>3499</v>
      </c>
      <c r="E624" s="1" t="s">
        <v>2243</v>
      </c>
      <c r="F624" s="102" t="s">
        <v>1068</v>
      </c>
      <c r="G624" s="1" t="s">
        <v>1271</v>
      </c>
      <c r="H624" s="8">
        <v>1</v>
      </c>
      <c r="I624" s="8"/>
      <c r="J624" s="115">
        <f>Table224[[#This Row],[Qty]]-Table224[[#This Row],[Issue Qty]]</f>
        <v>1</v>
      </c>
      <c r="K624" s="195"/>
      <c r="L624" s="195" t="s">
        <v>3480</v>
      </c>
      <c r="M624" s="5">
        <v>10000</v>
      </c>
      <c r="N624" s="5">
        <f t="shared" si="30"/>
        <v>10000</v>
      </c>
      <c r="O624" s="82">
        <v>0.18</v>
      </c>
      <c r="P624" s="9">
        <f t="shared" si="31"/>
        <v>1800</v>
      </c>
      <c r="Q624" s="5">
        <v>590</v>
      </c>
      <c r="R624" s="5"/>
      <c r="S624" s="5">
        <f t="shared" si="32"/>
        <v>12390</v>
      </c>
      <c r="T624" s="1" t="s">
        <v>907</v>
      </c>
      <c r="U624" s="1" t="s">
        <v>907</v>
      </c>
      <c r="V624" s="1" t="s">
        <v>956</v>
      </c>
      <c r="W624" s="1" t="s">
        <v>2387</v>
      </c>
      <c r="X624" s="1"/>
      <c r="Y624" s="26"/>
      <c r="Z624" s="21" t="s">
        <v>3349</v>
      </c>
      <c r="AA624" s="204"/>
      <c r="AB624" s="21">
        <v>1</v>
      </c>
      <c r="AC624" s="12" t="s">
        <v>936</v>
      </c>
      <c r="AD624" s="26"/>
      <c r="AE624" s="29" t="s">
        <v>1271</v>
      </c>
      <c r="AF624" s="26"/>
      <c r="AG624" s="26"/>
    </row>
    <row r="625" spans="1:33" s="206" customFormat="1" x14ac:dyDescent="0.25">
      <c r="A625" s="4"/>
      <c r="B625" s="4">
        <v>45843</v>
      </c>
      <c r="C625" s="1" t="s">
        <v>54</v>
      </c>
      <c r="D625" s="224" t="s">
        <v>3489</v>
      </c>
      <c r="E625" s="1" t="s">
        <v>2388</v>
      </c>
      <c r="F625" s="102" t="s">
        <v>1272</v>
      </c>
      <c r="G625" s="1" t="s">
        <v>1272</v>
      </c>
      <c r="H625" s="8">
        <v>1</v>
      </c>
      <c r="I625" s="8">
        <v>1</v>
      </c>
      <c r="J625" s="115">
        <f>Table224[[#This Row],[Qty]]-Table224[[#This Row],[Issue Qty]]</f>
        <v>0</v>
      </c>
      <c r="K625" s="195"/>
      <c r="L625" s="195" t="s">
        <v>3480</v>
      </c>
      <c r="M625" s="5">
        <v>180</v>
      </c>
      <c r="N625" s="5">
        <f t="shared" si="30"/>
        <v>180</v>
      </c>
      <c r="O625" s="82">
        <v>0.18</v>
      </c>
      <c r="P625" s="9">
        <f t="shared" si="31"/>
        <v>32.4</v>
      </c>
      <c r="Q625" s="5">
        <v>0</v>
      </c>
      <c r="R625" s="5"/>
      <c r="S625" s="5">
        <f t="shared" si="32"/>
        <v>212.4</v>
      </c>
      <c r="T625" s="1" t="s">
        <v>1226</v>
      </c>
      <c r="U625" s="1" t="s">
        <v>1226</v>
      </c>
      <c r="V625" s="1" t="s">
        <v>358</v>
      </c>
      <c r="W625" s="1" t="s">
        <v>2389</v>
      </c>
      <c r="X625" s="1"/>
      <c r="Y625" s="26"/>
      <c r="Z625" s="21"/>
      <c r="AA625" s="204"/>
      <c r="AB625" s="21">
        <v>1</v>
      </c>
      <c r="AC625" s="12" t="s">
        <v>2915</v>
      </c>
      <c r="AD625" s="26"/>
      <c r="AE625" s="29" t="s">
        <v>1273</v>
      </c>
      <c r="AF625" s="26"/>
      <c r="AG625" s="26"/>
    </row>
    <row r="626" spans="1:33" s="206" customFormat="1" x14ac:dyDescent="0.25">
      <c r="A626" s="4"/>
      <c r="B626" s="4">
        <v>45843</v>
      </c>
      <c r="C626" s="1" t="s">
        <v>54</v>
      </c>
      <c r="D626" s="224" t="s">
        <v>3489</v>
      </c>
      <c r="E626" s="1" t="s">
        <v>2390</v>
      </c>
      <c r="F626" s="102" t="s">
        <v>1274</v>
      </c>
      <c r="G626" s="1" t="s">
        <v>1274</v>
      </c>
      <c r="H626" s="8">
        <v>1</v>
      </c>
      <c r="I626" s="8">
        <v>1</v>
      </c>
      <c r="J626" s="115">
        <f>Table224[[#This Row],[Qty]]-Table224[[#This Row],[Issue Qty]]</f>
        <v>0</v>
      </c>
      <c r="K626" s="195"/>
      <c r="L626" s="195" t="s">
        <v>3480</v>
      </c>
      <c r="M626" s="5">
        <v>54.6</v>
      </c>
      <c r="N626" s="5">
        <f t="shared" si="30"/>
        <v>54.6</v>
      </c>
      <c r="O626" s="82">
        <v>0.18</v>
      </c>
      <c r="P626" s="9">
        <f t="shared" si="31"/>
        <v>9.8279999999999994</v>
      </c>
      <c r="Q626" s="5">
        <v>0</v>
      </c>
      <c r="R626" s="5"/>
      <c r="S626" s="5">
        <f t="shared" si="32"/>
        <v>64.427999999999997</v>
      </c>
      <c r="T626" s="1" t="s">
        <v>1226</v>
      </c>
      <c r="U626" s="1" t="s">
        <v>1226</v>
      </c>
      <c r="V626" s="1" t="s">
        <v>358</v>
      </c>
      <c r="W626" s="1" t="s">
        <v>2389</v>
      </c>
      <c r="X626" s="1"/>
      <c r="Y626" s="26"/>
      <c r="Z626" s="21"/>
      <c r="AA626" s="204"/>
      <c r="AB626" s="21">
        <v>1</v>
      </c>
      <c r="AC626" s="12" t="s">
        <v>2915</v>
      </c>
      <c r="AD626" s="26"/>
      <c r="AE626" s="29" t="s">
        <v>1275</v>
      </c>
      <c r="AF626" s="26"/>
      <c r="AG626" s="2"/>
    </row>
    <row r="627" spans="1:33" s="206" customFormat="1" x14ac:dyDescent="0.25">
      <c r="A627" s="4"/>
      <c r="B627" s="4">
        <v>45843</v>
      </c>
      <c r="C627" s="1" t="s">
        <v>54</v>
      </c>
      <c r="D627" s="224" t="s">
        <v>3587</v>
      </c>
      <c r="E627" s="1" t="s">
        <v>2381</v>
      </c>
      <c r="F627" s="102" t="s">
        <v>1264</v>
      </c>
      <c r="G627" s="1" t="s">
        <v>1265</v>
      </c>
      <c r="H627" s="8">
        <v>1</v>
      </c>
      <c r="I627" s="8">
        <v>1</v>
      </c>
      <c r="J627" s="115">
        <f>Table224[[#This Row],[Qty]]-Table224[[#This Row],[Issue Qty]]</f>
        <v>0</v>
      </c>
      <c r="K627" s="195"/>
      <c r="L627" s="195" t="s">
        <v>3480</v>
      </c>
      <c r="M627" s="5">
        <v>9684</v>
      </c>
      <c r="N627" s="5">
        <f t="shared" ref="N627:N690" si="33">H627*M627</f>
        <v>9684</v>
      </c>
      <c r="O627" s="82">
        <v>0.18</v>
      </c>
      <c r="P627" s="9">
        <f t="shared" ref="P627:P690" si="34">N627*O627</f>
        <v>1743.12</v>
      </c>
      <c r="Q627" s="5">
        <v>0</v>
      </c>
      <c r="R627" s="5"/>
      <c r="S627" s="5">
        <f t="shared" ref="S627:S690" si="35">N627+P627+Q627+R627</f>
        <v>11427.119999999999</v>
      </c>
      <c r="T627" s="1" t="s">
        <v>1230</v>
      </c>
      <c r="U627" s="1" t="s">
        <v>1230</v>
      </c>
      <c r="V627" s="1" t="s">
        <v>730</v>
      </c>
      <c r="W627" s="1" t="s">
        <v>2382</v>
      </c>
      <c r="X627" s="1"/>
      <c r="Y627" s="26"/>
      <c r="Z627" s="21"/>
      <c r="AA627" s="204"/>
      <c r="AB627" s="21">
        <v>1</v>
      </c>
      <c r="AC627" s="12" t="s">
        <v>3639</v>
      </c>
      <c r="AD627" s="26"/>
      <c r="AE627" s="29"/>
      <c r="AF627" s="26"/>
      <c r="AG627" s="26"/>
    </row>
    <row r="628" spans="1:33" s="206" customFormat="1" x14ac:dyDescent="0.25">
      <c r="A628" s="4"/>
      <c r="B628" s="4">
        <v>45843</v>
      </c>
      <c r="C628" s="1" t="s">
        <v>54</v>
      </c>
      <c r="D628" s="224" t="s">
        <v>3489</v>
      </c>
      <c r="E628" s="1" t="s">
        <v>2267</v>
      </c>
      <c r="F628" s="102" t="s">
        <v>1105</v>
      </c>
      <c r="G628" s="1" t="s">
        <v>1276</v>
      </c>
      <c r="H628" s="8">
        <v>1</v>
      </c>
      <c r="I628" s="8">
        <v>1</v>
      </c>
      <c r="J628" s="115">
        <f>Table224[[#This Row],[Qty]]-Table224[[#This Row],[Issue Qty]]</f>
        <v>0</v>
      </c>
      <c r="K628" s="195"/>
      <c r="L628" s="195" t="s">
        <v>3480</v>
      </c>
      <c r="M628" s="5">
        <v>192</v>
      </c>
      <c r="N628" s="5">
        <f t="shared" si="33"/>
        <v>192</v>
      </c>
      <c r="O628" s="82">
        <v>0.18</v>
      </c>
      <c r="P628" s="9">
        <f t="shared" si="34"/>
        <v>34.56</v>
      </c>
      <c r="Q628" s="5">
        <v>0</v>
      </c>
      <c r="R628" s="5"/>
      <c r="S628" s="5">
        <f t="shared" si="35"/>
        <v>226.56</v>
      </c>
      <c r="T628" s="1" t="s">
        <v>1226</v>
      </c>
      <c r="U628" s="1" t="s">
        <v>1226</v>
      </c>
      <c r="V628" s="1" t="s">
        <v>358</v>
      </c>
      <c r="W628" s="1" t="s">
        <v>2389</v>
      </c>
      <c r="X628" s="1"/>
      <c r="Y628" s="26"/>
      <c r="Z628" s="21"/>
      <c r="AA628" s="204"/>
      <c r="AB628" s="21">
        <v>1</v>
      </c>
      <c r="AC628" s="12" t="s">
        <v>2915</v>
      </c>
      <c r="AD628" s="26"/>
      <c r="AE628" s="29" t="s">
        <v>1277</v>
      </c>
      <c r="AF628" s="26"/>
      <c r="AG628" s="26"/>
    </row>
    <row r="629" spans="1:33" s="24" customFormat="1" x14ac:dyDescent="0.25">
      <c r="A629" s="4"/>
      <c r="B629" s="4">
        <v>45843</v>
      </c>
      <c r="C629" s="1" t="s">
        <v>54</v>
      </c>
      <c r="D629" s="224" t="s">
        <v>3489</v>
      </c>
      <c r="E629" s="1" t="s">
        <v>2268</v>
      </c>
      <c r="F629" s="102" t="s">
        <v>1106</v>
      </c>
      <c r="G629" s="1" t="s">
        <v>1278</v>
      </c>
      <c r="H629" s="8">
        <v>1</v>
      </c>
      <c r="I629" s="8">
        <v>1</v>
      </c>
      <c r="J629" s="115">
        <f>Table224[[#This Row],[Qty]]-Table224[[#This Row],[Issue Qty]]</f>
        <v>0</v>
      </c>
      <c r="K629" s="195"/>
      <c r="L629" s="195" t="s">
        <v>3480</v>
      </c>
      <c r="M629" s="5">
        <v>192</v>
      </c>
      <c r="N629" s="5">
        <f t="shared" si="33"/>
        <v>192</v>
      </c>
      <c r="O629" s="82">
        <v>0.18</v>
      </c>
      <c r="P629" s="9">
        <f t="shared" si="34"/>
        <v>34.56</v>
      </c>
      <c r="Q629" s="5">
        <v>0</v>
      </c>
      <c r="R629" s="5"/>
      <c r="S629" s="5">
        <f t="shared" si="35"/>
        <v>226.56</v>
      </c>
      <c r="T629" s="1" t="s">
        <v>1226</v>
      </c>
      <c r="U629" s="1" t="s">
        <v>1226</v>
      </c>
      <c r="V629" s="1" t="s">
        <v>358</v>
      </c>
      <c r="W629" s="1" t="s">
        <v>2389</v>
      </c>
      <c r="X629" s="1"/>
      <c r="Y629" s="26"/>
      <c r="Z629" s="21"/>
      <c r="AA629" s="204"/>
      <c r="AB629" s="21">
        <v>1</v>
      </c>
      <c r="AC629" s="12" t="s">
        <v>2915</v>
      </c>
      <c r="AD629" s="26"/>
      <c r="AE629" s="29" t="s">
        <v>1279</v>
      </c>
      <c r="AF629" s="26"/>
      <c r="AG629" s="26"/>
    </row>
    <row r="630" spans="1:33" s="24" customFormat="1" x14ac:dyDescent="0.25">
      <c r="A630" s="4"/>
      <c r="B630" s="4">
        <v>45843</v>
      </c>
      <c r="C630" s="1" t="s">
        <v>2003</v>
      </c>
      <c r="D630" s="224" t="s">
        <v>3499</v>
      </c>
      <c r="E630" s="1" t="s">
        <v>2391</v>
      </c>
      <c r="F630" s="102" t="s">
        <v>1280</v>
      </c>
      <c r="G630" s="1" t="s">
        <v>1280</v>
      </c>
      <c r="H630" s="8">
        <v>1</v>
      </c>
      <c r="I630" s="8">
        <v>1</v>
      </c>
      <c r="J630" s="115">
        <f>Table224[[#This Row],[Qty]]-Table224[[#This Row],[Issue Qty]]</f>
        <v>0</v>
      </c>
      <c r="K630" s="195"/>
      <c r="L630" s="195" t="s">
        <v>3480</v>
      </c>
      <c r="M630" s="5">
        <v>1000</v>
      </c>
      <c r="N630" s="5">
        <f t="shared" si="33"/>
        <v>1000</v>
      </c>
      <c r="O630" s="82">
        <v>0.18</v>
      </c>
      <c r="P630" s="9">
        <f t="shared" si="34"/>
        <v>180</v>
      </c>
      <c r="Q630" s="5">
        <v>0</v>
      </c>
      <c r="R630" s="5"/>
      <c r="S630" s="5">
        <f t="shared" si="35"/>
        <v>1180</v>
      </c>
      <c r="T630" s="1" t="s">
        <v>1230</v>
      </c>
      <c r="U630" s="1" t="s">
        <v>1230</v>
      </c>
      <c r="V630" s="1" t="s">
        <v>1269</v>
      </c>
      <c r="W630" s="1" t="s">
        <v>2392</v>
      </c>
      <c r="X630" s="1"/>
      <c r="Y630" s="26"/>
      <c r="Z630" s="21" t="s">
        <v>3349</v>
      </c>
      <c r="AA630" s="204"/>
      <c r="AB630" s="21"/>
      <c r="AC630" s="12" t="s">
        <v>1266</v>
      </c>
      <c r="AD630" s="26"/>
      <c r="AE630" s="29" t="s">
        <v>1281</v>
      </c>
      <c r="AF630" s="26"/>
      <c r="AG630" s="26"/>
    </row>
    <row r="631" spans="1:33" s="206" customFormat="1" x14ac:dyDescent="0.25">
      <c r="A631" s="4"/>
      <c r="B631" s="4">
        <v>45843</v>
      </c>
      <c r="C631" s="1" t="s">
        <v>2003</v>
      </c>
      <c r="D631" s="224" t="s">
        <v>3499</v>
      </c>
      <c r="E631" s="1" t="s">
        <v>2393</v>
      </c>
      <c r="F631" s="102" t="s">
        <v>1282</v>
      </c>
      <c r="G631" s="1" t="s">
        <v>1282</v>
      </c>
      <c r="H631" s="8">
        <v>1</v>
      </c>
      <c r="I631" s="8">
        <v>1</v>
      </c>
      <c r="J631" s="115">
        <f>Table224[[#This Row],[Qty]]-Table224[[#This Row],[Issue Qty]]</f>
        <v>0</v>
      </c>
      <c r="K631" s="195"/>
      <c r="L631" s="195" t="s">
        <v>3480</v>
      </c>
      <c r="M631" s="5">
        <v>500</v>
      </c>
      <c r="N631" s="5">
        <f t="shared" si="33"/>
        <v>500</v>
      </c>
      <c r="O631" s="82">
        <v>0.18</v>
      </c>
      <c r="P631" s="9">
        <f t="shared" si="34"/>
        <v>90</v>
      </c>
      <c r="Q631" s="5">
        <v>0</v>
      </c>
      <c r="R631" s="5"/>
      <c r="S631" s="5">
        <f t="shared" si="35"/>
        <v>590</v>
      </c>
      <c r="T631" s="1" t="s">
        <v>1230</v>
      </c>
      <c r="U631" s="1" t="s">
        <v>1230</v>
      </c>
      <c r="V631" s="1" t="s">
        <v>1269</v>
      </c>
      <c r="W631" s="1" t="s">
        <v>2392</v>
      </c>
      <c r="X631" s="1"/>
      <c r="Y631" s="26"/>
      <c r="Z631" s="21" t="s">
        <v>3349</v>
      </c>
      <c r="AA631" s="204"/>
      <c r="AB631" s="21"/>
      <c r="AC631" s="12" t="s">
        <v>1266</v>
      </c>
      <c r="AD631" s="26"/>
      <c r="AE631" s="29" t="s">
        <v>1281</v>
      </c>
      <c r="AF631" s="26"/>
      <c r="AG631" s="2"/>
    </row>
    <row r="632" spans="1:33" s="206" customFormat="1" x14ac:dyDescent="0.25">
      <c r="A632" s="4"/>
      <c r="B632" s="4">
        <v>45843</v>
      </c>
      <c r="C632" s="1" t="s">
        <v>2003</v>
      </c>
      <c r="D632" s="224" t="s">
        <v>3499</v>
      </c>
      <c r="E632" s="1" t="s">
        <v>2394</v>
      </c>
      <c r="F632" s="102" t="s">
        <v>1283</v>
      </c>
      <c r="G632" s="1" t="s">
        <v>1284</v>
      </c>
      <c r="H632" s="8">
        <v>1</v>
      </c>
      <c r="I632" s="8">
        <v>1</v>
      </c>
      <c r="J632" s="115">
        <f>Table224[[#This Row],[Qty]]-Table224[[#This Row],[Issue Qty]]</f>
        <v>0</v>
      </c>
      <c r="K632" s="195"/>
      <c r="L632" s="195" t="s">
        <v>3480</v>
      </c>
      <c r="M632" s="5">
        <v>1800</v>
      </c>
      <c r="N632" s="5">
        <f t="shared" si="33"/>
        <v>1800</v>
      </c>
      <c r="O632" s="82">
        <v>0.18</v>
      </c>
      <c r="P632" s="9">
        <f t="shared" si="34"/>
        <v>324</v>
      </c>
      <c r="Q632" s="5">
        <v>177</v>
      </c>
      <c r="R632" s="5"/>
      <c r="S632" s="5">
        <f t="shared" si="35"/>
        <v>2301</v>
      </c>
      <c r="T632" s="1" t="s">
        <v>1230</v>
      </c>
      <c r="U632" s="1" t="s">
        <v>1230</v>
      </c>
      <c r="V632" s="1" t="s">
        <v>1269</v>
      </c>
      <c r="W632" s="1" t="s">
        <v>2392</v>
      </c>
      <c r="X632" s="1"/>
      <c r="Y632" s="26"/>
      <c r="Z632" s="21" t="s">
        <v>3349</v>
      </c>
      <c r="AA632" s="204"/>
      <c r="AB632" s="21"/>
      <c r="AC632" s="12" t="s">
        <v>1266</v>
      </c>
      <c r="AD632" s="26"/>
      <c r="AE632" s="29" t="s">
        <v>1281</v>
      </c>
      <c r="AF632" s="26"/>
      <c r="AG632" s="26"/>
    </row>
    <row r="633" spans="1:33" s="24" customFormat="1" x14ac:dyDescent="0.25">
      <c r="A633" s="4"/>
      <c r="B633" s="4">
        <v>45843</v>
      </c>
      <c r="C633" s="1" t="s">
        <v>54</v>
      </c>
      <c r="D633" s="224" t="s">
        <v>3587</v>
      </c>
      <c r="E633" s="1" t="s">
        <v>2164</v>
      </c>
      <c r="F633" s="102" t="s">
        <v>954</v>
      </c>
      <c r="G633" s="1" t="s">
        <v>1267</v>
      </c>
      <c r="H633" s="8">
        <v>2</v>
      </c>
      <c r="I633" s="8">
        <v>0</v>
      </c>
      <c r="J633" s="115">
        <f>Table224[[#This Row],[Qty]]-Table224[[#This Row],[Issue Qty]]</f>
        <v>2</v>
      </c>
      <c r="K633" s="195"/>
      <c r="L633" s="195" t="s">
        <v>3480</v>
      </c>
      <c r="M633" s="5">
        <v>850</v>
      </c>
      <c r="N633" s="5">
        <f t="shared" si="33"/>
        <v>1700</v>
      </c>
      <c r="O633" s="82">
        <v>0.18</v>
      </c>
      <c r="P633" s="9">
        <f t="shared" si="34"/>
        <v>306</v>
      </c>
      <c r="Q633" s="5">
        <v>590</v>
      </c>
      <c r="R633" s="5"/>
      <c r="S633" s="5">
        <f t="shared" si="35"/>
        <v>2596</v>
      </c>
      <c r="T633" s="1" t="s">
        <v>907</v>
      </c>
      <c r="U633" s="1" t="s">
        <v>907</v>
      </c>
      <c r="V633" s="1" t="s">
        <v>956</v>
      </c>
      <c r="W633" s="1" t="s">
        <v>2383</v>
      </c>
      <c r="X633" s="1"/>
      <c r="Y633" s="26"/>
      <c r="Z633" s="21"/>
      <c r="AA633" s="204"/>
      <c r="AB633" s="21">
        <v>1</v>
      </c>
      <c r="AC633" s="12" t="s">
        <v>2919</v>
      </c>
      <c r="AD633" s="26"/>
      <c r="AE633" s="29"/>
      <c r="AF633" s="26"/>
      <c r="AG633" s="26"/>
    </row>
    <row r="634" spans="1:33" s="206" customFormat="1" x14ac:dyDescent="0.25">
      <c r="A634" s="4"/>
      <c r="B634" s="4">
        <v>45843</v>
      </c>
      <c r="C634" s="1" t="s">
        <v>54</v>
      </c>
      <c r="D634" s="224" t="s">
        <v>3489</v>
      </c>
      <c r="E634" s="1" t="s">
        <v>2259</v>
      </c>
      <c r="F634" s="102" t="s">
        <v>1095</v>
      </c>
      <c r="G634" s="1" t="s">
        <v>1287</v>
      </c>
      <c r="H634" s="8">
        <v>1</v>
      </c>
      <c r="I634" s="8">
        <v>1</v>
      </c>
      <c r="J634" s="115">
        <f>Table224[[#This Row],[Qty]]-Table224[[#This Row],[Issue Qty]]</f>
        <v>0</v>
      </c>
      <c r="K634" s="195"/>
      <c r="L634" s="195" t="s">
        <v>3480</v>
      </c>
      <c r="M634" s="5">
        <v>350</v>
      </c>
      <c r="N634" s="5">
        <f t="shared" si="33"/>
        <v>350</v>
      </c>
      <c r="O634" s="82">
        <v>0.18</v>
      </c>
      <c r="P634" s="9">
        <f t="shared" si="34"/>
        <v>63</v>
      </c>
      <c r="Q634" s="5">
        <v>0</v>
      </c>
      <c r="R634" s="5"/>
      <c r="S634" s="5">
        <f t="shared" si="35"/>
        <v>413</v>
      </c>
      <c r="T634" s="1" t="s">
        <v>1226</v>
      </c>
      <c r="U634" s="1" t="s">
        <v>1226</v>
      </c>
      <c r="V634" s="1" t="s">
        <v>358</v>
      </c>
      <c r="W634" s="1" t="s">
        <v>2389</v>
      </c>
      <c r="X634" s="1"/>
      <c r="Y634" s="26"/>
      <c r="Z634" s="21"/>
      <c r="AA634" s="204"/>
      <c r="AB634" s="21">
        <v>1</v>
      </c>
      <c r="AC634" s="12" t="s">
        <v>2915</v>
      </c>
      <c r="AD634" s="26"/>
      <c r="AE634" s="29" t="s">
        <v>1096</v>
      </c>
      <c r="AF634" s="26"/>
      <c r="AG634" s="26"/>
    </row>
    <row r="635" spans="1:33" s="206" customFormat="1" x14ac:dyDescent="0.25">
      <c r="A635" s="4"/>
      <c r="B635" s="4">
        <v>45843</v>
      </c>
      <c r="C635" s="1" t="s">
        <v>54</v>
      </c>
      <c r="D635" s="224" t="s">
        <v>3489</v>
      </c>
      <c r="E635" s="1" t="s">
        <v>2261</v>
      </c>
      <c r="F635" s="102" t="s">
        <v>1097</v>
      </c>
      <c r="G635" s="1" t="s">
        <v>1288</v>
      </c>
      <c r="H635" s="8">
        <v>1</v>
      </c>
      <c r="I635" s="8">
        <v>1</v>
      </c>
      <c r="J635" s="115">
        <f>Table224[[#This Row],[Qty]]-Table224[[#This Row],[Issue Qty]]</f>
        <v>0</v>
      </c>
      <c r="K635" s="195"/>
      <c r="L635" s="195" t="s">
        <v>3480</v>
      </c>
      <c r="M635" s="5">
        <v>220</v>
      </c>
      <c r="N635" s="5">
        <f t="shared" si="33"/>
        <v>220</v>
      </c>
      <c r="O635" s="82">
        <v>0.18</v>
      </c>
      <c r="P635" s="9">
        <f t="shared" si="34"/>
        <v>39.6</v>
      </c>
      <c r="Q635" s="5">
        <v>0</v>
      </c>
      <c r="R635" s="5"/>
      <c r="S635" s="5">
        <f t="shared" si="35"/>
        <v>259.60000000000002</v>
      </c>
      <c r="T635" s="1" t="s">
        <v>1226</v>
      </c>
      <c r="U635" s="1" t="s">
        <v>1226</v>
      </c>
      <c r="V635" s="1" t="s">
        <v>358</v>
      </c>
      <c r="W635" s="1" t="s">
        <v>2389</v>
      </c>
      <c r="X635" s="1"/>
      <c r="Y635" s="26"/>
      <c r="Z635" s="21"/>
      <c r="AA635" s="204"/>
      <c r="AB635" s="21">
        <v>1</v>
      </c>
      <c r="AC635" s="12" t="s">
        <v>2915</v>
      </c>
      <c r="AD635" s="26"/>
      <c r="AE635" s="29" t="s">
        <v>1098</v>
      </c>
      <c r="AF635" s="26"/>
      <c r="AG635" s="26"/>
    </row>
    <row r="636" spans="1:33" s="206" customFormat="1" x14ac:dyDescent="0.25">
      <c r="A636" s="4"/>
      <c r="B636" s="4">
        <v>45843</v>
      </c>
      <c r="C636" s="1" t="s">
        <v>2003</v>
      </c>
      <c r="D636" s="224" t="s">
        <v>3494</v>
      </c>
      <c r="E636" s="1" t="s">
        <v>2384</v>
      </c>
      <c r="F636" s="102" t="s">
        <v>1268</v>
      </c>
      <c r="G636" s="1" t="s">
        <v>1268</v>
      </c>
      <c r="H636" s="8">
        <v>1</v>
      </c>
      <c r="I636" s="8">
        <v>1</v>
      </c>
      <c r="J636" s="115">
        <f>Table224[[#This Row],[Qty]]-Table224[[#This Row],[Issue Qty]]</f>
        <v>0</v>
      </c>
      <c r="K636" s="195"/>
      <c r="L636" s="195" t="s">
        <v>3480</v>
      </c>
      <c r="M636" s="5">
        <v>720</v>
      </c>
      <c r="N636" s="5">
        <f t="shared" si="33"/>
        <v>720</v>
      </c>
      <c r="O636" s="82">
        <v>0.18</v>
      </c>
      <c r="P636" s="9">
        <f t="shared" si="34"/>
        <v>129.6</v>
      </c>
      <c r="Q636" s="5">
        <v>0</v>
      </c>
      <c r="R636" s="5"/>
      <c r="S636" s="5">
        <f t="shared" si="35"/>
        <v>849.6</v>
      </c>
      <c r="T636" s="1" t="s">
        <v>1230</v>
      </c>
      <c r="U636" s="1" t="s">
        <v>1230</v>
      </c>
      <c r="V636" s="1" t="s">
        <v>1269</v>
      </c>
      <c r="W636" s="1" t="s">
        <v>2385</v>
      </c>
      <c r="X636" s="1"/>
      <c r="Y636" s="26"/>
      <c r="Z636" s="21"/>
      <c r="AA636" s="204"/>
      <c r="AB636" s="21">
        <v>1</v>
      </c>
      <c r="AC636" s="12" t="s">
        <v>1266</v>
      </c>
      <c r="AD636" s="26"/>
      <c r="AE636" s="29"/>
      <c r="AF636" s="26"/>
      <c r="AG636" s="2"/>
    </row>
    <row r="637" spans="1:33" s="24" customFormat="1" x14ac:dyDescent="0.25">
      <c r="A637" s="4"/>
      <c r="B637" s="4">
        <v>45843</v>
      </c>
      <c r="C637" s="1" t="s">
        <v>2003</v>
      </c>
      <c r="D637" s="224" t="s">
        <v>3494</v>
      </c>
      <c r="E637" s="1" t="s">
        <v>2386</v>
      </c>
      <c r="F637" s="102" t="s">
        <v>1270</v>
      </c>
      <c r="G637" s="1" t="s">
        <v>1270</v>
      </c>
      <c r="H637" s="8">
        <v>1</v>
      </c>
      <c r="I637" s="8">
        <v>1</v>
      </c>
      <c r="J637" s="115">
        <f>Table224[[#This Row],[Qty]]-Table224[[#This Row],[Issue Qty]]</f>
        <v>0</v>
      </c>
      <c r="K637" s="195"/>
      <c r="L637" s="195" t="s">
        <v>3480</v>
      </c>
      <c r="M637" s="5">
        <v>600</v>
      </c>
      <c r="N637" s="5">
        <f t="shared" si="33"/>
        <v>600</v>
      </c>
      <c r="O637" s="82">
        <v>0.18</v>
      </c>
      <c r="P637" s="9">
        <f t="shared" si="34"/>
        <v>108</v>
      </c>
      <c r="Q637" s="5">
        <v>177.4</v>
      </c>
      <c r="R637" s="5"/>
      <c r="S637" s="5">
        <f t="shared" si="35"/>
        <v>885.4</v>
      </c>
      <c r="T637" s="1" t="s">
        <v>1230</v>
      </c>
      <c r="U637" s="1" t="s">
        <v>1230</v>
      </c>
      <c r="V637" s="1" t="s">
        <v>1269</v>
      </c>
      <c r="W637" s="1" t="s">
        <v>2385</v>
      </c>
      <c r="X637" s="1"/>
      <c r="Y637" s="26"/>
      <c r="Z637" s="21"/>
      <c r="AA637" s="204"/>
      <c r="AB637" s="21">
        <v>1</v>
      </c>
      <c r="AC637" s="12" t="s">
        <v>1266</v>
      </c>
      <c r="AD637" s="26"/>
      <c r="AE637" s="29"/>
      <c r="AF637" s="26"/>
      <c r="AG637" s="2"/>
    </row>
    <row r="638" spans="1:33" s="206" customFormat="1" x14ac:dyDescent="0.25">
      <c r="A638" s="4"/>
      <c r="B638" s="4">
        <v>45843</v>
      </c>
      <c r="C638" s="1" t="s">
        <v>54</v>
      </c>
      <c r="D638" s="224" t="s">
        <v>3489</v>
      </c>
      <c r="E638" s="1" t="s">
        <v>2379</v>
      </c>
      <c r="F638" s="102" t="s">
        <v>1263</v>
      </c>
      <c r="G638" s="1" t="s">
        <v>1263</v>
      </c>
      <c r="H638" s="8">
        <v>2</v>
      </c>
      <c r="I638" s="8">
        <v>2</v>
      </c>
      <c r="J638" s="115">
        <f>Table224[[#This Row],[Qty]]-Table224[[#This Row],[Issue Qty]]</f>
        <v>0</v>
      </c>
      <c r="K638" s="195"/>
      <c r="L638" s="195" t="s">
        <v>3480</v>
      </c>
      <c r="M638" s="5">
        <v>1900</v>
      </c>
      <c r="N638" s="5">
        <f t="shared" si="33"/>
        <v>3800</v>
      </c>
      <c r="O638" s="82">
        <v>0.18</v>
      </c>
      <c r="P638" s="9">
        <f t="shared" si="34"/>
        <v>684</v>
      </c>
      <c r="Q638" s="5">
        <v>0</v>
      </c>
      <c r="R638" s="5"/>
      <c r="S638" s="5">
        <f t="shared" si="35"/>
        <v>4484</v>
      </c>
      <c r="T638" s="1" t="s">
        <v>907</v>
      </c>
      <c r="U638" s="1" t="s">
        <v>907</v>
      </c>
      <c r="V638" s="1" t="s">
        <v>820</v>
      </c>
      <c r="W638" s="1" t="s">
        <v>2380</v>
      </c>
      <c r="X638" s="1"/>
      <c r="Y638" s="2"/>
      <c r="Z638" s="21" t="s">
        <v>1624</v>
      </c>
      <c r="AA638" s="21"/>
      <c r="AB638" s="21">
        <v>2</v>
      </c>
      <c r="AC638" s="12" t="s">
        <v>2923</v>
      </c>
      <c r="AD638" s="2"/>
      <c r="AE638" s="29"/>
      <c r="AF638" s="2"/>
      <c r="AG638" s="26"/>
    </row>
    <row r="639" spans="1:33" s="206" customFormat="1" x14ac:dyDescent="0.25">
      <c r="A639" s="4"/>
      <c r="B639" s="4">
        <v>45843</v>
      </c>
      <c r="C639" s="1" t="s">
        <v>54</v>
      </c>
      <c r="D639" s="224" t="s">
        <v>3494</v>
      </c>
      <c r="E639" s="1" t="s">
        <v>2396</v>
      </c>
      <c r="F639" s="102" t="s">
        <v>1289</v>
      </c>
      <c r="G639" s="1" t="s">
        <v>1289</v>
      </c>
      <c r="H639" s="8">
        <v>1</v>
      </c>
      <c r="I639" s="8">
        <v>1</v>
      </c>
      <c r="J639" s="115">
        <f>Table224[[#This Row],[Qty]]-Table224[[#This Row],[Issue Qty]]</f>
        <v>0</v>
      </c>
      <c r="K639" s="195"/>
      <c r="L639" s="195" t="s">
        <v>3480</v>
      </c>
      <c r="M639" s="5">
        <v>3065.9</v>
      </c>
      <c r="N639" s="5">
        <f t="shared" si="33"/>
        <v>3065.9</v>
      </c>
      <c r="O639" s="82">
        <v>0.18</v>
      </c>
      <c r="P639" s="9">
        <f t="shared" si="34"/>
        <v>551.86199999999997</v>
      </c>
      <c r="Q639" s="5">
        <v>0.69</v>
      </c>
      <c r="R639" s="5"/>
      <c r="S639" s="5">
        <f t="shared" si="35"/>
        <v>3618.4520000000002</v>
      </c>
      <c r="T639" s="1" t="s">
        <v>1226</v>
      </c>
      <c r="U639" s="1" t="s">
        <v>1226</v>
      </c>
      <c r="V639" s="1" t="s">
        <v>358</v>
      </c>
      <c r="W639" s="1" t="s">
        <v>2389</v>
      </c>
      <c r="X639" s="1"/>
      <c r="Y639" s="26"/>
      <c r="Z639" s="21"/>
      <c r="AA639" s="204"/>
      <c r="AB639" s="21">
        <v>1</v>
      </c>
      <c r="AC639" s="12" t="s">
        <v>2914</v>
      </c>
      <c r="AD639" s="26"/>
      <c r="AE639" s="29" t="s">
        <v>1290</v>
      </c>
      <c r="AF639" s="26"/>
      <c r="AG639" s="26"/>
    </row>
    <row r="640" spans="1:33" s="206" customFormat="1" x14ac:dyDescent="0.25">
      <c r="A640" s="4"/>
      <c r="B640" s="4">
        <v>45844</v>
      </c>
      <c r="C640" s="1" t="s">
        <v>1991</v>
      </c>
      <c r="D640" s="224" t="s">
        <v>3443</v>
      </c>
      <c r="E640" s="1" t="s">
        <v>2397</v>
      </c>
      <c r="F640" s="102" t="s">
        <v>1291</v>
      </c>
      <c r="G640" s="1" t="s">
        <v>1291</v>
      </c>
      <c r="H640" s="8">
        <v>4</v>
      </c>
      <c r="I640" s="8">
        <v>4</v>
      </c>
      <c r="J640" s="115">
        <f>Table224[[#This Row],[Qty]]-Table224[[#This Row],[Issue Qty]]</f>
        <v>0</v>
      </c>
      <c r="K640" s="195"/>
      <c r="L640" s="195" t="s">
        <v>3480</v>
      </c>
      <c r="M640" s="5">
        <v>1230</v>
      </c>
      <c r="N640" s="5">
        <f t="shared" si="33"/>
        <v>4920</v>
      </c>
      <c r="O640" s="82">
        <v>0.05</v>
      </c>
      <c r="P640" s="9">
        <f t="shared" si="34"/>
        <v>246</v>
      </c>
      <c r="Q640" s="5">
        <v>88.5</v>
      </c>
      <c r="R640" s="5"/>
      <c r="S640" s="5">
        <f t="shared" si="35"/>
        <v>5254.5</v>
      </c>
      <c r="T640" s="1" t="s">
        <v>1083</v>
      </c>
      <c r="U640" s="1" t="s">
        <v>1083</v>
      </c>
      <c r="V640" s="1" t="s">
        <v>1060</v>
      </c>
      <c r="W640" s="1" t="s">
        <v>2398</v>
      </c>
      <c r="X640" s="1"/>
      <c r="Y640" s="26"/>
      <c r="Z640" s="21" t="s">
        <v>2527</v>
      </c>
      <c r="AA640" s="204"/>
      <c r="AB640" s="21">
        <v>4</v>
      </c>
      <c r="AC640" s="12" t="s">
        <v>3805</v>
      </c>
      <c r="AD640" s="26"/>
      <c r="AE640" s="29"/>
      <c r="AF640" s="26"/>
      <c r="AG640" s="26"/>
    </row>
    <row r="641" spans="1:33" s="206" customFormat="1" x14ac:dyDescent="0.25">
      <c r="A641" s="4"/>
      <c r="B641" s="4">
        <v>45845</v>
      </c>
      <c r="C641" s="1" t="s">
        <v>54</v>
      </c>
      <c r="D641" s="224" t="s">
        <v>3489</v>
      </c>
      <c r="E641" s="1" t="s">
        <v>2399</v>
      </c>
      <c r="F641" s="232" t="s">
        <v>1292</v>
      </c>
      <c r="G641" s="1" t="s">
        <v>1292</v>
      </c>
      <c r="H641" s="8">
        <v>2</v>
      </c>
      <c r="I641" s="8">
        <v>2</v>
      </c>
      <c r="J641" s="115">
        <f>Table224[[#This Row],[Qty]]-Table224[[#This Row],[Issue Qty]]</f>
        <v>0</v>
      </c>
      <c r="K641" s="195"/>
      <c r="L641" s="195" t="s">
        <v>3480</v>
      </c>
      <c r="M641" s="5">
        <v>313</v>
      </c>
      <c r="N641" s="5">
        <f t="shared" si="33"/>
        <v>626</v>
      </c>
      <c r="O641" s="82">
        <v>0.12</v>
      </c>
      <c r="P641" s="9">
        <f t="shared" si="34"/>
        <v>75.11999999999999</v>
      </c>
      <c r="Q641" s="5">
        <v>0</v>
      </c>
      <c r="R641" s="5"/>
      <c r="S641" s="5">
        <f t="shared" si="35"/>
        <v>701.12</v>
      </c>
      <c r="T641" s="1" t="s">
        <v>1230</v>
      </c>
      <c r="U641" s="1" t="s">
        <v>1230</v>
      </c>
      <c r="V641" s="1" t="s">
        <v>601</v>
      </c>
      <c r="W641" s="1">
        <v>50293</v>
      </c>
      <c r="X641" s="1"/>
      <c r="Y641" s="26"/>
      <c r="Z641" s="21"/>
      <c r="AA641" s="204"/>
      <c r="AB641" s="21">
        <v>2</v>
      </c>
      <c r="AC641" s="12" t="s">
        <v>1266</v>
      </c>
      <c r="AD641" s="26"/>
      <c r="AE641" s="29" t="s">
        <v>826</v>
      </c>
      <c r="AF641" s="26"/>
      <c r="AG641" s="26"/>
    </row>
    <row r="642" spans="1:33" s="206" customFormat="1" x14ac:dyDescent="0.25">
      <c r="A642" s="4"/>
      <c r="B642" s="4">
        <v>45845</v>
      </c>
      <c r="C642" s="1" t="s">
        <v>54</v>
      </c>
      <c r="D642" s="224" t="s">
        <v>3497</v>
      </c>
      <c r="E642" s="1" t="s">
        <v>2403</v>
      </c>
      <c r="F642" s="236" t="s">
        <v>1299</v>
      </c>
      <c r="G642" s="1" t="s">
        <v>1300</v>
      </c>
      <c r="H642" s="8">
        <v>1</v>
      </c>
      <c r="I642" s="8">
        <v>1</v>
      </c>
      <c r="J642" s="115">
        <f>Table224[[#This Row],[Qty]]-Table224[[#This Row],[Issue Qty]]</f>
        <v>0</v>
      </c>
      <c r="K642" s="332">
        <v>1</v>
      </c>
      <c r="L642" s="195" t="s">
        <v>3480</v>
      </c>
      <c r="M642" s="5">
        <v>680</v>
      </c>
      <c r="N642" s="5">
        <f t="shared" si="33"/>
        <v>680</v>
      </c>
      <c r="O642" s="82">
        <v>0.12</v>
      </c>
      <c r="P642" s="9">
        <f t="shared" si="34"/>
        <v>81.599999999999994</v>
      </c>
      <c r="Q642" s="5">
        <v>112</v>
      </c>
      <c r="R642" s="5"/>
      <c r="S642" s="5">
        <f t="shared" si="35"/>
        <v>873.6</v>
      </c>
      <c r="T642" s="1" t="s">
        <v>907</v>
      </c>
      <c r="U642" s="1" t="s">
        <v>907</v>
      </c>
      <c r="V642" s="1" t="s">
        <v>601</v>
      </c>
      <c r="W642" s="1">
        <v>50292</v>
      </c>
      <c r="X642" s="1"/>
      <c r="Y642" s="26"/>
      <c r="Z642" s="21"/>
      <c r="AA642" s="204"/>
      <c r="AB642" s="21">
        <v>1</v>
      </c>
      <c r="AC642" s="12" t="s">
        <v>481</v>
      </c>
      <c r="AD642" s="26"/>
      <c r="AE642" s="29" t="s">
        <v>1301</v>
      </c>
      <c r="AF642" s="26"/>
      <c r="AG642" s="26"/>
    </row>
    <row r="643" spans="1:33" s="206" customFormat="1" x14ac:dyDescent="0.25">
      <c r="A643" s="4"/>
      <c r="B643" s="4">
        <v>45845</v>
      </c>
      <c r="C643" s="1" t="s">
        <v>54</v>
      </c>
      <c r="D643" s="224" t="s">
        <v>3497</v>
      </c>
      <c r="E643" s="1" t="s">
        <v>2254</v>
      </c>
      <c r="F643" s="102" t="s">
        <v>1302</v>
      </c>
      <c r="G643" s="1" t="s">
        <v>1088</v>
      </c>
      <c r="H643" s="8">
        <v>1</v>
      </c>
      <c r="I643" s="8">
        <v>1</v>
      </c>
      <c r="J643" s="115">
        <f>Table224[[#This Row],[Qty]]-Table224[[#This Row],[Issue Qty]]</f>
        <v>0</v>
      </c>
      <c r="K643" s="195"/>
      <c r="L643" s="195" t="s">
        <v>3480</v>
      </c>
      <c r="M643" s="5">
        <v>986</v>
      </c>
      <c r="N643" s="5">
        <f t="shared" si="33"/>
        <v>986</v>
      </c>
      <c r="O643" s="82">
        <v>0.12</v>
      </c>
      <c r="P643" s="9">
        <f t="shared" si="34"/>
        <v>118.32</v>
      </c>
      <c r="Q643" s="5">
        <v>0</v>
      </c>
      <c r="R643" s="5"/>
      <c r="S643" s="5">
        <f t="shared" si="35"/>
        <v>1104.32</v>
      </c>
      <c r="T643" s="1" t="s">
        <v>907</v>
      </c>
      <c r="U643" s="1" t="s">
        <v>907</v>
      </c>
      <c r="V643" s="1" t="s">
        <v>601</v>
      </c>
      <c r="W643" s="1">
        <v>50292</v>
      </c>
      <c r="X643" s="1"/>
      <c r="Y643" s="26"/>
      <c r="Z643" s="21" t="s">
        <v>3349</v>
      </c>
      <c r="AA643" s="204"/>
      <c r="AB643" s="21">
        <v>1</v>
      </c>
      <c r="AC643" s="12" t="s">
        <v>936</v>
      </c>
      <c r="AD643" s="26"/>
      <c r="AE643" s="29" t="s">
        <v>1303</v>
      </c>
      <c r="AF643" s="26"/>
      <c r="AG643" s="26"/>
    </row>
    <row r="644" spans="1:33" s="206" customFormat="1" x14ac:dyDescent="0.25">
      <c r="A644" s="4"/>
      <c r="B644" s="4">
        <v>45845</v>
      </c>
      <c r="C644" s="1" t="s">
        <v>1991</v>
      </c>
      <c r="D644" s="224" t="s">
        <v>3560</v>
      </c>
      <c r="E644" s="26" t="s">
        <v>2402</v>
      </c>
      <c r="F644" s="233" t="s">
        <v>1297</v>
      </c>
      <c r="G644" s="1" t="s">
        <v>1297</v>
      </c>
      <c r="H644" s="8">
        <v>10</v>
      </c>
      <c r="I644" s="8">
        <v>1</v>
      </c>
      <c r="J644" s="115">
        <f>Table224[[#This Row],[Qty]]-Table224[[#This Row],[Issue Qty]]</f>
        <v>9</v>
      </c>
      <c r="K644" s="195"/>
      <c r="L644" s="195" t="s">
        <v>3480</v>
      </c>
      <c r="M644" s="5">
        <v>64.06</v>
      </c>
      <c r="N644" s="5">
        <f t="shared" si="33"/>
        <v>640.6</v>
      </c>
      <c r="O644" s="82">
        <v>0.18</v>
      </c>
      <c r="P644" s="9">
        <f t="shared" si="34"/>
        <v>115.30799999999999</v>
      </c>
      <c r="Q644" s="5">
        <v>0</v>
      </c>
      <c r="R644" s="5"/>
      <c r="S644" s="5">
        <f t="shared" si="35"/>
        <v>755.90800000000002</v>
      </c>
      <c r="T644" s="1" t="s">
        <v>980</v>
      </c>
      <c r="U644" s="1" t="s">
        <v>980</v>
      </c>
      <c r="V644" s="1" t="s">
        <v>1298</v>
      </c>
      <c r="W644" s="1">
        <v>980290</v>
      </c>
      <c r="X644" s="1"/>
      <c r="Y644" s="1"/>
      <c r="Z644" s="21" t="s">
        <v>38</v>
      </c>
      <c r="AA644" s="8"/>
      <c r="AB644" s="8">
        <v>2</v>
      </c>
      <c r="AC644" s="22" t="s">
        <v>1125</v>
      </c>
      <c r="AD644" s="1"/>
      <c r="AE644" s="29"/>
      <c r="AF644" s="1"/>
      <c r="AG644" s="26"/>
    </row>
    <row r="645" spans="1:33" s="206" customFormat="1" x14ac:dyDescent="0.25">
      <c r="A645" s="4"/>
      <c r="B645" s="4">
        <v>45845</v>
      </c>
      <c r="C645" s="1" t="s">
        <v>54</v>
      </c>
      <c r="D645" s="224" t="s">
        <v>3469</v>
      </c>
      <c r="E645" s="1" t="s">
        <v>2401</v>
      </c>
      <c r="F645" s="102" t="s">
        <v>1295</v>
      </c>
      <c r="G645" s="1" t="s">
        <v>1295</v>
      </c>
      <c r="H645" s="8">
        <v>2</v>
      </c>
      <c r="I645" s="8">
        <v>2</v>
      </c>
      <c r="J645" s="115">
        <f>Table224[[#This Row],[Qty]]-Table224[[#This Row],[Issue Qty]]</f>
        <v>0</v>
      </c>
      <c r="K645" s="195"/>
      <c r="L645" s="195" t="s">
        <v>3480</v>
      </c>
      <c r="M645" s="5">
        <v>1628</v>
      </c>
      <c r="N645" s="5">
        <f t="shared" si="33"/>
        <v>3256</v>
      </c>
      <c r="O645" s="82">
        <v>0.12</v>
      </c>
      <c r="P645" s="9">
        <f t="shared" si="34"/>
        <v>390.71999999999997</v>
      </c>
      <c r="Q645" s="5">
        <v>112</v>
      </c>
      <c r="R645" s="5"/>
      <c r="S645" s="5">
        <f t="shared" si="35"/>
        <v>3758.72</v>
      </c>
      <c r="T645" s="1" t="s">
        <v>1230</v>
      </c>
      <c r="U645" s="1" t="s">
        <v>1230</v>
      </c>
      <c r="V645" s="1" t="s">
        <v>601</v>
      </c>
      <c r="W645" s="1">
        <v>50293</v>
      </c>
      <c r="X645" s="1"/>
      <c r="Y645" s="26"/>
      <c r="Z645" s="21" t="s">
        <v>360</v>
      </c>
      <c r="AA645" s="204"/>
      <c r="AB645" s="21">
        <v>1</v>
      </c>
      <c r="AC645" s="12" t="s">
        <v>812</v>
      </c>
      <c r="AD645" s="26"/>
      <c r="AE645" s="29"/>
      <c r="AF645" s="26"/>
      <c r="AG645" s="2"/>
    </row>
    <row r="646" spans="1:33" s="24" customFormat="1" x14ac:dyDescent="0.25">
      <c r="A646" s="4"/>
      <c r="B646" s="4">
        <v>45845</v>
      </c>
      <c r="C646" s="1" t="s">
        <v>54</v>
      </c>
      <c r="D646" s="224" t="s">
        <v>3469</v>
      </c>
      <c r="E646" s="1" t="s">
        <v>2400</v>
      </c>
      <c r="F646" s="102" t="s">
        <v>1293</v>
      </c>
      <c r="G646" s="1" t="s">
        <v>1293</v>
      </c>
      <c r="H646" s="8">
        <v>1</v>
      </c>
      <c r="I646" s="8">
        <v>1</v>
      </c>
      <c r="J646" s="115">
        <f>Table224[[#This Row],[Qty]]-Table224[[#This Row],[Issue Qty]]</f>
        <v>0</v>
      </c>
      <c r="K646" s="195"/>
      <c r="L646" s="195" t="s">
        <v>3480</v>
      </c>
      <c r="M646" s="5">
        <v>330</v>
      </c>
      <c r="N646" s="5">
        <f t="shared" si="33"/>
        <v>330</v>
      </c>
      <c r="O646" s="82">
        <v>0.12</v>
      </c>
      <c r="P646" s="9">
        <f t="shared" si="34"/>
        <v>39.6</v>
      </c>
      <c r="Q646" s="5">
        <v>0</v>
      </c>
      <c r="R646" s="5"/>
      <c r="S646" s="5">
        <f t="shared" si="35"/>
        <v>369.6</v>
      </c>
      <c r="T646" s="1" t="s">
        <v>907</v>
      </c>
      <c r="U646" s="1" t="s">
        <v>907</v>
      </c>
      <c r="V646" s="1" t="s">
        <v>601</v>
      </c>
      <c r="W646" s="1">
        <v>50292</v>
      </c>
      <c r="X646" s="1"/>
      <c r="Y646" s="26"/>
      <c r="Z646" s="21" t="s">
        <v>3349</v>
      </c>
      <c r="AA646" s="204"/>
      <c r="AB646" s="21">
        <v>1</v>
      </c>
      <c r="AC646" s="12" t="s">
        <v>2915</v>
      </c>
      <c r="AD646" s="26"/>
      <c r="AE646" s="29" t="s">
        <v>1294</v>
      </c>
      <c r="AF646" s="26"/>
      <c r="AG646" s="26"/>
    </row>
    <row r="647" spans="1:33" s="206" customFormat="1" x14ac:dyDescent="0.25">
      <c r="A647" s="4"/>
      <c r="B647" s="4">
        <v>45845</v>
      </c>
      <c r="C647" s="1" t="s">
        <v>54</v>
      </c>
      <c r="D647" s="224" t="s">
        <v>3497</v>
      </c>
      <c r="E647" s="1" t="s">
        <v>2256</v>
      </c>
      <c r="F647" s="102" t="s">
        <v>1091</v>
      </c>
      <c r="G647" s="1" t="s">
        <v>1296</v>
      </c>
      <c r="H647" s="8">
        <v>1</v>
      </c>
      <c r="I647" s="8">
        <v>1</v>
      </c>
      <c r="J647" s="115">
        <f>Table224[[#This Row],[Qty]]-Table224[[#This Row],[Issue Qty]]</f>
        <v>0</v>
      </c>
      <c r="K647" s="195"/>
      <c r="L647" s="195" t="s">
        <v>3480</v>
      </c>
      <c r="M647" s="5">
        <v>665</v>
      </c>
      <c r="N647" s="5">
        <f t="shared" si="33"/>
        <v>665</v>
      </c>
      <c r="O647" s="82">
        <v>0.12</v>
      </c>
      <c r="P647" s="9">
        <f t="shared" si="34"/>
        <v>79.8</v>
      </c>
      <c r="Q647" s="5">
        <v>0</v>
      </c>
      <c r="R647" s="5"/>
      <c r="S647" s="5">
        <f t="shared" si="35"/>
        <v>744.8</v>
      </c>
      <c r="T647" s="1" t="s">
        <v>907</v>
      </c>
      <c r="U647" s="1" t="s">
        <v>907</v>
      </c>
      <c r="V647" s="1" t="s">
        <v>601</v>
      </c>
      <c r="W647" s="1">
        <v>50292</v>
      </c>
      <c r="X647" s="1"/>
      <c r="Y647" s="26"/>
      <c r="Z647" s="21" t="s">
        <v>3349</v>
      </c>
      <c r="AA647" s="204"/>
      <c r="AB647" s="21">
        <v>1</v>
      </c>
      <c r="AC647" s="12" t="s">
        <v>936</v>
      </c>
      <c r="AD647" s="26"/>
      <c r="AE647" s="29"/>
      <c r="AF647" s="26"/>
      <c r="AG647" s="26"/>
    </row>
    <row r="648" spans="1:33" s="206" customFormat="1" x14ac:dyDescent="0.25">
      <c r="A648" s="4"/>
      <c r="B648" s="4">
        <v>45846</v>
      </c>
      <c r="C648" s="1" t="s">
        <v>2003</v>
      </c>
      <c r="D648" s="224" t="s">
        <v>3499</v>
      </c>
      <c r="E648" s="1" t="s">
        <v>2248</v>
      </c>
      <c r="F648" s="102" t="s">
        <v>1076</v>
      </c>
      <c r="G648" s="1" t="s">
        <v>1304</v>
      </c>
      <c r="H648" s="8">
        <v>1</v>
      </c>
      <c r="I648" s="8">
        <v>1</v>
      </c>
      <c r="J648" s="115">
        <f>Table224[[#This Row],[Qty]]-Table224[[#This Row],[Issue Qty]]</f>
        <v>0</v>
      </c>
      <c r="K648" s="195"/>
      <c r="L648" s="195" t="s">
        <v>3480</v>
      </c>
      <c r="M648" s="5">
        <v>338.98</v>
      </c>
      <c r="N648" s="5">
        <f t="shared" si="33"/>
        <v>338.98</v>
      </c>
      <c r="O648" s="82">
        <v>0.18</v>
      </c>
      <c r="P648" s="9">
        <f t="shared" si="34"/>
        <v>61.016400000000004</v>
      </c>
      <c r="Q648" s="5">
        <v>0</v>
      </c>
      <c r="R648" s="5"/>
      <c r="S648" s="5">
        <f t="shared" si="35"/>
        <v>399.99639999999999</v>
      </c>
      <c r="T648" s="1" t="s">
        <v>1226</v>
      </c>
      <c r="U648" s="1" t="s">
        <v>1226</v>
      </c>
      <c r="V648" s="1" t="s">
        <v>384</v>
      </c>
      <c r="W648" s="1" t="s">
        <v>2404</v>
      </c>
      <c r="X648" s="1"/>
      <c r="Y648" s="26"/>
      <c r="Z648" s="21"/>
      <c r="AA648" s="204"/>
      <c r="AB648" s="21">
        <v>1</v>
      </c>
      <c r="AC648" s="12" t="s">
        <v>2915</v>
      </c>
      <c r="AD648" s="26"/>
      <c r="AE648" s="29"/>
      <c r="AF648" s="26"/>
      <c r="AG648" s="2"/>
    </row>
    <row r="649" spans="1:33" s="206" customFormat="1" x14ac:dyDescent="0.25">
      <c r="A649" s="4"/>
      <c r="B649" s="4">
        <v>45846</v>
      </c>
      <c r="C649" s="1" t="s">
        <v>54</v>
      </c>
      <c r="D649" s="224" t="s">
        <v>3596</v>
      </c>
      <c r="E649" s="1" t="s">
        <v>2407</v>
      </c>
      <c r="F649" s="102" t="s">
        <v>1307</v>
      </c>
      <c r="G649" s="1" t="s">
        <v>1308</v>
      </c>
      <c r="H649" s="8">
        <v>7</v>
      </c>
      <c r="I649" s="8">
        <v>7</v>
      </c>
      <c r="J649" s="115">
        <f>Table224[[#This Row],[Qty]]-Table224[[#This Row],[Issue Qty]]</f>
        <v>0</v>
      </c>
      <c r="K649" s="195"/>
      <c r="L649" s="195" t="s">
        <v>3480</v>
      </c>
      <c r="M649" s="5">
        <v>1575</v>
      </c>
      <c r="N649" s="5">
        <f t="shared" si="33"/>
        <v>11025</v>
      </c>
      <c r="O649" s="82">
        <v>0.18</v>
      </c>
      <c r="P649" s="9">
        <f t="shared" si="34"/>
        <v>1984.5</v>
      </c>
      <c r="Q649" s="5">
        <v>-199.5</v>
      </c>
      <c r="R649" s="5"/>
      <c r="S649" s="5">
        <f t="shared" si="35"/>
        <v>12810</v>
      </c>
      <c r="T649" s="1" t="s">
        <v>1230</v>
      </c>
      <c r="U649" s="1" t="s">
        <v>1230</v>
      </c>
      <c r="V649" s="1" t="s">
        <v>551</v>
      </c>
      <c r="W649" s="1" t="s">
        <v>2406</v>
      </c>
      <c r="X649" s="1"/>
      <c r="Y649" s="26"/>
      <c r="Z649" s="21"/>
      <c r="AA649" s="204"/>
      <c r="AB649" s="21">
        <v>7</v>
      </c>
      <c r="AC649" s="12" t="s">
        <v>1266</v>
      </c>
      <c r="AD649" s="26"/>
      <c r="AE649" s="29"/>
      <c r="AF649" s="26"/>
      <c r="AG649" s="2"/>
    </row>
    <row r="650" spans="1:33" s="206" customFormat="1" ht="30" x14ac:dyDescent="0.25">
      <c r="A650" s="4"/>
      <c r="B650" s="4">
        <v>45846</v>
      </c>
      <c r="C650" s="1" t="s">
        <v>54</v>
      </c>
      <c r="D650" s="224" t="s">
        <v>3596</v>
      </c>
      <c r="E650" s="1" t="s">
        <v>2160</v>
      </c>
      <c r="F650" s="102" t="s">
        <v>949</v>
      </c>
      <c r="G650" s="1" t="s">
        <v>1309</v>
      </c>
      <c r="H650" s="8">
        <v>2</v>
      </c>
      <c r="I650" s="8">
        <v>0</v>
      </c>
      <c r="J650" s="115">
        <f>Table224[[#This Row],[Qty]]-Table224[[#This Row],[Issue Qty]]</f>
        <v>2</v>
      </c>
      <c r="K650" s="195"/>
      <c r="L650" s="195" t="s">
        <v>3480</v>
      </c>
      <c r="M650" s="5">
        <v>2465</v>
      </c>
      <c r="N650" s="5">
        <f t="shared" si="33"/>
        <v>4930</v>
      </c>
      <c r="O650" s="82">
        <v>0.18</v>
      </c>
      <c r="P650" s="9">
        <f t="shared" si="34"/>
        <v>887.4</v>
      </c>
      <c r="Q650" s="5">
        <f>150+27+72+405.6</f>
        <v>654.6</v>
      </c>
      <c r="R650" s="5"/>
      <c r="S650" s="5">
        <f t="shared" si="35"/>
        <v>6472</v>
      </c>
      <c r="T650" s="1" t="s">
        <v>907</v>
      </c>
      <c r="U650" s="1" t="s">
        <v>907</v>
      </c>
      <c r="V650" s="1" t="s">
        <v>551</v>
      </c>
      <c r="W650" s="1" t="s">
        <v>2408</v>
      </c>
      <c r="X650" s="1"/>
      <c r="Y650" s="26"/>
      <c r="Z650" s="21"/>
      <c r="AA650" s="204"/>
      <c r="AB650" s="21">
        <v>2</v>
      </c>
      <c r="AC650" s="12" t="s">
        <v>2918</v>
      </c>
      <c r="AD650" s="26"/>
      <c r="AE650" s="29"/>
      <c r="AF650" s="26"/>
      <c r="AG650" s="26"/>
    </row>
    <row r="651" spans="1:33" s="24" customFormat="1" x14ac:dyDescent="0.25">
      <c r="A651" s="4"/>
      <c r="B651" s="4">
        <v>45846</v>
      </c>
      <c r="C651" s="1" t="s">
        <v>54</v>
      </c>
      <c r="D651" s="224" t="s">
        <v>3587</v>
      </c>
      <c r="E651" s="1" t="s">
        <v>2306</v>
      </c>
      <c r="F651" s="102" t="s">
        <v>1305</v>
      </c>
      <c r="G651" s="1" t="s">
        <v>1306</v>
      </c>
      <c r="H651" s="8">
        <v>1</v>
      </c>
      <c r="I651" s="8">
        <v>1</v>
      </c>
      <c r="J651" s="115">
        <f>Table224[[#This Row],[Qty]]-Table224[[#This Row],[Issue Qty]]</f>
        <v>0</v>
      </c>
      <c r="K651" s="195"/>
      <c r="L651" s="195" t="s">
        <v>3480</v>
      </c>
      <c r="M651" s="5">
        <v>4305</v>
      </c>
      <c r="N651" s="5">
        <f t="shared" si="33"/>
        <v>4305</v>
      </c>
      <c r="O651" s="82">
        <v>0.18</v>
      </c>
      <c r="P651" s="9">
        <f t="shared" si="34"/>
        <v>774.9</v>
      </c>
      <c r="Q651" s="5">
        <v>0</v>
      </c>
      <c r="R651" s="5"/>
      <c r="S651" s="5">
        <f t="shared" si="35"/>
        <v>5079.8999999999996</v>
      </c>
      <c r="T651" s="1" t="s">
        <v>1230</v>
      </c>
      <c r="U651" s="1" t="s">
        <v>1230</v>
      </c>
      <c r="V651" s="1" t="s">
        <v>551</v>
      </c>
      <c r="W651" s="1" t="s">
        <v>2406</v>
      </c>
      <c r="X651" s="1"/>
      <c r="Y651" s="26"/>
      <c r="Z651" s="21"/>
      <c r="AA651" s="204"/>
      <c r="AB651" s="21">
        <v>1</v>
      </c>
      <c r="AC651" s="12" t="s">
        <v>1266</v>
      </c>
      <c r="AD651" s="26"/>
      <c r="AE651" s="29"/>
      <c r="AF651" s="26"/>
      <c r="AG651" s="2"/>
    </row>
    <row r="652" spans="1:33" s="24" customFormat="1" x14ac:dyDescent="0.25">
      <c r="A652" s="4"/>
      <c r="B652" s="4">
        <v>45846</v>
      </c>
      <c r="C652" s="1" t="s">
        <v>54</v>
      </c>
      <c r="D652" s="224" t="s">
        <v>3587</v>
      </c>
      <c r="E652" s="1" t="s">
        <v>1906</v>
      </c>
      <c r="F652" s="102" t="s">
        <v>549</v>
      </c>
      <c r="G652" s="1" t="s">
        <v>1310</v>
      </c>
      <c r="H652" s="8">
        <v>1</v>
      </c>
      <c r="I652" s="8">
        <v>1</v>
      </c>
      <c r="J652" s="115">
        <f>Table224[[#This Row],[Qty]]-Table224[[#This Row],[Issue Qty]]</f>
        <v>0</v>
      </c>
      <c r="K652" s="195"/>
      <c r="L652" s="195" t="s">
        <v>3480</v>
      </c>
      <c r="M652" s="5">
        <v>5145</v>
      </c>
      <c r="N652" s="5">
        <f t="shared" si="33"/>
        <v>5145</v>
      </c>
      <c r="O652" s="82">
        <v>0.18</v>
      </c>
      <c r="P652" s="9">
        <f t="shared" si="34"/>
        <v>926.09999999999991</v>
      </c>
      <c r="Q652" s="5">
        <v>0</v>
      </c>
      <c r="R652" s="5"/>
      <c r="S652" s="5">
        <f t="shared" si="35"/>
        <v>6071.1</v>
      </c>
      <c r="T652" s="1" t="s">
        <v>1230</v>
      </c>
      <c r="U652" s="1" t="s">
        <v>1230</v>
      </c>
      <c r="V652" s="1" t="s">
        <v>551</v>
      </c>
      <c r="W652" s="1" t="s">
        <v>2406</v>
      </c>
      <c r="X652" s="1"/>
      <c r="Y652" s="26"/>
      <c r="Z652" s="21"/>
      <c r="AA652" s="204"/>
      <c r="AB652" s="21">
        <v>1</v>
      </c>
      <c r="AC652" s="12" t="s">
        <v>3769</v>
      </c>
      <c r="AD652" s="26"/>
      <c r="AE652" s="29"/>
      <c r="AF652" s="26"/>
      <c r="AG652" s="26"/>
    </row>
    <row r="653" spans="1:33" s="24" customFormat="1" x14ac:dyDescent="0.25">
      <c r="A653" s="4"/>
      <c r="B653" s="4">
        <v>45847</v>
      </c>
      <c r="C653" s="1" t="s">
        <v>54</v>
      </c>
      <c r="D653" s="224" t="s">
        <v>3494</v>
      </c>
      <c r="E653" s="1" t="s">
        <v>2409</v>
      </c>
      <c r="F653" s="232" t="s">
        <v>1311</v>
      </c>
      <c r="G653" s="1" t="s">
        <v>1311</v>
      </c>
      <c r="H653" s="8">
        <v>1</v>
      </c>
      <c r="I653" s="8"/>
      <c r="J653" s="115">
        <f>Table224[[#This Row],[Qty]]-Table224[[#This Row],[Issue Qty]]</f>
        <v>1</v>
      </c>
      <c r="K653" s="195"/>
      <c r="L653" s="195" t="s">
        <v>3480</v>
      </c>
      <c r="M653" s="5">
        <v>1242.7</v>
      </c>
      <c r="N653" s="5">
        <f t="shared" si="33"/>
        <v>1242.7</v>
      </c>
      <c r="O653" s="82">
        <v>0.18</v>
      </c>
      <c r="P653" s="9">
        <f t="shared" si="34"/>
        <v>223.68600000000001</v>
      </c>
      <c r="Q653" s="5">
        <v>0</v>
      </c>
      <c r="R653" s="5"/>
      <c r="S653" s="5">
        <f t="shared" si="35"/>
        <v>1466.386</v>
      </c>
      <c r="T653" s="1" t="s">
        <v>1083</v>
      </c>
      <c r="U653" s="1" t="s">
        <v>1083</v>
      </c>
      <c r="V653" s="1" t="s">
        <v>358</v>
      </c>
      <c r="W653" s="1" t="s">
        <v>2410</v>
      </c>
      <c r="X653" s="1"/>
      <c r="Y653" s="26"/>
      <c r="Z653" s="21"/>
      <c r="AA653" s="204"/>
      <c r="AB653" s="21">
        <v>1</v>
      </c>
      <c r="AC653" s="12" t="s">
        <v>1086</v>
      </c>
      <c r="AD653" s="26"/>
      <c r="AE653" s="29"/>
      <c r="AF653" s="26"/>
      <c r="AG653" s="26"/>
    </row>
    <row r="654" spans="1:33" s="206" customFormat="1" x14ac:dyDescent="0.25">
      <c r="A654" s="4"/>
      <c r="B654" s="4">
        <v>45847</v>
      </c>
      <c r="C654" s="1" t="s">
        <v>54</v>
      </c>
      <c r="D654" s="224" t="s">
        <v>3489</v>
      </c>
      <c r="E654" s="1" t="s">
        <v>2413</v>
      </c>
      <c r="F654" s="232" t="s">
        <v>1312</v>
      </c>
      <c r="G654" s="1" t="s">
        <v>1312</v>
      </c>
      <c r="H654" s="8">
        <v>4</v>
      </c>
      <c r="I654" s="8">
        <v>4</v>
      </c>
      <c r="J654" s="115">
        <f>Table224[[#This Row],[Qty]]-Table224[[#This Row],[Issue Qty]]</f>
        <v>0</v>
      </c>
      <c r="K654" s="195"/>
      <c r="L654" s="195" t="s">
        <v>3480</v>
      </c>
      <c r="M654" s="5">
        <v>84</v>
      </c>
      <c r="N654" s="5">
        <f t="shared" si="33"/>
        <v>336</v>
      </c>
      <c r="O654" s="82">
        <v>0.18</v>
      </c>
      <c r="P654" s="9">
        <f t="shared" si="34"/>
        <v>60.48</v>
      </c>
      <c r="Q654" s="5">
        <v>0</v>
      </c>
      <c r="R654" s="5"/>
      <c r="S654" s="5">
        <f t="shared" si="35"/>
        <v>396.48</v>
      </c>
      <c r="T654" s="1" t="s">
        <v>1230</v>
      </c>
      <c r="U654" s="1" t="s">
        <v>1230</v>
      </c>
      <c r="V654" s="1" t="s">
        <v>358</v>
      </c>
      <c r="W654" s="1" t="s">
        <v>2412</v>
      </c>
      <c r="X654" s="1"/>
      <c r="Y654" s="26"/>
      <c r="Z654" s="21"/>
      <c r="AA654" s="204"/>
      <c r="AB654" s="21">
        <v>4</v>
      </c>
      <c r="AC654" s="12" t="s">
        <v>1266</v>
      </c>
      <c r="AD654" s="26"/>
      <c r="AE654" s="29"/>
      <c r="AF654" s="26"/>
      <c r="AG654" s="26"/>
    </row>
    <row r="655" spans="1:33" s="206" customFormat="1" x14ac:dyDescent="0.25">
      <c r="A655" s="4"/>
      <c r="B655" s="4">
        <v>45847</v>
      </c>
      <c r="C655" s="1" t="s">
        <v>54</v>
      </c>
      <c r="D655" s="224" t="s">
        <v>3494</v>
      </c>
      <c r="E655" s="1" t="s">
        <v>2411</v>
      </c>
      <c r="F655" s="102" t="s">
        <v>1111</v>
      </c>
      <c r="G655" s="1" t="s">
        <v>1111</v>
      </c>
      <c r="H655" s="8">
        <v>8</v>
      </c>
      <c r="I655" s="8">
        <v>8</v>
      </c>
      <c r="J655" s="115">
        <f>Table224[[#This Row],[Qty]]-Table224[[#This Row],[Issue Qty]]</f>
        <v>0</v>
      </c>
      <c r="K655" s="195"/>
      <c r="L655" s="195" t="s">
        <v>3480</v>
      </c>
      <c r="M655" s="5">
        <v>583.79999999999995</v>
      </c>
      <c r="N655" s="5">
        <f t="shared" si="33"/>
        <v>4670.3999999999996</v>
      </c>
      <c r="O655" s="82">
        <v>0.18</v>
      </c>
      <c r="P655" s="9">
        <f t="shared" si="34"/>
        <v>840.67199999999991</v>
      </c>
      <c r="Q655" s="5">
        <v>0</v>
      </c>
      <c r="R655" s="5"/>
      <c r="S655" s="5">
        <f t="shared" si="35"/>
        <v>5511.0719999999992</v>
      </c>
      <c r="T655" s="1" t="s">
        <v>1230</v>
      </c>
      <c r="U655" s="1" t="s">
        <v>1230</v>
      </c>
      <c r="V655" s="1" t="s">
        <v>358</v>
      </c>
      <c r="W655" s="1" t="s">
        <v>2412</v>
      </c>
      <c r="X655" s="1"/>
      <c r="Y655" s="26"/>
      <c r="Z655" s="21"/>
      <c r="AA655" s="204"/>
      <c r="AB655" s="21">
        <v>8</v>
      </c>
      <c r="AC655" s="12" t="s">
        <v>331</v>
      </c>
      <c r="AD655" s="26"/>
      <c r="AE655" s="29" t="s">
        <v>1112</v>
      </c>
      <c r="AF655" s="26"/>
      <c r="AG655" s="26"/>
    </row>
    <row r="656" spans="1:33" s="206" customFormat="1" x14ac:dyDescent="0.25">
      <c r="A656" s="4"/>
      <c r="B656" s="4">
        <v>45848</v>
      </c>
      <c r="C656" s="1" t="s">
        <v>2003</v>
      </c>
      <c r="D656" s="224" t="s">
        <v>3494</v>
      </c>
      <c r="E656" s="1" t="s">
        <v>2417</v>
      </c>
      <c r="F656" s="102" t="s">
        <v>1316</v>
      </c>
      <c r="G656" s="1" t="s">
        <v>1316</v>
      </c>
      <c r="H656" s="8">
        <v>10</v>
      </c>
      <c r="I656" s="8"/>
      <c r="J656" s="115">
        <f>Table224[[#This Row],[Qty]]-Table224[[#This Row],[Issue Qty]]</f>
        <v>10</v>
      </c>
      <c r="K656" s="195"/>
      <c r="L656" s="195" t="s">
        <v>3480</v>
      </c>
      <c r="M656" s="5">
        <v>960</v>
      </c>
      <c r="N656" s="5">
        <f t="shared" si="33"/>
        <v>9600</v>
      </c>
      <c r="O656" s="82">
        <v>0.18</v>
      </c>
      <c r="P656" s="9">
        <f t="shared" si="34"/>
        <v>1728</v>
      </c>
      <c r="Q656" s="5">
        <v>0</v>
      </c>
      <c r="R656" s="5"/>
      <c r="S656" s="5">
        <f t="shared" si="35"/>
        <v>11328</v>
      </c>
      <c r="T656" s="1" t="s">
        <v>1230</v>
      </c>
      <c r="U656" s="1" t="s">
        <v>1230</v>
      </c>
      <c r="V656" s="1" t="s">
        <v>1269</v>
      </c>
      <c r="W656" s="1" t="s">
        <v>2418</v>
      </c>
      <c r="X656" s="1"/>
      <c r="Y656" s="26"/>
      <c r="Z656" s="21" t="s">
        <v>1317</v>
      </c>
      <c r="AA656" s="204"/>
      <c r="AB656" s="21"/>
      <c r="AC656" s="12"/>
      <c r="AD656" s="26"/>
      <c r="AE656" s="29"/>
      <c r="AF656" s="26"/>
      <c r="AG656" s="2"/>
    </row>
    <row r="657" spans="1:33" s="206" customFormat="1" x14ac:dyDescent="0.25">
      <c r="A657" s="4"/>
      <c r="B657" s="4">
        <v>45848</v>
      </c>
      <c r="C657" s="1" t="s">
        <v>2003</v>
      </c>
      <c r="D657" s="224" t="s">
        <v>3494</v>
      </c>
      <c r="E657" s="1" t="s">
        <v>2419</v>
      </c>
      <c r="F657" s="102" t="s">
        <v>1318</v>
      </c>
      <c r="G657" s="1" t="s">
        <v>1318</v>
      </c>
      <c r="H657" s="8">
        <v>10</v>
      </c>
      <c r="I657" s="8"/>
      <c r="J657" s="115">
        <f>Table224[[#This Row],[Qty]]-Table224[[#This Row],[Issue Qty]]</f>
        <v>10</v>
      </c>
      <c r="K657" s="195"/>
      <c r="L657" s="195" t="s">
        <v>3480</v>
      </c>
      <c r="M657" s="5">
        <v>850</v>
      </c>
      <c r="N657" s="5">
        <f t="shared" si="33"/>
        <v>8500</v>
      </c>
      <c r="O657" s="82">
        <v>0.18</v>
      </c>
      <c r="P657" s="9">
        <f t="shared" si="34"/>
        <v>1530</v>
      </c>
      <c r="Q657" s="5">
        <f>300+300*0.18</f>
        <v>354</v>
      </c>
      <c r="R657" s="5"/>
      <c r="S657" s="5">
        <f t="shared" si="35"/>
        <v>10384</v>
      </c>
      <c r="T657" s="1" t="s">
        <v>1230</v>
      </c>
      <c r="U657" s="1" t="s">
        <v>1230</v>
      </c>
      <c r="V657" s="1" t="s">
        <v>1269</v>
      </c>
      <c r="W657" s="1" t="s">
        <v>2418</v>
      </c>
      <c r="X657" s="1"/>
      <c r="Y657" s="26"/>
      <c r="Z657" s="21" t="s">
        <v>1317</v>
      </c>
      <c r="AA657" s="204"/>
      <c r="AB657" s="21"/>
      <c r="AC657" s="12"/>
      <c r="AD657" s="26"/>
      <c r="AE657" s="29"/>
      <c r="AF657" s="26"/>
      <c r="AG657" s="26"/>
    </row>
    <row r="658" spans="1:33" s="206" customFormat="1" x14ac:dyDescent="0.25">
      <c r="A658" s="4"/>
      <c r="B658" s="4">
        <v>45848</v>
      </c>
      <c r="C658" s="6" t="s">
        <v>1730</v>
      </c>
      <c r="D658" s="6" t="s">
        <v>1730</v>
      </c>
      <c r="E658" s="1" t="s">
        <v>37</v>
      </c>
      <c r="F658" s="102" t="s">
        <v>1315</v>
      </c>
      <c r="G658" s="1" t="s">
        <v>1315</v>
      </c>
      <c r="H658" s="8">
        <v>2</v>
      </c>
      <c r="I658" s="8">
        <v>1</v>
      </c>
      <c r="J658" s="115">
        <f>Table224[[#This Row],[Qty]]-Table224[[#This Row],[Issue Qty]]</f>
        <v>1</v>
      </c>
      <c r="K658" s="195"/>
      <c r="L658" s="195" t="s">
        <v>3479</v>
      </c>
      <c r="M658" s="5">
        <v>244.28</v>
      </c>
      <c r="N658" s="5">
        <f t="shared" si="33"/>
        <v>488.56</v>
      </c>
      <c r="O658" s="82">
        <v>0.18</v>
      </c>
      <c r="P658" s="9">
        <f t="shared" si="34"/>
        <v>87.940799999999996</v>
      </c>
      <c r="Q658" s="5">
        <v>0.02</v>
      </c>
      <c r="R658" s="5"/>
      <c r="S658" s="5">
        <f t="shared" si="35"/>
        <v>576.52080000000001</v>
      </c>
      <c r="T658" s="1" t="s">
        <v>980</v>
      </c>
      <c r="U658" s="1" t="s">
        <v>980</v>
      </c>
      <c r="V658" s="1" t="s">
        <v>384</v>
      </c>
      <c r="W658" s="1" t="s">
        <v>2416</v>
      </c>
      <c r="X658" s="1"/>
      <c r="Y658" s="26"/>
      <c r="Z658" s="8" t="s">
        <v>420</v>
      </c>
      <c r="AA658" s="204"/>
      <c r="AB658" s="21">
        <v>2</v>
      </c>
      <c r="AC658" s="12" t="s">
        <v>1125</v>
      </c>
      <c r="AD658" s="26"/>
      <c r="AE658" s="29"/>
      <c r="AF658" s="26"/>
      <c r="AG658" s="26"/>
    </row>
    <row r="659" spans="1:33" s="206" customFormat="1" x14ac:dyDescent="0.25">
      <c r="A659" s="4"/>
      <c r="B659" s="4">
        <v>45848</v>
      </c>
      <c r="C659" s="1" t="s">
        <v>1688</v>
      </c>
      <c r="D659" s="224" t="s">
        <v>3450</v>
      </c>
      <c r="E659" s="1" t="s">
        <v>2414</v>
      </c>
      <c r="F659" s="102" t="s">
        <v>1313</v>
      </c>
      <c r="G659" s="1" t="s">
        <v>1313</v>
      </c>
      <c r="H659" s="8">
        <v>3</v>
      </c>
      <c r="I659" s="8">
        <v>3</v>
      </c>
      <c r="J659" s="115">
        <f>Table224[[#This Row],[Qty]]-Table224[[#This Row],[Issue Qty]]</f>
        <v>0</v>
      </c>
      <c r="K659" s="195"/>
      <c r="L659" s="195" t="s">
        <v>3480</v>
      </c>
      <c r="M659" s="5">
        <v>1398.31</v>
      </c>
      <c r="N659" s="5">
        <f t="shared" si="33"/>
        <v>4194.93</v>
      </c>
      <c r="O659" s="82">
        <v>0.18</v>
      </c>
      <c r="P659" s="9">
        <f t="shared" si="34"/>
        <v>755.0874</v>
      </c>
      <c r="Q659" s="5">
        <v>0</v>
      </c>
      <c r="R659" s="5"/>
      <c r="S659" s="5">
        <f t="shared" si="35"/>
        <v>4950.0174000000006</v>
      </c>
      <c r="T659" s="1" t="s">
        <v>1230</v>
      </c>
      <c r="U659" s="1" t="s">
        <v>1230</v>
      </c>
      <c r="V659" s="1" t="s">
        <v>1314</v>
      </c>
      <c r="W659" s="1" t="s">
        <v>2415</v>
      </c>
      <c r="X659" s="1"/>
      <c r="Y659" s="26"/>
      <c r="Z659" s="21"/>
      <c r="AA659" s="204"/>
      <c r="AB659" s="21">
        <v>3</v>
      </c>
      <c r="AC659" s="12" t="s">
        <v>1266</v>
      </c>
      <c r="AD659" s="26"/>
      <c r="AE659" s="29"/>
      <c r="AF659" s="26"/>
      <c r="AG659" s="26"/>
    </row>
    <row r="660" spans="1:33" s="206" customFormat="1" x14ac:dyDescent="0.25">
      <c r="A660" s="4"/>
      <c r="B660" s="4">
        <v>45849</v>
      </c>
      <c r="C660" s="1" t="s">
        <v>54</v>
      </c>
      <c r="D660" s="224" t="s">
        <v>3494</v>
      </c>
      <c r="E660" s="1" t="s">
        <v>2422</v>
      </c>
      <c r="F660" s="102" t="s">
        <v>1320</v>
      </c>
      <c r="G660" s="1" t="s">
        <v>1320</v>
      </c>
      <c r="H660" s="8">
        <v>3</v>
      </c>
      <c r="I660" s="8"/>
      <c r="J660" s="115">
        <f>Table224[[#This Row],[Qty]]-Table224[[#This Row],[Issue Qty]]</f>
        <v>3</v>
      </c>
      <c r="K660" s="195"/>
      <c r="L660" s="195" t="s">
        <v>3480</v>
      </c>
      <c r="M660" s="5">
        <v>200</v>
      </c>
      <c r="N660" s="5">
        <f t="shared" si="33"/>
        <v>600</v>
      </c>
      <c r="O660" s="82">
        <v>0.18</v>
      </c>
      <c r="P660" s="9">
        <f t="shared" si="34"/>
        <v>108</v>
      </c>
      <c r="Q660" s="5">
        <v>0</v>
      </c>
      <c r="R660" s="5"/>
      <c r="S660" s="5">
        <f t="shared" si="35"/>
        <v>708</v>
      </c>
      <c r="T660" s="1" t="s">
        <v>980</v>
      </c>
      <c r="U660" s="1" t="s">
        <v>980</v>
      </c>
      <c r="V660" s="1" t="s">
        <v>1269</v>
      </c>
      <c r="W660" s="1" t="s">
        <v>2423</v>
      </c>
      <c r="X660" s="1"/>
      <c r="Y660" s="26"/>
      <c r="Z660" s="21" t="s">
        <v>3441</v>
      </c>
      <c r="AA660" s="204"/>
      <c r="AB660" s="21">
        <v>3</v>
      </c>
      <c r="AC660" s="12" t="s">
        <v>1125</v>
      </c>
      <c r="AD660" s="26"/>
      <c r="AE660" s="29"/>
      <c r="AF660" s="26"/>
      <c r="AG660" s="26"/>
    </row>
    <row r="661" spans="1:33" s="24" customFormat="1" x14ac:dyDescent="0.25">
      <c r="A661" s="4"/>
      <c r="B661" s="4">
        <v>45849</v>
      </c>
      <c r="C661" s="1" t="s">
        <v>54</v>
      </c>
      <c r="D661" s="224" t="s">
        <v>3494</v>
      </c>
      <c r="E661" s="1" t="s">
        <v>2424</v>
      </c>
      <c r="F661" s="102" t="s">
        <v>1321</v>
      </c>
      <c r="G661" s="1" t="s">
        <v>1321</v>
      </c>
      <c r="H661" s="8">
        <v>6</v>
      </c>
      <c r="I661" s="8"/>
      <c r="J661" s="115">
        <f>Table224[[#This Row],[Qty]]-Table224[[#This Row],[Issue Qty]]</f>
        <v>6</v>
      </c>
      <c r="K661" s="195"/>
      <c r="L661" s="195" t="s">
        <v>3480</v>
      </c>
      <c r="M661" s="5">
        <v>100</v>
      </c>
      <c r="N661" s="5">
        <f t="shared" si="33"/>
        <v>600</v>
      </c>
      <c r="O661" s="82">
        <v>0.18</v>
      </c>
      <c r="P661" s="9">
        <f t="shared" si="34"/>
        <v>108</v>
      </c>
      <c r="Q661" s="5">
        <v>0</v>
      </c>
      <c r="R661" s="5"/>
      <c r="S661" s="5">
        <f t="shared" si="35"/>
        <v>708</v>
      </c>
      <c r="T661" s="1" t="s">
        <v>980</v>
      </c>
      <c r="U661" s="1" t="s">
        <v>980</v>
      </c>
      <c r="V661" s="1" t="s">
        <v>1269</v>
      </c>
      <c r="W661" s="1" t="s">
        <v>2423</v>
      </c>
      <c r="X661" s="1"/>
      <c r="Y661" s="26"/>
      <c r="Z661" s="21" t="s">
        <v>3441</v>
      </c>
      <c r="AA661" s="204"/>
      <c r="AB661" s="21">
        <v>6</v>
      </c>
      <c r="AC661" s="12" t="s">
        <v>1125</v>
      </c>
      <c r="AD661" s="26"/>
      <c r="AE661" s="29"/>
      <c r="AF661" s="26"/>
      <c r="AG661" s="2"/>
    </row>
    <row r="662" spans="1:33" s="206" customFormat="1" x14ac:dyDescent="0.25">
      <c r="A662" s="4"/>
      <c r="B662" s="4">
        <v>45849</v>
      </c>
      <c r="C662" s="1" t="s">
        <v>54</v>
      </c>
      <c r="D662" s="224" t="s">
        <v>3494</v>
      </c>
      <c r="E662" s="1" t="s">
        <v>2425</v>
      </c>
      <c r="F662" s="102" t="s">
        <v>1322</v>
      </c>
      <c r="G662" s="1" t="s">
        <v>1322</v>
      </c>
      <c r="H662" s="8">
        <v>6</v>
      </c>
      <c r="I662" s="8"/>
      <c r="J662" s="115">
        <f>Table224[[#This Row],[Qty]]-Table224[[#This Row],[Issue Qty]]</f>
        <v>6</v>
      </c>
      <c r="K662" s="195"/>
      <c r="L662" s="195" t="s">
        <v>3480</v>
      </c>
      <c r="M662" s="5">
        <v>100</v>
      </c>
      <c r="N662" s="5">
        <f t="shared" si="33"/>
        <v>600</v>
      </c>
      <c r="O662" s="82">
        <v>0.18</v>
      </c>
      <c r="P662" s="9">
        <f t="shared" si="34"/>
        <v>108</v>
      </c>
      <c r="Q662" s="5">
        <v>0</v>
      </c>
      <c r="R662" s="5"/>
      <c r="S662" s="5">
        <f t="shared" si="35"/>
        <v>708</v>
      </c>
      <c r="T662" s="1" t="s">
        <v>980</v>
      </c>
      <c r="U662" s="1" t="s">
        <v>980</v>
      </c>
      <c r="V662" s="1" t="s">
        <v>1269</v>
      </c>
      <c r="W662" s="1" t="s">
        <v>2423</v>
      </c>
      <c r="X662" s="1"/>
      <c r="Y662" s="26"/>
      <c r="Z662" s="21" t="s">
        <v>2527</v>
      </c>
      <c r="AA662" s="204"/>
      <c r="AB662" s="21">
        <v>6</v>
      </c>
      <c r="AC662" s="12" t="s">
        <v>1125</v>
      </c>
      <c r="AD662" s="26"/>
      <c r="AE662" s="29"/>
      <c r="AF662" s="26"/>
      <c r="AG662" s="26"/>
    </row>
    <row r="663" spans="1:33" s="206" customFormat="1" x14ac:dyDescent="0.25">
      <c r="A663" s="4"/>
      <c r="B663" s="4">
        <v>45849</v>
      </c>
      <c r="C663" s="1" t="s">
        <v>54</v>
      </c>
      <c r="D663" s="224" t="s">
        <v>3494</v>
      </c>
      <c r="E663" s="1" t="s">
        <v>2426</v>
      </c>
      <c r="F663" s="102" t="s">
        <v>1323</v>
      </c>
      <c r="G663" s="1" t="s">
        <v>1323</v>
      </c>
      <c r="H663" s="8">
        <v>3</v>
      </c>
      <c r="I663" s="8"/>
      <c r="J663" s="115">
        <f>Table224[[#This Row],[Qty]]-Table224[[#This Row],[Issue Qty]]</f>
        <v>3</v>
      </c>
      <c r="K663" s="195"/>
      <c r="L663" s="195" t="s">
        <v>3480</v>
      </c>
      <c r="M663" s="5">
        <v>400</v>
      </c>
      <c r="N663" s="5">
        <f t="shared" si="33"/>
        <v>1200</v>
      </c>
      <c r="O663" s="82">
        <v>0.18</v>
      </c>
      <c r="P663" s="9">
        <f t="shared" si="34"/>
        <v>216</v>
      </c>
      <c r="Q663" s="5">
        <v>354</v>
      </c>
      <c r="R663" s="5"/>
      <c r="S663" s="5">
        <f t="shared" si="35"/>
        <v>1770</v>
      </c>
      <c r="T663" s="1" t="s">
        <v>980</v>
      </c>
      <c r="U663" s="1" t="s">
        <v>980</v>
      </c>
      <c r="V663" s="1" t="s">
        <v>1269</v>
      </c>
      <c r="W663" s="1" t="s">
        <v>2423</v>
      </c>
      <c r="X663" s="1"/>
      <c r="Y663" s="26"/>
      <c r="Z663" s="21" t="s">
        <v>3441</v>
      </c>
      <c r="AA663" s="204"/>
      <c r="AB663" s="21">
        <v>3</v>
      </c>
      <c r="AC663" s="12" t="s">
        <v>1125</v>
      </c>
      <c r="AD663" s="26"/>
      <c r="AE663" s="29"/>
      <c r="AF663" s="26"/>
      <c r="AG663" s="26"/>
    </row>
    <row r="664" spans="1:33" s="206" customFormat="1" ht="30" x14ac:dyDescent="0.25">
      <c r="A664" s="4"/>
      <c r="B664" s="4">
        <v>45849</v>
      </c>
      <c r="C664" s="6" t="s">
        <v>1730</v>
      </c>
      <c r="D664" s="224" t="s">
        <v>3625</v>
      </c>
      <c r="E664" s="1" t="s">
        <v>2420</v>
      </c>
      <c r="F664" s="102" t="s">
        <v>1319</v>
      </c>
      <c r="G664" s="1" t="s">
        <v>1319</v>
      </c>
      <c r="H664" s="8">
        <v>3</v>
      </c>
      <c r="I664" s="8">
        <v>3</v>
      </c>
      <c r="J664" s="115">
        <f>Table224[[#This Row],[Qty]]-Table224[[#This Row],[Issue Qty]]</f>
        <v>0</v>
      </c>
      <c r="K664" s="195"/>
      <c r="L664" s="195" t="s">
        <v>3480</v>
      </c>
      <c r="M664" s="5">
        <v>61.016666999999998</v>
      </c>
      <c r="N664" s="5">
        <f t="shared" si="33"/>
        <v>183.05000100000001</v>
      </c>
      <c r="O664" s="82">
        <v>0.18</v>
      </c>
      <c r="P664" s="9">
        <f t="shared" si="34"/>
        <v>32.949000179999999</v>
      </c>
      <c r="Q664" s="5">
        <v>99</v>
      </c>
      <c r="R664" s="5"/>
      <c r="S664" s="5">
        <f t="shared" si="35"/>
        <v>314.99900117999999</v>
      </c>
      <c r="T664" s="1" t="s">
        <v>980</v>
      </c>
      <c r="U664" s="1" t="s">
        <v>980</v>
      </c>
      <c r="V664" s="1" t="s">
        <v>691</v>
      </c>
      <c r="W664" s="1" t="s">
        <v>2421</v>
      </c>
      <c r="X664" s="1"/>
      <c r="Y664" s="1"/>
      <c r="Z664" s="21"/>
      <c r="AA664" s="8"/>
      <c r="AB664" s="8">
        <v>3</v>
      </c>
      <c r="AC664" s="12" t="s">
        <v>1125</v>
      </c>
      <c r="AD664" s="1"/>
      <c r="AE664" s="29" t="s">
        <v>701</v>
      </c>
      <c r="AF664" s="1"/>
      <c r="AG664" s="26"/>
    </row>
    <row r="665" spans="1:33" s="24" customFormat="1" x14ac:dyDescent="0.25">
      <c r="A665" s="4"/>
      <c r="B665" s="4">
        <v>45852</v>
      </c>
      <c r="C665" s="6" t="s">
        <v>1683</v>
      </c>
      <c r="D665" s="224" t="s">
        <v>1663</v>
      </c>
      <c r="E665" s="1" t="s">
        <v>2438</v>
      </c>
      <c r="F665" s="232" t="s">
        <v>1338</v>
      </c>
      <c r="G665" s="1" t="s">
        <v>1338</v>
      </c>
      <c r="H665" s="8">
        <v>1</v>
      </c>
      <c r="I665" s="8"/>
      <c r="J665" s="115">
        <f>Table224[[#This Row],[Qty]]-Table224[[#This Row],[Issue Qty]]</f>
        <v>1</v>
      </c>
      <c r="K665" s="195"/>
      <c r="L665" s="195" t="s">
        <v>3480</v>
      </c>
      <c r="M665" s="5">
        <v>3000</v>
      </c>
      <c r="N665" s="5">
        <f t="shared" si="33"/>
        <v>3000</v>
      </c>
      <c r="O665" s="82">
        <v>0.18</v>
      </c>
      <c r="P665" s="9">
        <f t="shared" si="34"/>
        <v>540</v>
      </c>
      <c r="Q665" s="5">
        <v>0</v>
      </c>
      <c r="R665" s="5"/>
      <c r="S665" s="5">
        <f t="shared" si="35"/>
        <v>3540</v>
      </c>
      <c r="T665" s="1" t="s">
        <v>980</v>
      </c>
      <c r="U665" s="1" t="s">
        <v>980</v>
      </c>
      <c r="V665" s="1" t="s">
        <v>896</v>
      </c>
      <c r="W665" s="1" t="s">
        <v>2439</v>
      </c>
      <c r="X665" s="1"/>
      <c r="Y665" s="26"/>
      <c r="Z665" s="21"/>
      <c r="AA665" s="204"/>
      <c r="AB665" s="21">
        <v>1</v>
      </c>
      <c r="AC665" s="22" t="s">
        <v>1125</v>
      </c>
      <c r="AD665" s="26"/>
      <c r="AE665" s="29" t="s">
        <v>1338</v>
      </c>
      <c r="AF665" s="26"/>
      <c r="AG665" s="26"/>
    </row>
    <row r="666" spans="1:33" s="206" customFormat="1" x14ac:dyDescent="0.25">
      <c r="A666" s="4"/>
      <c r="B666" s="4">
        <v>45852</v>
      </c>
      <c r="C666" s="6" t="s">
        <v>1683</v>
      </c>
      <c r="D666" s="224" t="s">
        <v>1663</v>
      </c>
      <c r="E666" s="1" t="s">
        <v>2440</v>
      </c>
      <c r="F666" s="232" t="s">
        <v>1339</v>
      </c>
      <c r="G666" s="1" t="s">
        <v>1339</v>
      </c>
      <c r="H666" s="8">
        <v>4</v>
      </c>
      <c r="I666" s="8"/>
      <c r="J666" s="115">
        <f>Table224[[#This Row],[Qty]]-Table224[[#This Row],[Issue Qty]]</f>
        <v>4</v>
      </c>
      <c r="K666" s="195"/>
      <c r="L666" s="195" t="s">
        <v>3480</v>
      </c>
      <c r="M666" s="5">
        <v>6000</v>
      </c>
      <c r="N666" s="5">
        <f t="shared" si="33"/>
        <v>24000</v>
      </c>
      <c r="O666" s="82">
        <v>0.18</v>
      </c>
      <c r="P666" s="9">
        <f t="shared" si="34"/>
        <v>4320</v>
      </c>
      <c r="Q666" s="5">
        <v>0</v>
      </c>
      <c r="R666" s="5"/>
      <c r="S666" s="5">
        <f t="shared" si="35"/>
        <v>28320</v>
      </c>
      <c r="T666" s="1" t="s">
        <v>980</v>
      </c>
      <c r="U666" s="1" t="s">
        <v>980</v>
      </c>
      <c r="V666" s="1" t="s">
        <v>896</v>
      </c>
      <c r="W666" s="1" t="s">
        <v>2439</v>
      </c>
      <c r="X666" s="1"/>
      <c r="Y666" s="26"/>
      <c r="Z666" s="21"/>
      <c r="AA666" s="204"/>
      <c r="AB666" s="21">
        <v>4</v>
      </c>
      <c r="AC666" s="22" t="s">
        <v>1125</v>
      </c>
      <c r="AD666" s="26"/>
      <c r="AE666" s="29" t="s">
        <v>1339</v>
      </c>
      <c r="AF666" s="26"/>
      <c r="AG666" s="26"/>
    </row>
    <row r="667" spans="1:33" s="206" customFormat="1" ht="30" x14ac:dyDescent="0.25">
      <c r="A667" s="4"/>
      <c r="B667" s="4">
        <v>45852</v>
      </c>
      <c r="C667" s="1" t="s">
        <v>54</v>
      </c>
      <c r="D667" s="6" t="s">
        <v>3494</v>
      </c>
      <c r="E667" s="26" t="s">
        <v>2433</v>
      </c>
      <c r="F667" s="231" t="s">
        <v>1332</v>
      </c>
      <c r="G667" s="1" t="s">
        <v>1333</v>
      </c>
      <c r="H667" s="8">
        <v>1</v>
      </c>
      <c r="I667" s="8"/>
      <c r="J667" s="115">
        <f>Table224[[#This Row],[Qty]]-Table224[[#This Row],[Issue Qty]]</f>
        <v>1</v>
      </c>
      <c r="K667" s="195"/>
      <c r="L667" s="195" t="s">
        <v>3480</v>
      </c>
      <c r="M667" s="5">
        <v>1000</v>
      </c>
      <c r="N667" s="5">
        <f t="shared" si="33"/>
        <v>1000</v>
      </c>
      <c r="O667" s="82">
        <v>0.18</v>
      </c>
      <c r="P667" s="9">
        <f t="shared" si="34"/>
        <v>180</v>
      </c>
      <c r="Q667" s="5">
        <v>0</v>
      </c>
      <c r="R667" s="5"/>
      <c r="S667" s="5">
        <f t="shared" si="35"/>
        <v>1180</v>
      </c>
      <c r="T667" s="1" t="s">
        <v>980</v>
      </c>
      <c r="U667" s="1" t="s">
        <v>980</v>
      </c>
      <c r="V667" s="1" t="s">
        <v>358</v>
      </c>
      <c r="W667" s="1" t="s">
        <v>2434</v>
      </c>
      <c r="X667" s="1"/>
      <c r="Y667" s="26"/>
      <c r="Z667" s="21"/>
      <c r="AA667" s="204"/>
      <c r="AB667" s="21">
        <v>1</v>
      </c>
      <c r="AC667" s="22" t="s">
        <v>1125</v>
      </c>
      <c r="AD667" s="26"/>
      <c r="AE667" s="29"/>
      <c r="AF667" s="26"/>
      <c r="AG667" s="26"/>
    </row>
    <row r="668" spans="1:33" s="206" customFormat="1" x14ac:dyDescent="0.25">
      <c r="A668" s="4"/>
      <c r="B668" s="4">
        <v>45852</v>
      </c>
      <c r="C668" s="1" t="s">
        <v>1991</v>
      </c>
      <c r="D668" s="224" t="s">
        <v>3454</v>
      </c>
      <c r="E668" s="26" t="s">
        <v>2432</v>
      </c>
      <c r="F668" s="231" t="s">
        <v>1329</v>
      </c>
      <c r="G668" s="1" t="s">
        <v>1330</v>
      </c>
      <c r="H668" s="8">
        <v>2</v>
      </c>
      <c r="I668" s="8">
        <v>1</v>
      </c>
      <c r="J668" s="115">
        <f>Table224[[#This Row],[Qty]]-Table224[[#This Row],[Issue Qty]]</f>
        <v>1</v>
      </c>
      <c r="K668" s="195"/>
      <c r="L668" s="195" t="s">
        <v>3480</v>
      </c>
      <c r="M668" s="5">
        <v>6027.62</v>
      </c>
      <c r="N668" s="5">
        <f t="shared" si="33"/>
        <v>12055.24</v>
      </c>
      <c r="O668" s="82">
        <v>0.05</v>
      </c>
      <c r="P668" s="9">
        <f t="shared" si="34"/>
        <v>602.76200000000006</v>
      </c>
      <c r="Q668" s="5">
        <v>0</v>
      </c>
      <c r="R668" s="5"/>
      <c r="S668" s="5">
        <f t="shared" si="35"/>
        <v>12658.002</v>
      </c>
      <c r="T668" s="1" t="s">
        <v>980</v>
      </c>
      <c r="U668" s="1" t="s">
        <v>980</v>
      </c>
      <c r="V668" s="1" t="s">
        <v>691</v>
      </c>
      <c r="W668" s="1" t="s">
        <v>2431</v>
      </c>
      <c r="X668" s="1"/>
      <c r="Y668" s="1"/>
      <c r="Z668" s="21" t="s">
        <v>52</v>
      </c>
      <c r="AA668" s="8" t="s">
        <v>53</v>
      </c>
      <c r="AB668" s="8">
        <v>1</v>
      </c>
      <c r="AC668" s="22" t="s">
        <v>1125</v>
      </c>
      <c r="AD668" s="1"/>
      <c r="AE668" s="29"/>
      <c r="AF668" s="1"/>
      <c r="AG668" s="2"/>
    </row>
    <row r="669" spans="1:33" s="206" customFormat="1" ht="30" x14ac:dyDescent="0.25">
      <c r="A669" s="4"/>
      <c r="B669" s="4">
        <v>45852</v>
      </c>
      <c r="C669" s="6" t="s">
        <v>1730</v>
      </c>
      <c r="D669" s="224" t="s">
        <v>3591</v>
      </c>
      <c r="E669" s="26" t="s">
        <v>2444</v>
      </c>
      <c r="F669" s="233" t="s">
        <v>1343</v>
      </c>
      <c r="G669" s="1" t="s">
        <v>1343</v>
      </c>
      <c r="H669" s="8">
        <v>2</v>
      </c>
      <c r="I669" s="8">
        <v>2</v>
      </c>
      <c r="J669" s="115">
        <f>Table224[[#This Row],[Qty]]-Table224[[#This Row],[Issue Qty]]</f>
        <v>0</v>
      </c>
      <c r="K669" s="195"/>
      <c r="L669" s="195" t="s">
        <v>3480</v>
      </c>
      <c r="M669" s="5">
        <v>167.8</v>
      </c>
      <c r="N669" s="5">
        <f t="shared" si="33"/>
        <v>335.6</v>
      </c>
      <c r="O669" s="82">
        <v>0.18</v>
      </c>
      <c r="P669" s="9">
        <f t="shared" si="34"/>
        <v>60.408000000000001</v>
      </c>
      <c r="Q669" s="5">
        <v>0</v>
      </c>
      <c r="R669" s="5"/>
      <c r="S669" s="5">
        <f t="shared" si="35"/>
        <v>396.00800000000004</v>
      </c>
      <c r="T669" s="1" t="s">
        <v>980</v>
      </c>
      <c r="U669" s="1" t="s">
        <v>980</v>
      </c>
      <c r="V669" s="1" t="s">
        <v>384</v>
      </c>
      <c r="W669" s="1" t="s">
        <v>2445</v>
      </c>
      <c r="X669" s="1"/>
      <c r="Y669" s="1"/>
      <c r="Z669" s="21"/>
      <c r="AA669" s="8"/>
      <c r="AB669" s="8">
        <v>2</v>
      </c>
      <c r="AC669" s="12" t="s">
        <v>3615</v>
      </c>
      <c r="AD669" s="1"/>
      <c r="AE669" s="29"/>
      <c r="AF669" s="1"/>
      <c r="AG669" s="26"/>
    </row>
    <row r="670" spans="1:33" s="206" customFormat="1" x14ac:dyDescent="0.25">
      <c r="A670" s="4"/>
      <c r="B670" s="4">
        <v>45852</v>
      </c>
      <c r="C670" s="6" t="s">
        <v>1683</v>
      </c>
      <c r="D670" s="224" t="s">
        <v>1663</v>
      </c>
      <c r="E670" s="1" t="s">
        <v>2443</v>
      </c>
      <c r="F670" s="102" t="s">
        <v>1342</v>
      </c>
      <c r="G670" s="1" t="s">
        <v>1342</v>
      </c>
      <c r="H670" s="8">
        <v>4</v>
      </c>
      <c r="I670" s="8"/>
      <c r="J670" s="115">
        <f>Table224[[#This Row],[Qty]]-Table224[[#This Row],[Issue Qty]]</f>
        <v>4</v>
      </c>
      <c r="K670" s="195"/>
      <c r="L670" s="195" t="s">
        <v>3480</v>
      </c>
      <c r="M670" s="5">
        <v>1000</v>
      </c>
      <c r="N670" s="5">
        <f t="shared" si="33"/>
        <v>4000</v>
      </c>
      <c r="O670" s="82">
        <v>0.18</v>
      </c>
      <c r="P670" s="9">
        <f t="shared" si="34"/>
        <v>720</v>
      </c>
      <c r="Q670" s="5">
        <v>0</v>
      </c>
      <c r="R670" s="5"/>
      <c r="S670" s="5">
        <f t="shared" si="35"/>
        <v>4720</v>
      </c>
      <c r="T670" s="1" t="s">
        <v>980</v>
      </c>
      <c r="U670" s="1" t="s">
        <v>980</v>
      </c>
      <c r="V670" s="1" t="s">
        <v>896</v>
      </c>
      <c r="W670" s="1" t="s">
        <v>2439</v>
      </c>
      <c r="X670" s="1"/>
      <c r="Y670" s="26"/>
      <c r="Z670" s="21" t="s">
        <v>398</v>
      </c>
      <c r="AA670" s="204"/>
      <c r="AB670" s="21"/>
      <c r="AC670" s="12"/>
      <c r="AD670" s="26"/>
      <c r="AE670" s="29" t="s">
        <v>1342</v>
      </c>
      <c r="AF670" s="26"/>
      <c r="AG670" s="2"/>
    </row>
    <row r="671" spans="1:33" s="206" customFormat="1" x14ac:dyDescent="0.25">
      <c r="A671" s="4"/>
      <c r="B671" s="4">
        <v>45852</v>
      </c>
      <c r="C671" s="6" t="s">
        <v>1730</v>
      </c>
      <c r="D671" s="224" t="s">
        <v>3589</v>
      </c>
      <c r="E671" s="26" t="s">
        <v>2441</v>
      </c>
      <c r="F671" s="233" t="s">
        <v>1340</v>
      </c>
      <c r="G671" s="1" t="s">
        <v>1340</v>
      </c>
      <c r="H671" s="8">
        <v>2</v>
      </c>
      <c r="I671" s="8"/>
      <c r="J671" s="115">
        <f>Table224[[#This Row],[Qty]]-Table224[[#This Row],[Issue Qty]]</f>
        <v>2</v>
      </c>
      <c r="K671" s="195"/>
      <c r="L671" s="195" t="s">
        <v>3486</v>
      </c>
      <c r="M671" s="5">
        <v>42.37</v>
      </c>
      <c r="N671" s="5">
        <f t="shared" si="33"/>
        <v>84.74</v>
      </c>
      <c r="O671" s="82">
        <v>0.18</v>
      </c>
      <c r="P671" s="9">
        <f t="shared" si="34"/>
        <v>15.253199999999998</v>
      </c>
      <c r="Q671" s="5">
        <v>182.71</v>
      </c>
      <c r="R671" s="5"/>
      <c r="S671" s="5">
        <f t="shared" si="35"/>
        <v>282.70319999999998</v>
      </c>
      <c r="T671" s="1" t="s">
        <v>980</v>
      </c>
      <c r="U671" s="1" t="s">
        <v>980</v>
      </c>
      <c r="V671" s="1" t="s">
        <v>1256</v>
      </c>
      <c r="W671" s="1" t="s">
        <v>2442</v>
      </c>
      <c r="X671" s="1"/>
      <c r="Y671" s="1"/>
      <c r="Z671" s="21" t="s">
        <v>420</v>
      </c>
      <c r="AA671" s="8" t="s">
        <v>1341</v>
      </c>
      <c r="AB671" s="8"/>
      <c r="AC671" s="22"/>
      <c r="AD671" s="1"/>
      <c r="AE671" s="29"/>
      <c r="AF671" s="1"/>
      <c r="AG671" s="2"/>
    </row>
    <row r="672" spans="1:33" s="24" customFormat="1" x14ac:dyDescent="0.25">
      <c r="A672" s="4"/>
      <c r="B672" s="4">
        <v>45852</v>
      </c>
      <c r="C672" s="6" t="s">
        <v>1683</v>
      </c>
      <c r="D672" s="224" t="s">
        <v>3487</v>
      </c>
      <c r="E672" s="1" t="s">
        <v>2436</v>
      </c>
      <c r="F672" s="102" t="s">
        <v>1336</v>
      </c>
      <c r="G672" s="1" t="s">
        <v>1337</v>
      </c>
      <c r="H672" s="8">
        <v>10</v>
      </c>
      <c r="I672" s="8">
        <v>10</v>
      </c>
      <c r="J672" s="115">
        <f>Table224[[#This Row],[Qty]]-Table224[[#This Row],[Issue Qty]]</f>
        <v>0</v>
      </c>
      <c r="K672" s="195"/>
      <c r="L672" s="195" t="s">
        <v>3480</v>
      </c>
      <c r="M672" s="5">
        <v>49.524000000000001</v>
      </c>
      <c r="N672" s="5">
        <f t="shared" si="33"/>
        <v>495.24</v>
      </c>
      <c r="O672" s="82">
        <v>0.05</v>
      </c>
      <c r="P672" s="9">
        <f t="shared" si="34"/>
        <v>24.762</v>
      </c>
      <c r="Q672" s="5">
        <v>108</v>
      </c>
      <c r="R672" s="5"/>
      <c r="S672" s="5">
        <f t="shared" si="35"/>
        <v>628.00199999999995</v>
      </c>
      <c r="T672" s="1" t="s">
        <v>980</v>
      </c>
      <c r="U672" s="1" t="s">
        <v>980</v>
      </c>
      <c r="V672" s="1" t="s">
        <v>749</v>
      </c>
      <c r="W672" s="1" t="s">
        <v>2437</v>
      </c>
      <c r="X672" s="1"/>
      <c r="Y672" s="1"/>
      <c r="Z672" s="21"/>
      <c r="AA672" s="21"/>
      <c r="AB672" s="8">
        <v>10</v>
      </c>
      <c r="AC672" s="22" t="s">
        <v>3516</v>
      </c>
      <c r="AD672" s="1"/>
      <c r="AE672" s="29" t="s">
        <v>707</v>
      </c>
      <c r="AF672" s="1"/>
      <c r="AG672" s="26"/>
    </row>
    <row r="673" spans="1:33" s="24" customFormat="1" x14ac:dyDescent="0.25">
      <c r="A673" s="4"/>
      <c r="B673" s="4">
        <v>45852</v>
      </c>
      <c r="C673" s="1" t="s">
        <v>54</v>
      </c>
      <c r="D673" s="224" t="s">
        <v>3497</v>
      </c>
      <c r="E673" s="26" t="s">
        <v>2435</v>
      </c>
      <c r="F673" s="233" t="s">
        <v>1087</v>
      </c>
      <c r="G673" s="1" t="s">
        <v>1334</v>
      </c>
      <c r="H673" s="8">
        <v>3</v>
      </c>
      <c r="I673" s="8"/>
      <c r="J673" s="115">
        <f>Table224[[#This Row],[Qty]]-Table224[[#This Row],[Issue Qty]]</f>
        <v>3</v>
      </c>
      <c r="K673" s="195"/>
      <c r="L673" s="195" t="s">
        <v>3480</v>
      </c>
      <c r="M673" s="5">
        <v>406</v>
      </c>
      <c r="N673" s="5">
        <f t="shared" si="33"/>
        <v>1218</v>
      </c>
      <c r="O673" s="82">
        <v>0.18</v>
      </c>
      <c r="P673" s="9">
        <f t="shared" si="34"/>
        <v>219.23999999999998</v>
      </c>
      <c r="Q673" s="5">
        <v>0</v>
      </c>
      <c r="R673" s="5"/>
      <c r="S673" s="5">
        <f t="shared" si="35"/>
        <v>1437.24</v>
      </c>
      <c r="T673" s="1" t="s">
        <v>980</v>
      </c>
      <c r="U673" s="1" t="s">
        <v>980</v>
      </c>
      <c r="V673" s="1" t="s">
        <v>764</v>
      </c>
      <c r="W673" s="1" t="s">
        <v>2429</v>
      </c>
      <c r="X673" s="1"/>
      <c r="Y673" s="26"/>
      <c r="Z673" s="21"/>
      <c r="AA673" s="204"/>
      <c r="AB673" s="21">
        <v>3</v>
      </c>
      <c r="AC673" s="22" t="s">
        <v>1125</v>
      </c>
      <c r="AD673" s="26"/>
      <c r="AE673" s="29" t="s">
        <v>1334</v>
      </c>
      <c r="AF673" s="26"/>
      <c r="AG673" s="2"/>
    </row>
    <row r="674" spans="1:33" s="206" customFormat="1" x14ac:dyDescent="0.25">
      <c r="A674" s="4"/>
      <c r="B674" s="4">
        <v>45852</v>
      </c>
      <c r="C674" s="1" t="s">
        <v>54</v>
      </c>
      <c r="D674" s="224" t="s">
        <v>3497</v>
      </c>
      <c r="E674" s="26" t="s">
        <v>2403</v>
      </c>
      <c r="F674" s="233" t="s">
        <v>1299</v>
      </c>
      <c r="G674" s="1" t="s">
        <v>1335</v>
      </c>
      <c r="H674" s="8">
        <v>3</v>
      </c>
      <c r="I674" s="8">
        <v>3</v>
      </c>
      <c r="J674" s="115">
        <f>Table224[[#This Row],[Qty]]-Table224[[#This Row],[Issue Qty]]</f>
        <v>0</v>
      </c>
      <c r="K674" s="195"/>
      <c r="L674" s="195" t="s">
        <v>3480</v>
      </c>
      <c r="M674" s="5">
        <v>406</v>
      </c>
      <c r="N674" s="5">
        <f t="shared" si="33"/>
        <v>1218</v>
      </c>
      <c r="O674" s="82">
        <v>0.18</v>
      </c>
      <c r="P674" s="9">
        <f t="shared" si="34"/>
        <v>219.23999999999998</v>
      </c>
      <c r="Q674" s="5">
        <v>0</v>
      </c>
      <c r="R674" s="5"/>
      <c r="S674" s="5">
        <f t="shared" si="35"/>
        <v>1437.24</v>
      </c>
      <c r="T674" s="1" t="s">
        <v>980</v>
      </c>
      <c r="U674" s="1" t="s">
        <v>980</v>
      </c>
      <c r="V674" s="1" t="s">
        <v>764</v>
      </c>
      <c r="W674" s="1" t="s">
        <v>2429</v>
      </c>
      <c r="X674" s="1"/>
      <c r="Y674" s="26"/>
      <c r="Z674" s="21"/>
      <c r="AA674" s="204"/>
      <c r="AB674" s="21">
        <v>3</v>
      </c>
      <c r="AC674" s="22" t="s">
        <v>1125</v>
      </c>
      <c r="AD674" s="26"/>
      <c r="AE674" s="29"/>
      <c r="AF674" s="26"/>
      <c r="AG674" s="26"/>
    </row>
    <row r="675" spans="1:33" s="24" customFormat="1" x14ac:dyDescent="0.25">
      <c r="A675" s="4"/>
      <c r="B675" s="4">
        <v>45852</v>
      </c>
      <c r="C675" s="1" t="s">
        <v>54</v>
      </c>
      <c r="D675" s="224" t="s">
        <v>3494</v>
      </c>
      <c r="E675" s="26" t="s">
        <v>2409</v>
      </c>
      <c r="F675" s="236" t="s">
        <v>1311</v>
      </c>
      <c r="G675" s="1" t="s">
        <v>1331</v>
      </c>
      <c r="H675" s="8">
        <v>3</v>
      </c>
      <c r="I675" s="8">
        <v>2</v>
      </c>
      <c r="J675" s="115">
        <f>Table224[[#This Row],[Qty]]-Table224[[#This Row],[Issue Qty]]</f>
        <v>1</v>
      </c>
      <c r="K675" s="332">
        <v>2</v>
      </c>
      <c r="L675" s="195" t="s">
        <v>3480</v>
      </c>
      <c r="M675" s="5">
        <v>406</v>
      </c>
      <c r="N675" s="5">
        <f t="shared" si="33"/>
        <v>1218</v>
      </c>
      <c r="O675" s="82">
        <v>0.18</v>
      </c>
      <c r="P675" s="9">
        <f t="shared" si="34"/>
        <v>219.23999999999998</v>
      </c>
      <c r="Q675" s="5">
        <v>0</v>
      </c>
      <c r="R675" s="5"/>
      <c r="S675" s="5">
        <f t="shared" si="35"/>
        <v>1437.24</v>
      </c>
      <c r="T675" s="1" t="s">
        <v>980</v>
      </c>
      <c r="U675" s="1" t="s">
        <v>980</v>
      </c>
      <c r="V675" s="1" t="s">
        <v>764</v>
      </c>
      <c r="W675" s="1" t="s">
        <v>2429</v>
      </c>
      <c r="X675" s="1"/>
      <c r="Y675" s="26"/>
      <c r="Z675" s="21" t="s">
        <v>688</v>
      </c>
      <c r="AA675" s="204"/>
      <c r="AB675" s="21">
        <v>3</v>
      </c>
      <c r="AC675" s="22" t="s">
        <v>3778</v>
      </c>
      <c r="AD675" s="26"/>
      <c r="AE675" s="29"/>
      <c r="AF675" s="26"/>
      <c r="AG675" s="2"/>
    </row>
    <row r="676" spans="1:33" s="206" customFormat="1" x14ac:dyDescent="0.25">
      <c r="A676" s="4"/>
      <c r="B676" s="4">
        <v>45852</v>
      </c>
      <c r="C676" s="1" t="s">
        <v>54</v>
      </c>
      <c r="D676" s="224" t="s">
        <v>3500</v>
      </c>
      <c r="E676" s="26" t="s">
        <v>2205</v>
      </c>
      <c r="F676" s="233" t="s">
        <v>1000</v>
      </c>
      <c r="G676" s="1" t="s">
        <v>1328</v>
      </c>
      <c r="H676" s="8">
        <v>12</v>
      </c>
      <c r="I676" s="8">
        <v>12</v>
      </c>
      <c r="J676" s="115">
        <f>Table224[[#This Row],[Qty]]-Table224[[#This Row],[Issue Qty]]</f>
        <v>0</v>
      </c>
      <c r="K676" s="195"/>
      <c r="L676" s="195" t="s">
        <v>3480</v>
      </c>
      <c r="M676" s="5">
        <v>592</v>
      </c>
      <c r="N676" s="5">
        <f t="shared" si="33"/>
        <v>7104</v>
      </c>
      <c r="O676" s="82">
        <v>0.18</v>
      </c>
      <c r="P676" s="9">
        <f t="shared" si="34"/>
        <v>1278.72</v>
      </c>
      <c r="Q676" s="5">
        <v>0</v>
      </c>
      <c r="R676" s="5"/>
      <c r="S676" s="5">
        <f t="shared" si="35"/>
        <v>8382.7199999999993</v>
      </c>
      <c r="T676" s="1" t="s">
        <v>980</v>
      </c>
      <c r="U676" s="1" t="s">
        <v>980</v>
      </c>
      <c r="V676" s="1" t="s">
        <v>764</v>
      </c>
      <c r="W676" s="1" t="s">
        <v>2429</v>
      </c>
      <c r="X676" s="1"/>
      <c r="Y676" s="2"/>
      <c r="Z676" s="21"/>
      <c r="AA676" s="21"/>
      <c r="AB676" s="21">
        <v>12</v>
      </c>
      <c r="AC676" s="12" t="s">
        <v>1125</v>
      </c>
      <c r="AD676" s="2"/>
      <c r="AE676" s="29"/>
      <c r="AF676" s="2"/>
      <c r="AG676" s="26"/>
    </row>
    <row r="677" spans="1:33" s="206" customFormat="1" x14ac:dyDescent="0.25">
      <c r="A677" s="4"/>
      <c r="B677" s="4">
        <v>45852</v>
      </c>
      <c r="C677" s="1" t="s">
        <v>1991</v>
      </c>
      <c r="D677" s="224" t="s">
        <v>3454</v>
      </c>
      <c r="E677" s="26" t="s">
        <v>2430</v>
      </c>
      <c r="F677" s="233" t="s">
        <v>1327</v>
      </c>
      <c r="G677" s="1" t="s">
        <v>1327</v>
      </c>
      <c r="H677" s="8">
        <v>2</v>
      </c>
      <c r="I677" s="8"/>
      <c r="J677" s="115">
        <f>Table224[[#This Row],[Qty]]-Table224[[#This Row],[Issue Qty]]</f>
        <v>2</v>
      </c>
      <c r="K677" s="195"/>
      <c r="L677" s="195" t="s">
        <v>3480</v>
      </c>
      <c r="M677" s="5">
        <v>5841.25</v>
      </c>
      <c r="N677" s="5">
        <f t="shared" si="33"/>
        <v>11682.5</v>
      </c>
      <c r="O677" s="82">
        <v>0.05</v>
      </c>
      <c r="P677" s="9">
        <f t="shared" si="34"/>
        <v>584.125</v>
      </c>
      <c r="Q677" s="5">
        <v>0</v>
      </c>
      <c r="R677" s="5"/>
      <c r="S677" s="5">
        <f t="shared" si="35"/>
        <v>12266.625</v>
      </c>
      <c r="T677" s="1" t="s">
        <v>980</v>
      </c>
      <c r="U677" s="1" t="s">
        <v>980</v>
      </c>
      <c r="V677" s="1" t="s">
        <v>691</v>
      </c>
      <c r="W677" s="1" t="s">
        <v>2431</v>
      </c>
      <c r="X677" s="1"/>
      <c r="Y677" s="1"/>
      <c r="Z677" s="21" t="s">
        <v>244</v>
      </c>
      <c r="AA677" s="8"/>
      <c r="AB677" s="8"/>
      <c r="AC677" s="22"/>
      <c r="AD677" s="1"/>
      <c r="AE677" s="29"/>
      <c r="AF677" s="1"/>
      <c r="AG677" s="26"/>
    </row>
    <row r="678" spans="1:33" s="206" customFormat="1" x14ac:dyDescent="0.25">
      <c r="A678" s="4"/>
      <c r="B678" s="4">
        <v>45852</v>
      </c>
      <c r="C678" s="6" t="s">
        <v>1730</v>
      </c>
      <c r="D678" s="224" t="s">
        <v>3632</v>
      </c>
      <c r="E678" s="26" t="s">
        <v>2427</v>
      </c>
      <c r="F678" s="233" t="s">
        <v>1324</v>
      </c>
      <c r="G678" s="1" t="s">
        <v>1325</v>
      </c>
      <c r="H678" s="8">
        <v>2</v>
      </c>
      <c r="I678" s="8"/>
      <c r="J678" s="115">
        <f>Table224[[#This Row],[Qty]]-Table224[[#This Row],[Issue Qty]]</f>
        <v>2</v>
      </c>
      <c r="K678" s="195"/>
      <c r="L678" s="195" t="s">
        <v>3480</v>
      </c>
      <c r="M678" s="5">
        <v>908.13</v>
      </c>
      <c r="N678" s="5">
        <f t="shared" si="33"/>
        <v>1816.26</v>
      </c>
      <c r="O678" s="82">
        <v>0.18</v>
      </c>
      <c r="P678" s="9">
        <f t="shared" si="34"/>
        <v>326.92680000000001</v>
      </c>
      <c r="Q678" s="5">
        <v>0</v>
      </c>
      <c r="R678" s="5"/>
      <c r="S678" s="5">
        <f t="shared" si="35"/>
        <v>2143.1867999999999</v>
      </c>
      <c r="T678" s="1" t="s">
        <v>980</v>
      </c>
      <c r="U678" s="1" t="s">
        <v>980</v>
      </c>
      <c r="V678" s="1" t="s">
        <v>384</v>
      </c>
      <c r="W678" s="1" t="s">
        <v>2428</v>
      </c>
      <c r="X678" s="1"/>
      <c r="Y678" s="26"/>
      <c r="Z678" s="21"/>
      <c r="AA678" s="204"/>
      <c r="AB678" s="21"/>
      <c r="AC678" s="12"/>
      <c r="AD678" s="26"/>
      <c r="AE678" s="29"/>
      <c r="AF678" s="26"/>
      <c r="AG678" s="26"/>
    </row>
    <row r="679" spans="1:33" s="206" customFormat="1" x14ac:dyDescent="0.25">
      <c r="A679" s="4"/>
      <c r="B679" s="4">
        <v>45852</v>
      </c>
      <c r="C679" s="1" t="s">
        <v>54</v>
      </c>
      <c r="D679" s="224" t="s">
        <v>3497</v>
      </c>
      <c r="E679" s="26" t="s">
        <v>2256</v>
      </c>
      <c r="F679" s="233" t="s">
        <v>1091</v>
      </c>
      <c r="G679" s="1" t="s">
        <v>1326</v>
      </c>
      <c r="H679" s="8">
        <v>3</v>
      </c>
      <c r="I679" s="8">
        <v>3</v>
      </c>
      <c r="J679" s="115">
        <f>Table224[[#This Row],[Qty]]-Table224[[#This Row],[Issue Qty]]</f>
        <v>0</v>
      </c>
      <c r="K679" s="195"/>
      <c r="L679" s="195" t="s">
        <v>3480</v>
      </c>
      <c r="M679" s="5">
        <v>406</v>
      </c>
      <c r="N679" s="5">
        <f t="shared" si="33"/>
        <v>1218</v>
      </c>
      <c r="O679" s="82">
        <v>0.18</v>
      </c>
      <c r="P679" s="9">
        <f t="shared" si="34"/>
        <v>219.23999999999998</v>
      </c>
      <c r="Q679" s="5">
        <v>0</v>
      </c>
      <c r="R679" s="5"/>
      <c r="S679" s="5">
        <f t="shared" si="35"/>
        <v>1437.24</v>
      </c>
      <c r="T679" s="1" t="s">
        <v>980</v>
      </c>
      <c r="U679" s="1" t="s">
        <v>980</v>
      </c>
      <c r="V679" s="1" t="s">
        <v>764</v>
      </c>
      <c r="W679" s="1" t="s">
        <v>2429</v>
      </c>
      <c r="X679" s="1"/>
      <c r="Y679" s="1"/>
      <c r="Z679" s="21" t="s">
        <v>3730</v>
      </c>
      <c r="AA679" s="8"/>
      <c r="AB679" s="8">
        <v>3</v>
      </c>
      <c r="AC679" s="22" t="s">
        <v>3729</v>
      </c>
      <c r="AD679" s="1"/>
      <c r="AE679" s="29"/>
      <c r="AF679" s="1"/>
      <c r="AG679" s="26"/>
    </row>
    <row r="680" spans="1:33" s="24" customFormat="1" x14ac:dyDescent="0.25">
      <c r="A680" s="4"/>
      <c r="B680" s="4">
        <v>45853</v>
      </c>
      <c r="C680" s="6" t="s">
        <v>1683</v>
      </c>
      <c r="D680" s="224" t="s">
        <v>1663</v>
      </c>
      <c r="E680" s="26" t="s">
        <v>2446</v>
      </c>
      <c r="F680" s="231" t="s">
        <v>1344</v>
      </c>
      <c r="G680" s="1" t="s">
        <v>1344</v>
      </c>
      <c r="H680" s="8">
        <v>10</v>
      </c>
      <c r="I680" s="8">
        <v>6</v>
      </c>
      <c r="J680" s="115">
        <f>Table224[[#This Row],[Qty]]-Table224[[#This Row],[Issue Qty]]</f>
        <v>4</v>
      </c>
      <c r="K680" s="195"/>
      <c r="L680" s="195" t="s">
        <v>3480</v>
      </c>
      <c r="M680" s="5">
        <v>219.68600000000001</v>
      </c>
      <c r="N680" s="5">
        <f t="shared" si="33"/>
        <v>2196.86</v>
      </c>
      <c r="O680" s="82">
        <v>0.18</v>
      </c>
      <c r="P680" s="9">
        <f t="shared" si="34"/>
        <v>395.4348</v>
      </c>
      <c r="Q680" s="5">
        <v>149</v>
      </c>
      <c r="R680" s="5"/>
      <c r="S680" s="5">
        <f t="shared" si="35"/>
        <v>2741.2948000000001</v>
      </c>
      <c r="T680" s="1" t="s">
        <v>980</v>
      </c>
      <c r="U680" s="1" t="s">
        <v>980</v>
      </c>
      <c r="V680" s="1" t="s">
        <v>691</v>
      </c>
      <c r="W680" s="1" t="s">
        <v>2431</v>
      </c>
      <c r="X680" s="1"/>
      <c r="Y680" s="26"/>
      <c r="Z680" s="21" t="s">
        <v>1345</v>
      </c>
      <c r="AA680" s="204"/>
      <c r="AB680" s="21">
        <v>6</v>
      </c>
      <c r="AC680" s="12" t="s">
        <v>1032</v>
      </c>
      <c r="AD680" s="26"/>
      <c r="AE680" s="29"/>
      <c r="AF680" s="26"/>
      <c r="AG680" s="26"/>
    </row>
    <row r="681" spans="1:33" s="24" customFormat="1" x14ac:dyDescent="0.25">
      <c r="A681" s="4"/>
      <c r="B681" s="4">
        <v>45854</v>
      </c>
      <c r="C681" s="6" t="s">
        <v>1683</v>
      </c>
      <c r="D681" s="224" t="s">
        <v>3487</v>
      </c>
      <c r="E681" s="26" t="s">
        <v>2436</v>
      </c>
      <c r="F681" s="233" t="s">
        <v>1336</v>
      </c>
      <c r="G681" s="1" t="s">
        <v>1336</v>
      </c>
      <c r="H681" s="8">
        <v>4</v>
      </c>
      <c r="I681" s="8">
        <v>0</v>
      </c>
      <c r="J681" s="115">
        <f>Table224[[#This Row],[Qty]]-Table224[[#This Row],[Issue Qty]]</f>
        <v>4</v>
      </c>
      <c r="K681" s="195"/>
      <c r="L681" s="195" t="s">
        <v>3480</v>
      </c>
      <c r="M681" s="5">
        <v>33</v>
      </c>
      <c r="N681" s="5">
        <f t="shared" si="33"/>
        <v>132</v>
      </c>
      <c r="O681" s="82">
        <v>0.18</v>
      </c>
      <c r="P681" s="9">
        <f t="shared" si="34"/>
        <v>23.759999999999998</v>
      </c>
      <c r="Q681" s="5">
        <v>133.34</v>
      </c>
      <c r="R681" s="5"/>
      <c r="S681" s="5">
        <f t="shared" si="35"/>
        <v>289.10000000000002</v>
      </c>
      <c r="T681" s="1" t="s">
        <v>1230</v>
      </c>
      <c r="U681" s="1" t="s">
        <v>1230</v>
      </c>
      <c r="V681" s="1" t="s">
        <v>792</v>
      </c>
      <c r="W681" s="1" t="s">
        <v>2450</v>
      </c>
      <c r="X681" s="1"/>
      <c r="Y681" s="1"/>
      <c r="Z681" s="21" t="s">
        <v>78</v>
      </c>
      <c r="AA681" s="21" t="s">
        <v>1568</v>
      </c>
      <c r="AB681" s="8">
        <v>0</v>
      </c>
      <c r="AC681" s="22"/>
      <c r="AD681" s="1"/>
      <c r="AE681" s="29"/>
      <c r="AF681" s="1"/>
      <c r="AG681" s="2"/>
    </row>
    <row r="682" spans="1:33" s="206" customFormat="1" x14ac:dyDescent="0.25">
      <c r="A682" s="4"/>
      <c r="B682" s="4">
        <v>45854</v>
      </c>
      <c r="C682" s="1" t="s">
        <v>54</v>
      </c>
      <c r="D682" s="224" t="s">
        <v>3494</v>
      </c>
      <c r="E682" s="1" t="s">
        <v>2447</v>
      </c>
      <c r="F682" s="102" t="s">
        <v>1346</v>
      </c>
      <c r="G682" s="1" t="s">
        <v>1346</v>
      </c>
      <c r="H682" s="8">
        <v>3</v>
      </c>
      <c r="I682" s="8"/>
      <c r="J682" s="115">
        <f>Table224[[#This Row],[Qty]]-Table224[[#This Row],[Issue Qty]]</f>
        <v>3</v>
      </c>
      <c r="K682" s="195"/>
      <c r="L682" s="195" t="s">
        <v>3480</v>
      </c>
      <c r="M682" s="5">
        <v>770</v>
      </c>
      <c r="N682" s="5">
        <f t="shared" si="33"/>
        <v>2310</v>
      </c>
      <c r="O682" s="82">
        <v>0.18</v>
      </c>
      <c r="P682" s="9">
        <f t="shared" si="34"/>
        <v>415.8</v>
      </c>
      <c r="Q682" s="5">
        <v>0</v>
      </c>
      <c r="R682" s="5"/>
      <c r="S682" s="5">
        <f t="shared" si="35"/>
        <v>2725.8</v>
      </c>
      <c r="T682" s="1" t="s">
        <v>980</v>
      </c>
      <c r="U682" s="1" t="s">
        <v>980</v>
      </c>
      <c r="V682" s="1" t="s">
        <v>829</v>
      </c>
      <c r="W682" s="1" t="s">
        <v>2448</v>
      </c>
      <c r="X682" s="1"/>
      <c r="Y682" s="26"/>
      <c r="Z682" s="21"/>
      <c r="AA682" s="204"/>
      <c r="AB682" s="21">
        <v>3</v>
      </c>
      <c r="AC682" s="12" t="s">
        <v>1125</v>
      </c>
      <c r="AD682" s="26"/>
      <c r="AE682" s="29" t="s">
        <v>1347</v>
      </c>
      <c r="AF682" s="26"/>
      <c r="AG682" s="26"/>
    </row>
    <row r="683" spans="1:33" s="206" customFormat="1" x14ac:dyDescent="0.25">
      <c r="A683" s="4"/>
      <c r="B683" s="4">
        <v>45854</v>
      </c>
      <c r="C683" s="1" t="s">
        <v>54</v>
      </c>
      <c r="D683" s="224" t="s">
        <v>3494</v>
      </c>
      <c r="E683" s="1" t="s">
        <v>2449</v>
      </c>
      <c r="F683" s="234" t="s">
        <v>1348</v>
      </c>
      <c r="G683" s="1" t="s">
        <v>1348</v>
      </c>
      <c r="H683" s="8">
        <v>3</v>
      </c>
      <c r="I683" s="8"/>
      <c r="J683" s="115">
        <f>Table224[[#This Row],[Qty]]-Table224[[#This Row],[Issue Qty]]</f>
        <v>3</v>
      </c>
      <c r="K683" s="195"/>
      <c r="L683" s="195" t="s">
        <v>3480</v>
      </c>
      <c r="M683" s="5">
        <v>770</v>
      </c>
      <c r="N683" s="5">
        <f t="shared" si="33"/>
        <v>2310</v>
      </c>
      <c r="O683" s="82">
        <v>0.18</v>
      </c>
      <c r="P683" s="9">
        <f t="shared" si="34"/>
        <v>415.8</v>
      </c>
      <c r="Q683" s="5">
        <v>0.4</v>
      </c>
      <c r="R683" s="5"/>
      <c r="S683" s="5">
        <f t="shared" si="35"/>
        <v>2726.2000000000003</v>
      </c>
      <c r="T683" s="1" t="s">
        <v>980</v>
      </c>
      <c r="U683" s="1" t="s">
        <v>980</v>
      </c>
      <c r="V683" s="1" t="s">
        <v>829</v>
      </c>
      <c r="W683" s="1" t="s">
        <v>2448</v>
      </c>
      <c r="X683" s="1"/>
      <c r="Y683" s="26"/>
      <c r="Z683" s="21"/>
      <c r="AA683" s="204"/>
      <c r="AB683" s="21">
        <v>3</v>
      </c>
      <c r="AC683" s="12" t="s">
        <v>1125</v>
      </c>
      <c r="AD683" s="26"/>
      <c r="AE683" s="29" t="s">
        <v>1349</v>
      </c>
      <c r="AF683" s="26"/>
      <c r="AG683" s="2"/>
    </row>
    <row r="684" spans="1:33" s="206" customFormat="1" x14ac:dyDescent="0.25">
      <c r="A684" s="4"/>
      <c r="B684" s="4">
        <v>45856</v>
      </c>
      <c r="C684" s="6" t="s">
        <v>1683</v>
      </c>
      <c r="D684" s="224" t="s">
        <v>1663</v>
      </c>
      <c r="E684" s="1" t="s">
        <v>2371</v>
      </c>
      <c r="F684" s="232" t="s">
        <v>1251</v>
      </c>
      <c r="G684" s="1" t="s">
        <v>1253</v>
      </c>
      <c r="H684" s="8">
        <v>8</v>
      </c>
      <c r="I684" s="8">
        <v>8</v>
      </c>
      <c r="J684" s="115">
        <f>Table224[[#This Row],[Qty]]-Table224[[#This Row],[Issue Qty]]</f>
        <v>0</v>
      </c>
      <c r="K684" s="195"/>
      <c r="L684" s="195" t="s">
        <v>3480</v>
      </c>
      <c r="M684" s="5">
        <v>39600</v>
      </c>
      <c r="N684" s="5">
        <f t="shared" si="33"/>
        <v>316800</v>
      </c>
      <c r="O684" s="82">
        <v>0.18</v>
      </c>
      <c r="P684" s="9">
        <f t="shared" si="34"/>
        <v>57024</v>
      </c>
      <c r="Q684" s="5">
        <v>0</v>
      </c>
      <c r="R684" s="5"/>
      <c r="S684" s="5">
        <f t="shared" si="35"/>
        <v>373824</v>
      </c>
      <c r="T684" s="1" t="s">
        <v>1230</v>
      </c>
      <c r="U684" s="1" t="s">
        <v>1230</v>
      </c>
      <c r="V684" s="1" t="s">
        <v>896</v>
      </c>
      <c r="W684" s="1" t="s">
        <v>2372</v>
      </c>
      <c r="X684" s="1"/>
      <c r="Y684" s="26"/>
      <c r="Z684" s="21"/>
      <c r="AA684" s="204"/>
      <c r="AB684" s="21">
        <v>8</v>
      </c>
      <c r="AC684" s="12" t="s">
        <v>3369</v>
      </c>
      <c r="AD684" s="26"/>
      <c r="AE684" s="29" t="s">
        <v>1253</v>
      </c>
      <c r="AF684" s="26"/>
      <c r="AG684" s="26"/>
    </row>
    <row r="685" spans="1:33" s="24" customFormat="1" x14ac:dyDescent="0.25">
      <c r="A685" s="4"/>
      <c r="B685" s="4">
        <v>45856</v>
      </c>
      <c r="C685" s="6" t="s">
        <v>1730</v>
      </c>
      <c r="D685" s="224" t="s">
        <v>3590</v>
      </c>
      <c r="E685" s="26" t="s">
        <v>2451</v>
      </c>
      <c r="F685" s="233" t="s">
        <v>1350</v>
      </c>
      <c r="G685" s="1" t="s">
        <v>1351</v>
      </c>
      <c r="H685" s="8">
        <v>1</v>
      </c>
      <c r="I685" s="8"/>
      <c r="J685" s="115">
        <f>Table224[[#This Row],[Qty]]-Table224[[#This Row],[Issue Qty]]</f>
        <v>1</v>
      </c>
      <c r="K685" s="195"/>
      <c r="L685" s="195" t="s">
        <v>3480</v>
      </c>
      <c r="M685" s="5">
        <v>4770</v>
      </c>
      <c r="N685" s="5">
        <f t="shared" si="33"/>
        <v>4770</v>
      </c>
      <c r="O685" s="82">
        <v>0.18</v>
      </c>
      <c r="P685" s="9">
        <f t="shared" si="34"/>
        <v>858.6</v>
      </c>
      <c r="Q685" s="5">
        <v>2124</v>
      </c>
      <c r="R685" s="5"/>
      <c r="S685" s="5">
        <f t="shared" si="35"/>
        <v>7752.6</v>
      </c>
      <c r="T685" s="1" t="s">
        <v>980</v>
      </c>
      <c r="U685" s="1" t="s">
        <v>980</v>
      </c>
      <c r="V685" s="1" t="s">
        <v>1210</v>
      </c>
      <c r="W685" s="1" t="s">
        <v>2452</v>
      </c>
      <c r="X685" s="1"/>
      <c r="Y685" s="1"/>
      <c r="Z685" s="21"/>
      <c r="AA685" s="8"/>
      <c r="AB685" s="8">
        <v>1</v>
      </c>
      <c r="AC685" s="22" t="s">
        <v>1125</v>
      </c>
      <c r="AD685" s="1"/>
      <c r="AE685" s="29"/>
      <c r="AF685" s="1"/>
      <c r="AG685" s="2"/>
    </row>
    <row r="686" spans="1:33" s="24" customFormat="1" ht="30" x14ac:dyDescent="0.25">
      <c r="A686" s="4"/>
      <c r="B686" s="4">
        <v>45859</v>
      </c>
      <c r="C686" s="6" t="s">
        <v>1683</v>
      </c>
      <c r="D686" s="224" t="s">
        <v>3487</v>
      </c>
      <c r="E686" s="26" t="s">
        <v>2453</v>
      </c>
      <c r="F686" s="233" t="s">
        <v>1352</v>
      </c>
      <c r="G686" s="1" t="s">
        <v>1352</v>
      </c>
      <c r="H686" s="8">
        <v>5</v>
      </c>
      <c r="I686" s="8">
        <v>5</v>
      </c>
      <c r="J686" s="115">
        <f>Table224[[#This Row],[Qty]]-Table224[[#This Row],[Issue Qty]]</f>
        <v>0</v>
      </c>
      <c r="K686" s="195"/>
      <c r="L686" s="195" t="s">
        <v>3480</v>
      </c>
      <c r="M686" s="5">
        <v>313.56</v>
      </c>
      <c r="N686" s="5">
        <f t="shared" si="33"/>
        <v>1567.8</v>
      </c>
      <c r="O686" s="82">
        <v>0.18</v>
      </c>
      <c r="P686" s="9">
        <f t="shared" si="34"/>
        <v>282.20400000000001</v>
      </c>
      <c r="Q686" s="5">
        <v>99</v>
      </c>
      <c r="R686" s="5"/>
      <c r="S686" s="5">
        <f t="shared" si="35"/>
        <v>1949.0039999999999</v>
      </c>
      <c r="T686" s="1" t="s">
        <v>1230</v>
      </c>
      <c r="U686" s="1" t="s">
        <v>1230</v>
      </c>
      <c r="V686" s="1" t="s">
        <v>691</v>
      </c>
      <c r="W686" s="1" t="s">
        <v>2454</v>
      </c>
      <c r="X686" s="1"/>
      <c r="Y686" s="1"/>
      <c r="Z686" s="21"/>
      <c r="AA686" s="8"/>
      <c r="AB686" s="8">
        <v>5</v>
      </c>
      <c r="AC686" s="22" t="s">
        <v>1353</v>
      </c>
      <c r="AD686" s="1"/>
      <c r="AE686" s="29"/>
      <c r="AF686" s="1"/>
      <c r="AG686" s="26"/>
    </row>
    <row r="687" spans="1:33" s="24" customFormat="1" x14ac:dyDescent="0.25">
      <c r="A687" s="4"/>
      <c r="B687" s="4">
        <v>45860</v>
      </c>
      <c r="C687" s="1" t="s">
        <v>54</v>
      </c>
      <c r="D687" s="224" t="s">
        <v>3494</v>
      </c>
      <c r="E687" s="1" t="s">
        <v>2461</v>
      </c>
      <c r="F687" s="232" t="s">
        <v>1365</v>
      </c>
      <c r="G687" s="1" t="s">
        <v>1366</v>
      </c>
      <c r="H687" s="8">
        <v>2</v>
      </c>
      <c r="I687" s="8">
        <v>2</v>
      </c>
      <c r="J687" s="115">
        <f>Table224[[#This Row],[Qty]]-Table224[[#This Row],[Issue Qty]]</f>
        <v>0</v>
      </c>
      <c r="K687" s="195"/>
      <c r="L687" s="195" t="s">
        <v>3480</v>
      </c>
      <c r="M687" s="5">
        <v>2046.8</v>
      </c>
      <c r="N687" s="5">
        <f t="shared" si="33"/>
        <v>4093.6</v>
      </c>
      <c r="O687" s="82">
        <v>0.18</v>
      </c>
      <c r="P687" s="9">
        <f t="shared" si="34"/>
        <v>736.84799999999996</v>
      </c>
      <c r="Q687" s="5">
        <v>0</v>
      </c>
      <c r="R687" s="5"/>
      <c r="S687" s="5">
        <f t="shared" si="35"/>
        <v>4830.4480000000003</v>
      </c>
      <c r="T687" s="1" t="s">
        <v>1230</v>
      </c>
      <c r="U687" s="1" t="s">
        <v>1230</v>
      </c>
      <c r="V687" s="1" t="s">
        <v>358</v>
      </c>
      <c r="W687" s="1" t="s">
        <v>2456</v>
      </c>
      <c r="X687" s="1"/>
      <c r="Y687" s="1"/>
      <c r="Z687" s="21"/>
      <c r="AA687" s="8"/>
      <c r="AB687" s="21">
        <v>2</v>
      </c>
      <c r="AC687" s="22" t="s">
        <v>1266</v>
      </c>
      <c r="AD687" s="1"/>
      <c r="AE687" s="29" t="s">
        <v>1367</v>
      </c>
      <c r="AF687" s="1"/>
      <c r="AG687" s="26"/>
    </row>
    <row r="688" spans="1:33" s="206" customFormat="1" x14ac:dyDescent="0.25">
      <c r="A688" s="4"/>
      <c r="B688" s="4">
        <v>45860</v>
      </c>
      <c r="C688" s="1" t="s">
        <v>54</v>
      </c>
      <c r="D688" s="224" t="s">
        <v>3494</v>
      </c>
      <c r="E688" s="1" t="s">
        <v>2455</v>
      </c>
      <c r="F688" s="232" t="s">
        <v>1354</v>
      </c>
      <c r="G688" s="1" t="s">
        <v>1355</v>
      </c>
      <c r="H688" s="8">
        <v>2</v>
      </c>
      <c r="I688" s="8">
        <v>2</v>
      </c>
      <c r="J688" s="115">
        <f>Table224[[#This Row],[Qty]]-Table224[[#This Row],[Issue Qty]]</f>
        <v>0</v>
      </c>
      <c r="K688" s="195"/>
      <c r="L688" s="195" t="s">
        <v>3480</v>
      </c>
      <c r="M688" s="5">
        <v>804.1</v>
      </c>
      <c r="N688" s="5">
        <f t="shared" si="33"/>
        <v>1608.2</v>
      </c>
      <c r="O688" s="82">
        <v>0.18</v>
      </c>
      <c r="P688" s="9">
        <f t="shared" si="34"/>
        <v>289.476</v>
      </c>
      <c r="Q688" s="5">
        <v>0</v>
      </c>
      <c r="R688" s="5"/>
      <c r="S688" s="5">
        <f t="shared" si="35"/>
        <v>1897.6759999999999</v>
      </c>
      <c r="T688" s="1" t="s">
        <v>1230</v>
      </c>
      <c r="U688" s="1" t="s">
        <v>1230</v>
      </c>
      <c r="V688" s="1" t="s">
        <v>358</v>
      </c>
      <c r="W688" s="1" t="s">
        <v>2456</v>
      </c>
      <c r="X688" s="1"/>
      <c r="Y688" s="1"/>
      <c r="Z688" s="21"/>
      <c r="AA688" s="8"/>
      <c r="AB688" s="8">
        <v>1</v>
      </c>
      <c r="AC688" s="22" t="s">
        <v>1266</v>
      </c>
      <c r="AD688" s="1"/>
      <c r="AE688" s="29" t="s">
        <v>1356</v>
      </c>
      <c r="AF688" s="1"/>
      <c r="AG688" s="26"/>
    </row>
    <row r="689" spans="1:33" s="206" customFormat="1" x14ac:dyDescent="0.25">
      <c r="A689" s="4"/>
      <c r="B689" s="4">
        <v>45860</v>
      </c>
      <c r="C689" s="6" t="s">
        <v>1683</v>
      </c>
      <c r="D689" s="224" t="s">
        <v>1663</v>
      </c>
      <c r="E689" s="1" t="s">
        <v>2177</v>
      </c>
      <c r="F689" s="102" t="s">
        <v>971</v>
      </c>
      <c r="G689" s="1" t="s">
        <v>971</v>
      </c>
      <c r="H689" s="8">
        <v>4</v>
      </c>
      <c r="I689" s="8">
        <v>4</v>
      </c>
      <c r="J689" s="115">
        <f>Table224[[#This Row],[Qty]]-Table224[[#This Row],[Issue Qty]]</f>
        <v>0</v>
      </c>
      <c r="K689" s="195"/>
      <c r="L689" s="195" t="s">
        <v>3480</v>
      </c>
      <c r="M689" s="5">
        <v>0</v>
      </c>
      <c r="N689" s="5">
        <f t="shared" si="33"/>
        <v>0</v>
      </c>
      <c r="O689" s="82">
        <v>0</v>
      </c>
      <c r="P689" s="9">
        <f t="shared" si="34"/>
        <v>0</v>
      </c>
      <c r="Q689" s="5"/>
      <c r="R689" s="5"/>
      <c r="S689" s="5">
        <f t="shared" si="35"/>
        <v>0</v>
      </c>
      <c r="T689" s="1" t="s">
        <v>726</v>
      </c>
      <c r="U689" s="1" t="s">
        <v>726</v>
      </c>
      <c r="V689" s="1" t="s">
        <v>896</v>
      </c>
      <c r="W689" s="1" t="s">
        <v>1368</v>
      </c>
      <c r="X689" s="1"/>
      <c r="Y689" s="1"/>
      <c r="Z689" s="21" t="s">
        <v>638</v>
      </c>
      <c r="AA689" s="8" t="s">
        <v>1960</v>
      </c>
      <c r="AB689" s="8"/>
      <c r="AC689" s="22"/>
      <c r="AD689" s="1"/>
      <c r="AE689" s="29" t="s">
        <v>971</v>
      </c>
      <c r="AF689" s="1" t="s">
        <v>1368</v>
      </c>
      <c r="AG689" s="26"/>
    </row>
    <row r="690" spans="1:33" s="206" customFormat="1" x14ac:dyDescent="0.25">
      <c r="A690" s="4"/>
      <c r="B690" s="4">
        <v>45860</v>
      </c>
      <c r="C690" s="1" t="s">
        <v>54</v>
      </c>
      <c r="D690" s="224" t="s">
        <v>3494</v>
      </c>
      <c r="E690" s="1" t="s">
        <v>2459</v>
      </c>
      <c r="F690" s="236" t="s">
        <v>1359</v>
      </c>
      <c r="G690" s="1" t="s">
        <v>1360</v>
      </c>
      <c r="H690" s="8">
        <v>2</v>
      </c>
      <c r="I690" s="8">
        <v>2</v>
      </c>
      <c r="J690" s="115">
        <f>Table224[[#This Row],[Qty]]-Table224[[#This Row],[Issue Qty]]</f>
        <v>0</v>
      </c>
      <c r="K690" s="332">
        <v>2</v>
      </c>
      <c r="L690" s="195" t="s">
        <v>3480</v>
      </c>
      <c r="M690" s="5">
        <v>4459.1000000000004</v>
      </c>
      <c r="N690" s="5">
        <f t="shared" si="33"/>
        <v>8918.2000000000007</v>
      </c>
      <c r="O690" s="82">
        <v>0.18</v>
      </c>
      <c r="P690" s="9">
        <f t="shared" si="34"/>
        <v>1605.2760000000001</v>
      </c>
      <c r="Q690" s="5">
        <v>0</v>
      </c>
      <c r="R690" s="5"/>
      <c r="S690" s="5">
        <f t="shared" si="35"/>
        <v>10523.476000000001</v>
      </c>
      <c r="T690" s="1" t="s">
        <v>1230</v>
      </c>
      <c r="U690" s="1" t="s">
        <v>1230</v>
      </c>
      <c r="V690" s="1" t="s">
        <v>358</v>
      </c>
      <c r="W690" s="1" t="s">
        <v>2456</v>
      </c>
      <c r="X690" s="1"/>
      <c r="Y690" s="26"/>
      <c r="Z690" s="21"/>
      <c r="AA690" s="204"/>
      <c r="AB690" s="21">
        <v>1</v>
      </c>
      <c r="AC690" s="22" t="s">
        <v>3471</v>
      </c>
      <c r="AD690" s="26"/>
      <c r="AE690" s="29" t="s">
        <v>1361</v>
      </c>
      <c r="AF690" s="26"/>
      <c r="AG690" s="26"/>
    </row>
    <row r="691" spans="1:33" s="206" customFormat="1" x14ac:dyDescent="0.25">
      <c r="A691" s="4"/>
      <c r="B691" s="4">
        <v>45860</v>
      </c>
      <c r="C691" s="1" t="s">
        <v>54</v>
      </c>
      <c r="D691" s="6" t="s">
        <v>3494</v>
      </c>
      <c r="E691" s="1" t="s">
        <v>2460</v>
      </c>
      <c r="F691" s="236" t="s">
        <v>1362</v>
      </c>
      <c r="G691" s="1" t="s">
        <v>1363</v>
      </c>
      <c r="H691" s="8">
        <v>2</v>
      </c>
      <c r="I691" s="8">
        <v>2</v>
      </c>
      <c r="J691" s="115">
        <f>Table224[[#This Row],[Qty]]-Table224[[#This Row],[Issue Qty]]</f>
        <v>0</v>
      </c>
      <c r="K691" s="332">
        <v>2</v>
      </c>
      <c r="L691" s="195" t="s">
        <v>3480</v>
      </c>
      <c r="M691" s="5">
        <v>3728.1</v>
      </c>
      <c r="N691" s="5">
        <f t="shared" ref="N691:N754" si="36">H691*M691</f>
        <v>7456.2</v>
      </c>
      <c r="O691" s="82">
        <v>0.18</v>
      </c>
      <c r="P691" s="9">
        <f t="shared" ref="P691:P754" si="37">N691*O691</f>
        <v>1342.116</v>
      </c>
      <c r="Q691" s="5">
        <v>0</v>
      </c>
      <c r="R691" s="5"/>
      <c r="S691" s="5">
        <f t="shared" ref="S691:S754" si="38">N691+P691+Q691+R691</f>
        <v>8798.3159999999989</v>
      </c>
      <c r="T691" s="1" t="s">
        <v>1230</v>
      </c>
      <c r="U691" s="1" t="s">
        <v>1230</v>
      </c>
      <c r="V691" s="1" t="s">
        <v>358</v>
      </c>
      <c r="W691" s="1" t="s">
        <v>2456</v>
      </c>
      <c r="X691" s="1"/>
      <c r="Y691" s="26"/>
      <c r="Z691" s="21"/>
      <c r="AA691" s="204"/>
      <c r="AB691" s="21">
        <v>1</v>
      </c>
      <c r="AC691" s="22" t="s">
        <v>3471</v>
      </c>
      <c r="AD691" s="26"/>
      <c r="AE691" s="29" t="s">
        <v>1364</v>
      </c>
      <c r="AF691" s="26"/>
      <c r="AG691" s="2"/>
    </row>
    <row r="692" spans="1:33" s="206" customFormat="1" x14ac:dyDescent="0.25">
      <c r="A692" s="4"/>
      <c r="B692" s="4">
        <v>45860</v>
      </c>
      <c r="C692" s="6" t="s">
        <v>1730</v>
      </c>
      <c r="D692" s="224" t="s">
        <v>1730</v>
      </c>
      <c r="E692" s="26" t="s">
        <v>2457</v>
      </c>
      <c r="F692" s="233" t="s">
        <v>1357</v>
      </c>
      <c r="G692" s="1" t="s">
        <v>1357</v>
      </c>
      <c r="H692" s="8">
        <v>1</v>
      </c>
      <c r="I692" s="8"/>
      <c r="J692" s="115">
        <f>Table224[[#This Row],[Qty]]-Table224[[#This Row],[Issue Qty]]</f>
        <v>1</v>
      </c>
      <c r="K692" s="195"/>
      <c r="L692" s="195" t="s">
        <v>3480</v>
      </c>
      <c r="M692" s="5">
        <v>6133.15</v>
      </c>
      <c r="N692" s="5">
        <f t="shared" si="36"/>
        <v>6133.15</v>
      </c>
      <c r="O692" s="82">
        <v>0.18</v>
      </c>
      <c r="P692" s="9">
        <f t="shared" si="37"/>
        <v>1103.9669999999999</v>
      </c>
      <c r="Q692" s="5">
        <v>0</v>
      </c>
      <c r="R692" s="5"/>
      <c r="S692" s="5">
        <f t="shared" si="38"/>
        <v>7237.1169999999993</v>
      </c>
      <c r="T692" s="1" t="s">
        <v>980</v>
      </c>
      <c r="U692" s="1" t="s">
        <v>980</v>
      </c>
      <c r="V692" s="1" t="s">
        <v>682</v>
      </c>
      <c r="W692" s="1" t="s">
        <v>2458</v>
      </c>
      <c r="X692" s="1"/>
      <c r="Y692" s="1"/>
      <c r="Z692" s="21" t="s">
        <v>420</v>
      </c>
      <c r="AA692" s="8"/>
      <c r="AB692" s="8"/>
      <c r="AC692" s="22"/>
      <c r="AD692" s="1"/>
      <c r="AE692" s="29"/>
      <c r="AF692" s="1"/>
      <c r="AG692" s="26"/>
    </row>
    <row r="693" spans="1:33" s="24" customFormat="1" x14ac:dyDescent="0.25">
      <c r="A693" s="4"/>
      <c r="B693" s="4">
        <v>45866</v>
      </c>
      <c r="C693" s="6" t="s">
        <v>1683</v>
      </c>
      <c r="D693" s="224" t="s">
        <v>1663</v>
      </c>
      <c r="E693" s="26" t="s">
        <v>2465</v>
      </c>
      <c r="F693" s="231" t="s">
        <v>1372</v>
      </c>
      <c r="G693" s="1" t="s">
        <v>1372</v>
      </c>
      <c r="H693" s="8">
        <v>1</v>
      </c>
      <c r="I693" s="8"/>
      <c r="J693" s="115">
        <f>Table224[[#This Row],[Qty]]-Table224[[#This Row],[Issue Qty]]</f>
        <v>1</v>
      </c>
      <c r="K693" s="195"/>
      <c r="L693" s="195" t="s">
        <v>3480</v>
      </c>
      <c r="M693" s="5">
        <v>1500</v>
      </c>
      <c r="N693" s="5">
        <f t="shared" si="36"/>
        <v>1500</v>
      </c>
      <c r="O693" s="82">
        <v>0.18</v>
      </c>
      <c r="P693" s="9">
        <f t="shared" si="37"/>
        <v>270</v>
      </c>
      <c r="Q693" s="5">
        <v>0</v>
      </c>
      <c r="R693" s="5"/>
      <c r="S693" s="5">
        <f t="shared" si="38"/>
        <v>1770</v>
      </c>
      <c r="T693" s="1" t="s">
        <v>1083</v>
      </c>
      <c r="U693" s="1" t="s">
        <v>1083</v>
      </c>
      <c r="V693" s="1" t="s">
        <v>1009</v>
      </c>
      <c r="W693" s="1" t="s">
        <v>2466</v>
      </c>
      <c r="X693" s="1" t="s">
        <v>2467</v>
      </c>
      <c r="Y693" s="26"/>
      <c r="Z693" s="21"/>
      <c r="AA693" s="204"/>
      <c r="AB693" s="21">
        <v>1</v>
      </c>
      <c r="AC693" s="12" t="s">
        <v>1032</v>
      </c>
      <c r="AD693" s="26"/>
      <c r="AE693" s="29"/>
      <c r="AF693" s="26"/>
      <c r="AG693" s="2"/>
    </row>
    <row r="694" spans="1:33" s="206" customFormat="1" x14ac:dyDescent="0.25">
      <c r="A694" s="4"/>
      <c r="B694" s="4">
        <v>45866</v>
      </c>
      <c r="C694" s="6" t="s">
        <v>1730</v>
      </c>
      <c r="D694" s="224" t="s">
        <v>1730</v>
      </c>
      <c r="E694" s="1" t="s">
        <v>37</v>
      </c>
      <c r="F694" s="102" t="s">
        <v>1369</v>
      </c>
      <c r="G694" s="1" t="s">
        <v>1369</v>
      </c>
      <c r="H694" s="8">
        <v>25</v>
      </c>
      <c r="I694" s="8">
        <v>25</v>
      </c>
      <c r="J694" s="115">
        <f>Table224[[#This Row],[Qty]]-Table224[[#This Row],[Issue Qty]]</f>
        <v>0</v>
      </c>
      <c r="K694" s="195"/>
      <c r="L694" s="195" t="s">
        <v>3480</v>
      </c>
      <c r="M694" s="5">
        <v>62</v>
      </c>
      <c r="N694" s="5">
        <f t="shared" si="36"/>
        <v>1550</v>
      </c>
      <c r="O694" s="82">
        <v>0.18</v>
      </c>
      <c r="P694" s="9">
        <f t="shared" si="37"/>
        <v>279</v>
      </c>
      <c r="Q694" s="5">
        <v>0</v>
      </c>
      <c r="R694" s="5"/>
      <c r="S694" s="5">
        <f t="shared" si="38"/>
        <v>1829</v>
      </c>
      <c r="T694" s="1" t="s">
        <v>1230</v>
      </c>
      <c r="U694" s="1" t="s">
        <v>1230</v>
      </c>
      <c r="V694" s="4" t="s">
        <v>444</v>
      </c>
      <c r="W694" s="1" t="s">
        <v>2462</v>
      </c>
      <c r="X694" s="26"/>
      <c r="Y694" s="26"/>
      <c r="Z694" s="21"/>
      <c r="AA694" s="204"/>
      <c r="AB694" s="21">
        <v>25</v>
      </c>
      <c r="AC694" s="12" t="s">
        <v>1370</v>
      </c>
      <c r="AD694" s="26"/>
      <c r="AE694" s="29"/>
      <c r="AF694" s="26"/>
      <c r="AG694" s="2"/>
    </row>
    <row r="695" spans="1:33" s="206" customFormat="1" x14ac:dyDescent="0.25">
      <c r="A695" s="4"/>
      <c r="B695" s="4">
        <v>45866</v>
      </c>
      <c r="C695" s="1" t="s">
        <v>1991</v>
      </c>
      <c r="D695" s="224" t="s">
        <v>3560</v>
      </c>
      <c r="E695" s="26" t="s">
        <v>2463</v>
      </c>
      <c r="F695" s="233" t="s">
        <v>1371</v>
      </c>
      <c r="G695" s="1" t="s">
        <v>1371</v>
      </c>
      <c r="H695" s="8">
        <v>10</v>
      </c>
      <c r="I695" s="8">
        <v>1</v>
      </c>
      <c r="J695" s="115">
        <f>Table224[[#This Row],[Qty]]-Table224[[#This Row],[Issue Qty]]</f>
        <v>9</v>
      </c>
      <c r="K695" s="195"/>
      <c r="L695" s="195" t="s">
        <v>3480</v>
      </c>
      <c r="M695" s="5">
        <v>65.36</v>
      </c>
      <c r="N695" s="5">
        <f t="shared" si="36"/>
        <v>653.6</v>
      </c>
      <c r="O695" s="82">
        <v>0.18</v>
      </c>
      <c r="P695" s="9">
        <f t="shared" si="37"/>
        <v>117.648</v>
      </c>
      <c r="Q695" s="5">
        <v>0</v>
      </c>
      <c r="R695" s="5"/>
      <c r="S695" s="5">
        <f t="shared" si="38"/>
        <v>771.24800000000005</v>
      </c>
      <c r="T695" s="1" t="s">
        <v>980</v>
      </c>
      <c r="U695" s="1" t="s">
        <v>980</v>
      </c>
      <c r="V695" s="1" t="s">
        <v>682</v>
      </c>
      <c r="W695" s="1" t="s">
        <v>2464</v>
      </c>
      <c r="X695" s="1"/>
      <c r="Y695" s="1"/>
      <c r="Z695" s="21" t="s">
        <v>38</v>
      </c>
      <c r="AA695" s="8"/>
      <c r="AB695" s="8"/>
      <c r="AC695" s="22"/>
      <c r="AD695" s="1"/>
      <c r="AE695" s="29"/>
      <c r="AF695" s="1"/>
      <c r="AG695" s="2"/>
    </row>
    <row r="696" spans="1:33" s="24" customFormat="1" x14ac:dyDescent="0.25">
      <c r="A696" s="4"/>
      <c r="B696" s="4">
        <v>45869</v>
      </c>
      <c r="C696" s="1" t="s">
        <v>1991</v>
      </c>
      <c r="D696" s="224" t="s">
        <v>3455</v>
      </c>
      <c r="E696" s="26" t="s">
        <v>2475</v>
      </c>
      <c r="F696" s="233" t="s">
        <v>1381</v>
      </c>
      <c r="G696" s="1" t="s">
        <v>1381</v>
      </c>
      <c r="H696" s="8">
        <v>3</v>
      </c>
      <c r="I696" s="8">
        <v>2</v>
      </c>
      <c r="J696" s="115">
        <f>Table224[[#This Row],[Qty]]-Table224[[#This Row],[Issue Qty]]</f>
        <v>1</v>
      </c>
      <c r="K696" s="195"/>
      <c r="L696" s="195" t="s">
        <v>3480</v>
      </c>
      <c r="M696" s="5">
        <v>14843.94</v>
      </c>
      <c r="N696" s="5">
        <f t="shared" si="36"/>
        <v>44531.82</v>
      </c>
      <c r="O696" s="82">
        <v>0</v>
      </c>
      <c r="P696" s="9">
        <f t="shared" si="37"/>
        <v>0</v>
      </c>
      <c r="Q696" s="5">
        <v>0</v>
      </c>
      <c r="R696" s="5"/>
      <c r="S696" s="5">
        <f t="shared" si="38"/>
        <v>44531.82</v>
      </c>
      <c r="T696" s="1" t="s">
        <v>1230</v>
      </c>
      <c r="U696" s="1" t="s">
        <v>1230</v>
      </c>
      <c r="V696" s="1" t="s">
        <v>1377</v>
      </c>
      <c r="W696" s="1" t="s">
        <v>2473</v>
      </c>
      <c r="X696" s="1"/>
      <c r="Y696" s="1"/>
      <c r="Z696" s="21" t="s">
        <v>327</v>
      </c>
      <c r="AA696" s="8"/>
      <c r="AB696" s="8">
        <v>2</v>
      </c>
      <c r="AC696" s="22" t="s">
        <v>1382</v>
      </c>
      <c r="AD696" s="1"/>
      <c r="AE696" s="29"/>
      <c r="AF696" s="1"/>
      <c r="AG696" s="2"/>
    </row>
    <row r="697" spans="1:33" s="24" customFormat="1" ht="30" x14ac:dyDescent="0.25">
      <c r="A697" s="4"/>
      <c r="B697" s="4">
        <v>45869</v>
      </c>
      <c r="C697" s="1" t="s">
        <v>1991</v>
      </c>
      <c r="D697" s="224" t="s">
        <v>3500</v>
      </c>
      <c r="E697" s="26" t="s">
        <v>2476</v>
      </c>
      <c r="F697" s="231" t="s">
        <v>1383</v>
      </c>
      <c r="G697" s="1" t="s">
        <v>1383</v>
      </c>
      <c r="H697" s="8">
        <v>3</v>
      </c>
      <c r="I697" s="8">
        <v>3</v>
      </c>
      <c r="J697" s="115">
        <f>Table224[[#This Row],[Qty]]-Table224[[#This Row],[Issue Qty]]</f>
        <v>0</v>
      </c>
      <c r="K697" s="195"/>
      <c r="L697" s="195" t="s">
        <v>3480</v>
      </c>
      <c r="M697" s="5">
        <v>1017.9</v>
      </c>
      <c r="N697" s="5">
        <f t="shared" si="36"/>
        <v>3053.7</v>
      </c>
      <c r="O697" s="82">
        <v>0</v>
      </c>
      <c r="P697" s="9">
        <f t="shared" si="37"/>
        <v>0</v>
      </c>
      <c r="Q697" s="5">
        <v>0</v>
      </c>
      <c r="R697" s="5"/>
      <c r="S697" s="5">
        <f t="shared" si="38"/>
        <v>3053.7</v>
      </c>
      <c r="T697" s="1" t="s">
        <v>1230</v>
      </c>
      <c r="U697" s="1" t="s">
        <v>1230</v>
      </c>
      <c r="V697" s="1" t="s">
        <v>1377</v>
      </c>
      <c r="W697" s="1" t="s">
        <v>2473</v>
      </c>
      <c r="X697" s="1"/>
      <c r="Y697" s="1"/>
      <c r="Z697" s="21" t="s">
        <v>650</v>
      </c>
      <c r="AA697" s="8"/>
      <c r="AB697" s="8">
        <v>3</v>
      </c>
      <c r="AC697" s="22" t="s">
        <v>331</v>
      </c>
      <c r="AD697" s="1"/>
      <c r="AE697" s="29"/>
      <c r="AF697" s="1"/>
      <c r="AG697" s="2"/>
    </row>
    <row r="698" spans="1:33" s="24" customFormat="1" ht="30" x14ac:dyDescent="0.25">
      <c r="A698" s="4"/>
      <c r="B698" s="4">
        <v>45869</v>
      </c>
      <c r="C698" s="1" t="s">
        <v>1991</v>
      </c>
      <c r="D698" s="224" t="s">
        <v>3455</v>
      </c>
      <c r="E698" s="1" t="s">
        <v>2472</v>
      </c>
      <c r="F698" s="102" t="s">
        <v>1375</v>
      </c>
      <c r="G698" s="1" t="s">
        <v>1376</v>
      </c>
      <c r="H698" s="8">
        <v>4</v>
      </c>
      <c r="I698" s="8"/>
      <c r="J698" s="115">
        <f>Table224[[#This Row],[Qty]]-Table224[[#This Row],[Issue Qty]]</f>
        <v>4</v>
      </c>
      <c r="K698" s="195"/>
      <c r="L698" s="195" t="s">
        <v>3480</v>
      </c>
      <c r="M698" s="5">
        <v>572.46</v>
      </c>
      <c r="N698" s="5">
        <f t="shared" si="36"/>
        <v>2289.84</v>
      </c>
      <c r="O698" s="82">
        <v>0</v>
      </c>
      <c r="P698" s="9">
        <f t="shared" si="37"/>
        <v>0</v>
      </c>
      <c r="Q698" s="5">
        <v>0</v>
      </c>
      <c r="R698" s="5"/>
      <c r="S698" s="5">
        <f t="shared" si="38"/>
        <v>2289.84</v>
      </c>
      <c r="T698" s="1" t="s">
        <v>1230</v>
      </c>
      <c r="U698" s="1" t="s">
        <v>1230</v>
      </c>
      <c r="V698" s="1" t="s">
        <v>1377</v>
      </c>
      <c r="W698" s="1" t="s">
        <v>2473</v>
      </c>
      <c r="X698" s="1"/>
      <c r="Y698" s="1"/>
      <c r="Z698" s="21" t="s">
        <v>327</v>
      </c>
      <c r="AA698" s="8" t="s">
        <v>1378</v>
      </c>
      <c r="AB698" s="8"/>
      <c r="AC698" s="22"/>
      <c r="AD698" s="1"/>
      <c r="AE698" s="29" t="s">
        <v>1379</v>
      </c>
      <c r="AF698" s="1"/>
      <c r="AG698" s="26"/>
    </row>
    <row r="699" spans="1:33" s="24" customFormat="1" x14ac:dyDescent="0.25">
      <c r="A699" s="4"/>
      <c r="B699" s="4">
        <v>45869</v>
      </c>
      <c r="C699" s="6" t="s">
        <v>1683</v>
      </c>
      <c r="D699" s="224" t="s">
        <v>3493</v>
      </c>
      <c r="E699" s="26" t="s">
        <v>2474</v>
      </c>
      <c r="F699" s="169" t="s">
        <v>1380</v>
      </c>
      <c r="G699" s="1" t="s">
        <v>1380</v>
      </c>
      <c r="H699" s="8">
        <v>1</v>
      </c>
      <c r="I699" s="8">
        <v>0</v>
      </c>
      <c r="J699" s="115">
        <f>Table224[[#This Row],[Qty]]-Table224[[#This Row],[Issue Qty]]</f>
        <v>1</v>
      </c>
      <c r="K699" s="195"/>
      <c r="L699" s="195" t="s">
        <v>3480</v>
      </c>
      <c r="M699" s="5">
        <v>175</v>
      </c>
      <c r="N699" s="5">
        <f t="shared" si="36"/>
        <v>175</v>
      </c>
      <c r="O699" s="82">
        <v>0.18</v>
      </c>
      <c r="P699" s="9">
        <f t="shared" si="37"/>
        <v>31.5</v>
      </c>
      <c r="Q699" s="5">
        <v>0</v>
      </c>
      <c r="R699" s="5"/>
      <c r="S699" s="5">
        <f t="shared" si="38"/>
        <v>206.5</v>
      </c>
      <c r="T699" s="1" t="s">
        <v>1230</v>
      </c>
      <c r="U699" s="1" t="s">
        <v>1230</v>
      </c>
      <c r="V699" s="1" t="s">
        <v>1314</v>
      </c>
      <c r="W699" s="1" t="s">
        <v>2471</v>
      </c>
      <c r="X699" s="1"/>
      <c r="Y699" s="1"/>
      <c r="Z699" s="21" t="s">
        <v>650</v>
      </c>
      <c r="AA699" s="8"/>
      <c r="AB699" s="8"/>
      <c r="AC699" s="22"/>
      <c r="AD699" s="1"/>
      <c r="AE699" s="29"/>
      <c r="AF699" s="1"/>
      <c r="AG699" s="26"/>
    </row>
    <row r="700" spans="1:33" s="206" customFormat="1" x14ac:dyDescent="0.25">
      <c r="A700" s="4"/>
      <c r="B700" s="4">
        <v>45869</v>
      </c>
      <c r="C700" s="1" t="s">
        <v>54</v>
      </c>
      <c r="D700" s="224" t="s">
        <v>3500</v>
      </c>
      <c r="E700" s="26" t="s">
        <v>2468</v>
      </c>
      <c r="F700" s="236" t="s">
        <v>1373</v>
      </c>
      <c r="G700" s="1" t="s">
        <v>1373</v>
      </c>
      <c r="H700" s="8">
        <v>5</v>
      </c>
      <c r="I700" s="8">
        <v>5</v>
      </c>
      <c r="J700" s="115">
        <f>Table224[[#This Row],[Qty]]-Table224[[#This Row],[Issue Qty]]</f>
        <v>0</v>
      </c>
      <c r="K700" s="332">
        <v>2</v>
      </c>
      <c r="L700" s="195" t="s">
        <v>3480</v>
      </c>
      <c r="M700" s="5">
        <v>383</v>
      </c>
      <c r="N700" s="5">
        <f t="shared" si="36"/>
        <v>1915</v>
      </c>
      <c r="O700" s="82">
        <v>0.05</v>
      </c>
      <c r="P700" s="9">
        <f t="shared" si="37"/>
        <v>95.75</v>
      </c>
      <c r="Q700" s="5">
        <v>0</v>
      </c>
      <c r="R700" s="5"/>
      <c r="S700" s="5">
        <f t="shared" si="38"/>
        <v>2010.75</v>
      </c>
      <c r="T700" s="1" t="s">
        <v>1230</v>
      </c>
      <c r="U700" s="1" t="s">
        <v>1230</v>
      </c>
      <c r="V700" s="1" t="s">
        <v>444</v>
      </c>
      <c r="W700" s="1" t="s">
        <v>2469</v>
      </c>
      <c r="X700" s="1"/>
      <c r="Y700" s="1"/>
      <c r="Z700" s="21" t="s">
        <v>52</v>
      </c>
      <c r="AA700" s="21"/>
      <c r="AB700" s="8">
        <v>2</v>
      </c>
      <c r="AC700" s="22" t="s">
        <v>3827</v>
      </c>
      <c r="AD700" s="1"/>
      <c r="AE700" s="29"/>
      <c r="AF700" s="1"/>
      <c r="AG700" s="2"/>
    </row>
    <row r="701" spans="1:33" s="206" customFormat="1" x14ac:dyDescent="0.25">
      <c r="A701" s="4"/>
      <c r="B701" s="4">
        <v>45869</v>
      </c>
      <c r="C701" s="1" t="s">
        <v>1991</v>
      </c>
      <c r="D701" s="224" t="s">
        <v>1730</v>
      </c>
      <c r="E701" s="26" t="s">
        <v>2470</v>
      </c>
      <c r="F701" s="233" t="s">
        <v>1374</v>
      </c>
      <c r="G701" s="1" t="s">
        <v>1374</v>
      </c>
      <c r="H701" s="8">
        <v>1</v>
      </c>
      <c r="I701" s="8"/>
      <c r="J701" s="115">
        <f>Table224[[#This Row],[Qty]]-Table224[[#This Row],[Issue Qty]]</f>
        <v>1</v>
      </c>
      <c r="K701" s="195"/>
      <c r="L701" s="195" t="s">
        <v>3486</v>
      </c>
      <c r="M701" s="5">
        <v>250</v>
      </c>
      <c r="N701" s="5">
        <f t="shared" si="36"/>
        <v>250</v>
      </c>
      <c r="O701" s="82">
        <v>0.18</v>
      </c>
      <c r="P701" s="9">
        <f t="shared" si="37"/>
        <v>45</v>
      </c>
      <c r="Q701" s="5">
        <v>0</v>
      </c>
      <c r="R701" s="5"/>
      <c r="S701" s="5">
        <f t="shared" si="38"/>
        <v>295</v>
      </c>
      <c r="T701" s="1" t="s">
        <v>1230</v>
      </c>
      <c r="U701" s="1" t="s">
        <v>1230</v>
      </c>
      <c r="V701" s="1" t="s">
        <v>1314</v>
      </c>
      <c r="W701" s="1" t="s">
        <v>2471</v>
      </c>
      <c r="X701" s="1"/>
      <c r="Y701" s="1"/>
      <c r="Z701" s="21" t="s">
        <v>650</v>
      </c>
      <c r="AA701" s="8"/>
      <c r="AB701" s="8">
        <v>1</v>
      </c>
      <c r="AC701" s="22" t="s">
        <v>2944</v>
      </c>
      <c r="AD701" s="1"/>
      <c r="AE701" s="29"/>
      <c r="AF701" s="1"/>
      <c r="AG701" s="26"/>
    </row>
    <row r="702" spans="1:33" s="206" customFormat="1" x14ac:dyDescent="0.25">
      <c r="A702" s="4"/>
      <c r="B702" s="4">
        <v>45870</v>
      </c>
      <c r="C702" s="6" t="s">
        <v>1683</v>
      </c>
      <c r="D702" s="224" t="s">
        <v>1663</v>
      </c>
      <c r="E702" s="1" t="s">
        <v>2477</v>
      </c>
      <c r="F702" s="169" t="s">
        <v>1384</v>
      </c>
      <c r="G702" s="1" t="s">
        <v>1385</v>
      </c>
      <c r="H702" s="8">
        <v>1</v>
      </c>
      <c r="I702" s="8"/>
      <c r="J702" s="115">
        <f>Table224[[#This Row],[Qty]]-Table224[[#This Row],[Issue Qty]]</f>
        <v>1</v>
      </c>
      <c r="K702" s="195"/>
      <c r="L702" s="195" t="s">
        <v>3480</v>
      </c>
      <c r="M702" s="5">
        <v>4500</v>
      </c>
      <c r="N702" s="5">
        <f t="shared" si="36"/>
        <v>4500</v>
      </c>
      <c r="O702" s="82">
        <v>0.18</v>
      </c>
      <c r="P702" s="9">
        <f t="shared" si="37"/>
        <v>810</v>
      </c>
      <c r="Q702" s="5">
        <v>0</v>
      </c>
      <c r="R702" s="5">
        <v>0</v>
      </c>
      <c r="S702" s="5">
        <f t="shared" si="38"/>
        <v>5310</v>
      </c>
      <c r="T702" s="1" t="s">
        <v>980</v>
      </c>
      <c r="U702" s="1" t="s">
        <v>1125</v>
      </c>
      <c r="V702" s="1" t="s">
        <v>896</v>
      </c>
      <c r="W702" s="1" t="s">
        <v>2478</v>
      </c>
      <c r="X702" s="1"/>
      <c r="Y702" s="26"/>
      <c r="Z702" s="21"/>
      <c r="AA702" s="204"/>
      <c r="AB702" s="21">
        <v>1</v>
      </c>
      <c r="AC702" s="12" t="s">
        <v>1100</v>
      </c>
      <c r="AD702" s="26"/>
      <c r="AE702" s="29"/>
      <c r="AF702" s="26"/>
      <c r="AG702" s="26"/>
    </row>
    <row r="703" spans="1:33" s="24" customFormat="1" ht="45" x14ac:dyDescent="0.25">
      <c r="A703" s="4"/>
      <c r="B703" s="4">
        <v>45870</v>
      </c>
      <c r="C703" s="1" t="s">
        <v>54</v>
      </c>
      <c r="D703" s="224" t="s">
        <v>3500</v>
      </c>
      <c r="E703" s="1" t="s">
        <v>3597</v>
      </c>
      <c r="F703" s="102" t="s">
        <v>1386</v>
      </c>
      <c r="G703" s="1" t="s">
        <v>1387</v>
      </c>
      <c r="H703" s="8">
        <v>6</v>
      </c>
      <c r="I703" s="8">
        <v>6</v>
      </c>
      <c r="J703" s="115">
        <f>Table224[[#This Row],[Qty]]-Table224[[#This Row],[Issue Qty]]</f>
        <v>0</v>
      </c>
      <c r="K703" s="195"/>
      <c r="L703" s="195" t="s">
        <v>3480</v>
      </c>
      <c r="M703" s="5">
        <v>5690</v>
      </c>
      <c r="N703" s="5">
        <f t="shared" si="36"/>
        <v>34140</v>
      </c>
      <c r="O703" s="82">
        <v>0.18</v>
      </c>
      <c r="P703" s="9">
        <f t="shared" si="37"/>
        <v>6145.2</v>
      </c>
      <c r="Q703" s="5">
        <v>0</v>
      </c>
      <c r="R703" s="5"/>
      <c r="S703" s="5">
        <f t="shared" si="38"/>
        <v>40285.199999999997</v>
      </c>
      <c r="T703" s="1" t="s">
        <v>606</v>
      </c>
      <c r="U703" s="1" t="s">
        <v>606</v>
      </c>
      <c r="V703" s="1" t="s">
        <v>444</v>
      </c>
      <c r="W703" s="1" t="s">
        <v>2480</v>
      </c>
      <c r="X703" s="1"/>
      <c r="Y703" s="26"/>
      <c r="Z703" s="21"/>
      <c r="AA703" s="204"/>
      <c r="AB703" s="21">
        <v>6</v>
      </c>
      <c r="AC703" s="12" t="s">
        <v>3804</v>
      </c>
      <c r="AD703" s="26"/>
      <c r="AE703" s="29"/>
      <c r="AF703" s="26"/>
      <c r="AG703" s="26"/>
    </row>
    <row r="704" spans="1:33" s="24" customFormat="1" x14ac:dyDescent="0.25">
      <c r="A704" s="4"/>
      <c r="B704" s="4">
        <v>45871</v>
      </c>
      <c r="C704" s="6" t="s">
        <v>1730</v>
      </c>
      <c r="D704" s="224" t="s">
        <v>3632</v>
      </c>
      <c r="E704" s="1" t="s">
        <v>2427</v>
      </c>
      <c r="F704" s="102" t="s">
        <v>1324</v>
      </c>
      <c r="G704" s="2" t="s">
        <v>1324</v>
      </c>
      <c r="H704" s="8">
        <v>2</v>
      </c>
      <c r="I704" s="8"/>
      <c r="J704" s="115">
        <f>Table224[[#This Row],[Qty]]-Table224[[#This Row],[Issue Qty]]</f>
        <v>2</v>
      </c>
      <c r="K704" s="195"/>
      <c r="L704" s="195" t="s">
        <v>3480</v>
      </c>
      <c r="M704" s="5">
        <v>933.9</v>
      </c>
      <c r="N704" s="5">
        <f t="shared" si="36"/>
        <v>1867.8</v>
      </c>
      <c r="O704" s="82">
        <v>0.18</v>
      </c>
      <c r="P704" s="9">
        <f t="shared" si="37"/>
        <v>336.20400000000001</v>
      </c>
      <c r="Q704" s="5">
        <v>0</v>
      </c>
      <c r="R704" s="5">
        <v>-110.2</v>
      </c>
      <c r="S704" s="5">
        <f t="shared" si="38"/>
        <v>2093.8040000000001</v>
      </c>
      <c r="T704" s="1" t="s">
        <v>980</v>
      </c>
      <c r="U704" s="1" t="s">
        <v>1125</v>
      </c>
      <c r="V704" s="1" t="s">
        <v>384</v>
      </c>
      <c r="W704" s="1" t="s">
        <v>2482</v>
      </c>
      <c r="X704" s="1"/>
      <c r="Y704" s="26"/>
      <c r="Z704" s="21"/>
      <c r="AA704" s="204"/>
      <c r="AB704" s="21"/>
      <c r="AC704" s="12"/>
      <c r="AD704" s="26"/>
      <c r="AE704" s="29"/>
      <c r="AF704" s="26"/>
      <c r="AG704" s="2"/>
    </row>
    <row r="705" spans="1:33" s="206" customFormat="1" x14ac:dyDescent="0.25">
      <c r="A705" s="4"/>
      <c r="B705" s="4">
        <v>45871</v>
      </c>
      <c r="C705" s="6" t="s">
        <v>1730</v>
      </c>
      <c r="D705" s="224" t="s">
        <v>3632</v>
      </c>
      <c r="E705" s="1" t="s">
        <v>2481</v>
      </c>
      <c r="F705" s="102" t="s">
        <v>1388</v>
      </c>
      <c r="G705" s="2" t="s">
        <v>1389</v>
      </c>
      <c r="H705" s="8">
        <v>2</v>
      </c>
      <c r="I705" s="8"/>
      <c r="J705" s="115">
        <f>Table224[[#This Row],[Qty]]-Table224[[#This Row],[Issue Qty]]</f>
        <v>2</v>
      </c>
      <c r="K705" s="195"/>
      <c r="L705" s="195" t="s">
        <v>3480</v>
      </c>
      <c r="M705" s="5">
        <v>933.9</v>
      </c>
      <c r="N705" s="5">
        <f t="shared" si="36"/>
        <v>1867.8</v>
      </c>
      <c r="O705" s="82">
        <v>0.18</v>
      </c>
      <c r="P705" s="9">
        <f t="shared" si="37"/>
        <v>336.20400000000001</v>
      </c>
      <c r="Q705" s="5">
        <v>0</v>
      </c>
      <c r="R705" s="5">
        <v>-110.2</v>
      </c>
      <c r="S705" s="5">
        <f t="shared" si="38"/>
        <v>2093.8040000000001</v>
      </c>
      <c r="T705" s="1" t="s">
        <v>980</v>
      </c>
      <c r="U705" s="1" t="s">
        <v>1125</v>
      </c>
      <c r="V705" s="1" t="s">
        <v>384</v>
      </c>
      <c r="W705" s="1" t="s">
        <v>2482</v>
      </c>
      <c r="X705" s="1"/>
      <c r="Y705" s="26"/>
      <c r="Z705" s="21"/>
      <c r="AA705" s="204"/>
      <c r="AB705" s="21"/>
      <c r="AC705" s="12"/>
      <c r="AD705" s="26"/>
      <c r="AE705" s="29"/>
      <c r="AF705" s="26"/>
      <c r="AG705" s="2"/>
    </row>
    <row r="706" spans="1:33" s="206" customFormat="1" x14ac:dyDescent="0.25">
      <c r="A706" s="4"/>
      <c r="B706" s="4">
        <v>45873</v>
      </c>
      <c r="C706" s="1" t="s">
        <v>1991</v>
      </c>
      <c r="D706" s="224" t="s">
        <v>3492</v>
      </c>
      <c r="E706" s="1" t="s">
        <v>1831</v>
      </c>
      <c r="F706" s="102" t="s">
        <v>379</v>
      </c>
      <c r="G706" s="1" t="s">
        <v>379</v>
      </c>
      <c r="H706" s="8">
        <v>2</v>
      </c>
      <c r="I706" s="8">
        <v>1</v>
      </c>
      <c r="J706" s="115">
        <f>Table224[[#This Row],[Qty]]-Table224[[#This Row],[Issue Qty]]</f>
        <v>1</v>
      </c>
      <c r="K706" s="195"/>
      <c r="L706" s="195" t="s">
        <v>3480</v>
      </c>
      <c r="M706" s="5">
        <v>633.33000000000004</v>
      </c>
      <c r="N706" s="5">
        <f t="shared" si="36"/>
        <v>1266.6600000000001</v>
      </c>
      <c r="O706" s="82">
        <v>0.05</v>
      </c>
      <c r="P706" s="9">
        <f t="shared" si="37"/>
        <v>63.333000000000006</v>
      </c>
      <c r="Q706" s="5">
        <v>59</v>
      </c>
      <c r="R706" s="5"/>
      <c r="S706" s="5">
        <f t="shared" si="38"/>
        <v>1388.9930000000002</v>
      </c>
      <c r="T706" s="1" t="s">
        <v>1230</v>
      </c>
      <c r="U706" s="1" t="s">
        <v>1230</v>
      </c>
      <c r="V706" s="1" t="s">
        <v>788</v>
      </c>
      <c r="W706" s="1" t="s">
        <v>2483</v>
      </c>
      <c r="X706" s="1"/>
      <c r="Y706" s="1"/>
      <c r="Z706" s="21" t="s">
        <v>72</v>
      </c>
      <c r="AA706" s="8" t="s">
        <v>262</v>
      </c>
      <c r="AB706" s="8">
        <v>1</v>
      </c>
      <c r="AC706" s="22" t="s">
        <v>3847</v>
      </c>
      <c r="AD706" s="1"/>
      <c r="AE706" s="29" t="s">
        <v>382</v>
      </c>
      <c r="AF706" s="1"/>
      <c r="AG706" s="26"/>
    </row>
    <row r="707" spans="1:33" s="24" customFormat="1" ht="30" x14ac:dyDescent="0.25">
      <c r="A707" s="4"/>
      <c r="B707" s="4">
        <v>45874</v>
      </c>
      <c r="C707" s="6" t="s">
        <v>1730</v>
      </c>
      <c r="D707" s="224" t="s">
        <v>3506</v>
      </c>
      <c r="E707" s="1" t="s">
        <v>2484</v>
      </c>
      <c r="F707" s="102" t="s">
        <v>1390</v>
      </c>
      <c r="G707" s="1" t="s">
        <v>1390</v>
      </c>
      <c r="H707" s="8">
        <v>7</v>
      </c>
      <c r="I707" s="8">
        <v>2</v>
      </c>
      <c r="J707" s="115">
        <f>Table224[[#This Row],[Qty]]-Table224[[#This Row],[Issue Qty]]</f>
        <v>5</v>
      </c>
      <c r="K707" s="195"/>
      <c r="L707" s="195" t="s">
        <v>3480</v>
      </c>
      <c r="M707" s="5">
        <v>15000</v>
      </c>
      <c r="N707" s="5">
        <f t="shared" si="36"/>
        <v>105000</v>
      </c>
      <c r="O707" s="82">
        <v>0.18</v>
      </c>
      <c r="P707" s="9">
        <f t="shared" si="37"/>
        <v>18900</v>
      </c>
      <c r="Q707" s="5">
        <v>0</v>
      </c>
      <c r="R707" s="5"/>
      <c r="S707" s="5">
        <f t="shared" si="38"/>
        <v>123900</v>
      </c>
      <c r="T707" s="1" t="s">
        <v>607</v>
      </c>
      <c r="U707" s="1" t="s">
        <v>607</v>
      </c>
      <c r="V707" s="1" t="s">
        <v>440</v>
      </c>
      <c r="W707" s="1" t="s">
        <v>2485</v>
      </c>
      <c r="X707" s="1"/>
      <c r="Y707" s="1"/>
      <c r="Z707" s="21" t="s">
        <v>3179</v>
      </c>
      <c r="AA707" s="8"/>
      <c r="AB707" s="8">
        <v>2</v>
      </c>
      <c r="AC707" s="22" t="s">
        <v>2968</v>
      </c>
      <c r="AD707" s="1"/>
      <c r="AE707" s="29" t="s">
        <v>1391</v>
      </c>
      <c r="AF707" s="1"/>
      <c r="AG707" s="26"/>
    </row>
    <row r="708" spans="1:33" s="24" customFormat="1" ht="30" x14ac:dyDescent="0.25">
      <c r="A708" s="4"/>
      <c r="B708" s="4">
        <v>45877</v>
      </c>
      <c r="C708" s="1" t="s">
        <v>1991</v>
      </c>
      <c r="D708" s="224" t="s">
        <v>3498</v>
      </c>
      <c r="E708" s="4" t="s">
        <v>2486</v>
      </c>
      <c r="F708" s="102" t="s">
        <v>1392</v>
      </c>
      <c r="G708" s="1" t="s">
        <v>1392</v>
      </c>
      <c r="H708" s="8">
        <v>10</v>
      </c>
      <c r="I708" s="8">
        <v>3</v>
      </c>
      <c r="J708" s="115">
        <f>Table224[[#This Row],[Qty]]-Table224[[#This Row],[Issue Qty]]</f>
        <v>7</v>
      </c>
      <c r="K708" s="195"/>
      <c r="L708" s="195" t="s">
        <v>3480</v>
      </c>
      <c r="M708" s="5">
        <v>20</v>
      </c>
      <c r="N708" s="5">
        <f t="shared" si="36"/>
        <v>200</v>
      </c>
      <c r="O708" s="82">
        <v>0.18</v>
      </c>
      <c r="P708" s="9">
        <f t="shared" si="37"/>
        <v>36</v>
      </c>
      <c r="Q708" s="5">
        <f>298+53.64</f>
        <v>351.64</v>
      </c>
      <c r="R708" s="5">
        <v>0.36</v>
      </c>
      <c r="S708" s="5">
        <f t="shared" si="38"/>
        <v>588</v>
      </c>
      <c r="T708" s="1" t="s">
        <v>1230</v>
      </c>
      <c r="U708" s="1" t="s">
        <v>1230</v>
      </c>
      <c r="V708" s="1" t="s">
        <v>792</v>
      </c>
      <c r="W708" s="1" t="s">
        <v>2487</v>
      </c>
      <c r="X708" s="1"/>
      <c r="Y708" s="1"/>
      <c r="Z708" s="21" t="s">
        <v>327</v>
      </c>
      <c r="AA708" s="8" t="s">
        <v>1378</v>
      </c>
      <c r="AB708" s="8">
        <v>3</v>
      </c>
      <c r="AC708" s="22" t="s">
        <v>3788</v>
      </c>
      <c r="AD708" s="1" t="s">
        <v>3776</v>
      </c>
      <c r="AE708" s="29"/>
      <c r="AF708" s="1"/>
      <c r="AG708" s="26"/>
    </row>
    <row r="709" spans="1:33" s="206" customFormat="1" x14ac:dyDescent="0.25">
      <c r="A709" s="4"/>
      <c r="B709" s="4">
        <v>45880</v>
      </c>
      <c r="C709" s="6" t="s">
        <v>1730</v>
      </c>
      <c r="D709" s="224" t="s">
        <v>3632</v>
      </c>
      <c r="E709" s="1" t="s">
        <v>2490</v>
      </c>
      <c r="F709" s="102" t="s">
        <v>1396</v>
      </c>
      <c r="G709" s="2" t="s">
        <v>1396</v>
      </c>
      <c r="H709" s="8">
        <v>2</v>
      </c>
      <c r="I709" s="8"/>
      <c r="J709" s="115">
        <f>Table224[[#This Row],[Qty]]-Table224[[#This Row],[Issue Qty]]</f>
        <v>2</v>
      </c>
      <c r="K709" s="195"/>
      <c r="L709" s="195" t="s">
        <v>3480</v>
      </c>
      <c r="M709" s="5">
        <v>933.9</v>
      </c>
      <c r="N709" s="5">
        <f t="shared" si="36"/>
        <v>1867.8</v>
      </c>
      <c r="O709" s="82">
        <v>0.18</v>
      </c>
      <c r="P709" s="9">
        <f t="shared" si="37"/>
        <v>336.20400000000001</v>
      </c>
      <c r="Q709" s="5">
        <v>0</v>
      </c>
      <c r="R709" s="5">
        <v>-110.2</v>
      </c>
      <c r="S709" s="5">
        <f t="shared" si="38"/>
        <v>2093.8040000000001</v>
      </c>
      <c r="T709" s="1" t="s">
        <v>980</v>
      </c>
      <c r="U709" s="1" t="s">
        <v>1125</v>
      </c>
      <c r="V709" s="1" t="s">
        <v>384</v>
      </c>
      <c r="W709" s="1" t="s">
        <v>2491</v>
      </c>
      <c r="X709" s="1"/>
      <c r="Y709" s="26"/>
      <c r="Z709" s="21"/>
      <c r="AA709" s="204"/>
      <c r="AB709" s="21"/>
      <c r="AC709" s="12"/>
      <c r="AD709" s="26"/>
      <c r="AE709" s="29"/>
      <c r="AF709" s="26"/>
      <c r="AG709" s="26"/>
    </row>
    <row r="710" spans="1:33" s="206" customFormat="1" x14ac:dyDescent="0.25">
      <c r="A710" s="4"/>
      <c r="B710" s="4">
        <v>45880</v>
      </c>
      <c r="C710" s="6" t="s">
        <v>1730</v>
      </c>
      <c r="D710" s="224" t="s">
        <v>3632</v>
      </c>
      <c r="E710" s="1" t="s">
        <v>2492</v>
      </c>
      <c r="F710" s="102" t="s">
        <v>1397</v>
      </c>
      <c r="G710" s="2" t="s">
        <v>1397</v>
      </c>
      <c r="H710" s="8">
        <v>2</v>
      </c>
      <c r="I710" s="8"/>
      <c r="J710" s="115">
        <f>Table224[[#This Row],[Qty]]-Table224[[#This Row],[Issue Qty]]</f>
        <v>2</v>
      </c>
      <c r="K710" s="195"/>
      <c r="L710" s="195" t="s">
        <v>3480</v>
      </c>
      <c r="M710" s="5">
        <v>955.93</v>
      </c>
      <c r="N710" s="5">
        <f t="shared" si="36"/>
        <v>1911.86</v>
      </c>
      <c r="O710" s="82">
        <v>0.18</v>
      </c>
      <c r="P710" s="9">
        <f t="shared" si="37"/>
        <v>344.13479999999998</v>
      </c>
      <c r="Q710" s="5">
        <v>0</v>
      </c>
      <c r="R710" s="5">
        <v>-112.8</v>
      </c>
      <c r="S710" s="5">
        <f t="shared" si="38"/>
        <v>2143.1947999999998</v>
      </c>
      <c r="T710" s="1" t="s">
        <v>980</v>
      </c>
      <c r="U710" s="1" t="s">
        <v>1125</v>
      </c>
      <c r="V710" s="1" t="s">
        <v>384</v>
      </c>
      <c r="W710" s="1" t="s">
        <v>2491</v>
      </c>
      <c r="X710" s="1"/>
      <c r="Y710" s="26"/>
      <c r="Z710" s="21"/>
      <c r="AA710" s="204"/>
      <c r="AB710" s="21"/>
      <c r="AC710" s="12"/>
      <c r="AD710" s="26"/>
      <c r="AE710" s="29"/>
      <c r="AF710" s="26"/>
      <c r="AG710" s="26"/>
    </row>
    <row r="711" spans="1:33" s="206" customFormat="1" x14ac:dyDescent="0.25">
      <c r="A711" s="4"/>
      <c r="B711" s="4">
        <v>45880</v>
      </c>
      <c r="C711" s="6" t="s">
        <v>1730</v>
      </c>
      <c r="D711" s="224" t="s">
        <v>1393</v>
      </c>
      <c r="E711" s="1" t="s">
        <v>2488</v>
      </c>
      <c r="F711" s="102" t="s">
        <v>1393</v>
      </c>
      <c r="G711" s="1" t="s">
        <v>1393</v>
      </c>
      <c r="H711" s="8">
        <v>11</v>
      </c>
      <c r="I711" s="8">
        <v>11</v>
      </c>
      <c r="J711" s="115">
        <f>Table224[[#This Row],[Qty]]-Table224[[#This Row],[Issue Qty]]</f>
        <v>0</v>
      </c>
      <c r="K711" s="195"/>
      <c r="L711" s="195" t="s">
        <v>3480</v>
      </c>
      <c r="M711" s="5">
        <v>72.73</v>
      </c>
      <c r="N711" s="5">
        <f t="shared" si="36"/>
        <v>800.03000000000009</v>
      </c>
      <c r="O711" s="82">
        <v>0.18</v>
      </c>
      <c r="P711" s="9">
        <f t="shared" si="37"/>
        <v>144.00540000000001</v>
      </c>
      <c r="Q711" s="5">
        <v>0</v>
      </c>
      <c r="R711" s="5">
        <v>0</v>
      </c>
      <c r="S711" s="5">
        <f t="shared" si="38"/>
        <v>944.0354000000001</v>
      </c>
      <c r="T711" s="1" t="s">
        <v>606</v>
      </c>
      <c r="U711" s="1" t="s">
        <v>606</v>
      </c>
      <c r="V711" s="1" t="s">
        <v>1394</v>
      </c>
      <c r="W711" s="1" t="s">
        <v>2489</v>
      </c>
      <c r="X711" s="1"/>
      <c r="Y711" s="26"/>
      <c r="Z711" s="21" t="s">
        <v>33</v>
      </c>
      <c r="AA711" s="204"/>
      <c r="AB711" s="21">
        <v>11</v>
      </c>
      <c r="AC711" s="12" t="s">
        <v>1395</v>
      </c>
      <c r="AD711" s="26"/>
      <c r="AE711" s="29" t="s">
        <v>1393</v>
      </c>
      <c r="AF711" s="26"/>
      <c r="AG711" s="26"/>
    </row>
    <row r="712" spans="1:33" s="206" customFormat="1" x14ac:dyDescent="0.25">
      <c r="A712" s="4"/>
      <c r="B712" s="4">
        <v>45881</v>
      </c>
      <c r="C712" s="1" t="s">
        <v>1991</v>
      </c>
      <c r="D712" s="224" t="s">
        <v>1730</v>
      </c>
      <c r="E712" s="1" t="s">
        <v>2494</v>
      </c>
      <c r="F712" s="102" t="s">
        <v>1399</v>
      </c>
      <c r="G712" s="1" t="s">
        <v>1399</v>
      </c>
      <c r="H712" s="8">
        <v>1</v>
      </c>
      <c r="I712" s="8">
        <v>1</v>
      </c>
      <c r="J712" s="115">
        <f>Table224[[#This Row],[Qty]]-Table224[[#This Row],[Issue Qty]]</f>
        <v>0</v>
      </c>
      <c r="K712" s="195"/>
      <c r="L712" s="195" t="s">
        <v>3480</v>
      </c>
      <c r="M712" s="5">
        <v>440.68</v>
      </c>
      <c r="N712" s="5">
        <f t="shared" si="36"/>
        <v>440.68</v>
      </c>
      <c r="O712" s="82">
        <v>0.18</v>
      </c>
      <c r="P712" s="9">
        <f t="shared" si="37"/>
        <v>79.322400000000002</v>
      </c>
      <c r="Q712" s="5">
        <v>0</v>
      </c>
      <c r="R712" s="5">
        <v>0</v>
      </c>
      <c r="S712" s="5">
        <f t="shared" si="38"/>
        <v>520.00239999999997</v>
      </c>
      <c r="T712" s="1" t="s">
        <v>1230</v>
      </c>
      <c r="U712" s="1" t="s">
        <v>1230</v>
      </c>
      <c r="V712" s="1" t="s">
        <v>1314</v>
      </c>
      <c r="W712" s="1" t="s">
        <v>2495</v>
      </c>
      <c r="X712" s="1"/>
      <c r="Y712" s="1"/>
      <c r="Z712" s="21"/>
      <c r="AA712" s="8"/>
      <c r="AB712" s="8">
        <v>1</v>
      </c>
      <c r="AC712" s="22" t="s">
        <v>3607</v>
      </c>
      <c r="AD712" s="1"/>
      <c r="AE712" s="29"/>
      <c r="AF712" s="1"/>
      <c r="AG712" s="26"/>
    </row>
    <row r="713" spans="1:33" s="206" customFormat="1" x14ac:dyDescent="0.25">
      <c r="A713" s="4"/>
      <c r="B713" s="4">
        <v>45881</v>
      </c>
      <c r="C713" s="1" t="s">
        <v>1991</v>
      </c>
      <c r="D713" s="224" t="s">
        <v>3443</v>
      </c>
      <c r="E713" s="1" t="s">
        <v>1741</v>
      </c>
      <c r="F713" s="102" t="s">
        <v>165</v>
      </c>
      <c r="G713" s="1" t="s">
        <v>1398</v>
      </c>
      <c r="H713" s="8">
        <v>4</v>
      </c>
      <c r="I713" s="8">
        <v>4</v>
      </c>
      <c r="J713" s="115">
        <f>Table224[[#This Row],[Qty]]-Table224[[#This Row],[Issue Qty]]</f>
        <v>0</v>
      </c>
      <c r="K713" s="195"/>
      <c r="L713" s="195" t="s">
        <v>3480</v>
      </c>
      <c r="M713" s="5">
        <v>3094.2849999999999</v>
      </c>
      <c r="N713" s="5">
        <f t="shared" si="36"/>
        <v>12377.14</v>
      </c>
      <c r="O713" s="82">
        <v>0.05</v>
      </c>
      <c r="P713" s="9">
        <f t="shared" si="37"/>
        <v>618.85699999999997</v>
      </c>
      <c r="Q713" s="5">
        <v>0</v>
      </c>
      <c r="R713" s="5">
        <v>0</v>
      </c>
      <c r="S713" s="5">
        <f t="shared" si="38"/>
        <v>12995.996999999999</v>
      </c>
      <c r="T713" s="1" t="s">
        <v>2887</v>
      </c>
      <c r="U713" s="1" t="s">
        <v>536</v>
      </c>
      <c r="V713" s="1" t="s">
        <v>634</v>
      </c>
      <c r="W713" s="1" t="s">
        <v>2493</v>
      </c>
      <c r="X713" s="1"/>
      <c r="Y713" s="26"/>
      <c r="Z713" s="21"/>
      <c r="AA713" s="204"/>
      <c r="AB713" s="21">
        <v>4</v>
      </c>
      <c r="AC713" s="12" t="s">
        <v>3352</v>
      </c>
      <c r="AD713" s="26"/>
      <c r="AE713" s="29"/>
      <c r="AF713" s="26"/>
      <c r="AG713" s="2"/>
    </row>
    <row r="714" spans="1:33" s="206" customFormat="1" ht="60" x14ac:dyDescent="0.25">
      <c r="A714" s="4"/>
      <c r="B714" s="4">
        <v>45882</v>
      </c>
      <c r="C714" s="6" t="s">
        <v>1683</v>
      </c>
      <c r="D714" s="224" t="s">
        <v>3493</v>
      </c>
      <c r="E714" s="1" t="s">
        <v>2497</v>
      </c>
      <c r="F714" s="102" t="s">
        <v>1402</v>
      </c>
      <c r="G714" s="1" t="s">
        <v>1403</v>
      </c>
      <c r="H714" s="8">
        <v>2</v>
      </c>
      <c r="I714" s="8">
        <v>1</v>
      </c>
      <c r="J714" s="115">
        <f>Table224[[#This Row],[Qty]]-Table224[[#This Row],[Issue Qty]]</f>
        <v>1</v>
      </c>
      <c r="K714" s="195"/>
      <c r="L714" s="195" t="s">
        <v>3480</v>
      </c>
      <c r="M714" s="5">
        <v>200</v>
      </c>
      <c r="N714" s="5">
        <f t="shared" si="36"/>
        <v>400</v>
      </c>
      <c r="O714" s="82">
        <v>0.18</v>
      </c>
      <c r="P714" s="9">
        <f t="shared" si="37"/>
        <v>72</v>
      </c>
      <c r="Q714" s="5">
        <v>0</v>
      </c>
      <c r="R714" s="5">
        <v>0</v>
      </c>
      <c r="S714" s="5">
        <f t="shared" si="38"/>
        <v>472</v>
      </c>
      <c r="T714" s="1" t="s">
        <v>1230</v>
      </c>
      <c r="U714" s="1" t="s">
        <v>1230</v>
      </c>
      <c r="V714" s="1" t="s">
        <v>384</v>
      </c>
      <c r="W714" s="1" t="s">
        <v>2498</v>
      </c>
      <c r="X714" s="1"/>
      <c r="Y714" s="1"/>
      <c r="Z714" s="21" t="s">
        <v>89</v>
      </c>
      <c r="AA714" s="8" t="s">
        <v>342</v>
      </c>
      <c r="AB714" s="8">
        <v>1</v>
      </c>
      <c r="AC714" s="22" t="s">
        <v>1405</v>
      </c>
      <c r="AD714" s="1"/>
      <c r="AE714" s="29"/>
      <c r="AF714" s="1"/>
      <c r="AG714" s="2"/>
    </row>
    <row r="715" spans="1:33" s="24" customFormat="1" x14ac:dyDescent="0.25">
      <c r="A715" s="4"/>
      <c r="B715" s="4">
        <v>45882</v>
      </c>
      <c r="C715" s="1" t="s">
        <v>54</v>
      </c>
      <c r="D715" s="224" t="s">
        <v>3430</v>
      </c>
      <c r="E715" s="1" t="s">
        <v>2496</v>
      </c>
      <c r="F715" s="236" t="s">
        <v>1400</v>
      </c>
      <c r="G715" s="1" t="s">
        <v>1401</v>
      </c>
      <c r="H715" s="8">
        <v>4</v>
      </c>
      <c r="I715" s="8">
        <v>4</v>
      </c>
      <c r="J715" s="115">
        <f>Table224[[#This Row],[Qty]]-Table224[[#This Row],[Issue Qty]]</f>
        <v>0</v>
      </c>
      <c r="K715" s="195">
        <v>3</v>
      </c>
      <c r="L715" s="195" t="s">
        <v>3479</v>
      </c>
      <c r="M715" s="5">
        <v>6285.7150000000001</v>
      </c>
      <c r="N715" s="5">
        <f t="shared" si="36"/>
        <v>25142.86</v>
      </c>
      <c r="O715" s="82">
        <v>0.05</v>
      </c>
      <c r="P715" s="9">
        <f t="shared" si="37"/>
        <v>1257.143</v>
      </c>
      <c r="Q715" s="5">
        <v>175.72</v>
      </c>
      <c r="R715" s="5">
        <v>0</v>
      </c>
      <c r="S715" s="5">
        <f t="shared" si="38"/>
        <v>26575.723000000002</v>
      </c>
      <c r="T715" s="1" t="s">
        <v>2887</v>
      </c>
      <c r="U715" s="1" t="s">
        <v>536</v>
      </c>
      <c r="V715" s="1" t="s">
        <v>634</v>
      </c>
      <c r="W715" s="1" t="s">
        <v>2493</v>
      </c>
      <c r="X715" s="1"/>
      <c r="Y715" s="1"/>
      <c r="Z715" s="21" t="s">
        <v>126</v>
      </c>
      <c r="AA715" s="8"/>
      <c r="AB715" s="8"/>
      <c r="AC715" s="22" t="s">
        <v>3860</v>
      </c>
      <c r="AD715" s="1" t="s">
        <v>3859</v>
      </c>
      <c r="AE715" s="29"/>
      <c r="AF715" s="1"/>
      <c r="AG715" s="26"/>
    </row>
    <row r="716" spans="1:33" s="206" customFormat="1" x14ac:dyDescent="0.25">
      <c r="A716" s="4"/>
      <c r="B716" s="4">
        <v>45887</v>
      </c>
      <c r="C716" s="6" t="s">
        <v>1730</v>
      </c>
      <c r="D716" s="224" t="s">
        <v>1730</v>
      </c>
      <c r="E716" s="1" t="s">
        <v>2501</v>
      </c>
      <c r="F716" s="294" t="s">
        <v>1410</v>
      </c>
      <c r="G716" s="1" t="s">
        <v>1410</v>
      </c>
      <c r="H716" s="8">
        <v>1</v>
      </c>
      <c r="I716" s="8"/>
      <c r="J716" s="115">
        <f>Table224[[#This Row],[Qty]]-Table224[[#This Row],[Issue Qty]]</f>
        <v>1</v>
      </c>
      <c r="K716" s="195"/>
      <c r="L716" s="195" t="s">
        <v>3480</v>
      </c>
      <c r="M716" s="5">
        <v>609.52</v>
      </c>
      <c r="N716" s="5">
        <f t="shared" si="36"/>
        <v>609.52</v>
      </c>
      <c r="O716" s="82">
        <v>0.05</v>
      </c>
      <c r="P716" s="9">
        <f t="shared" si="37"/>
        <v>30.475999999999999</v>
      </c>
      <c r="Q716" s="5">
        <v>49</v>
      </c>
      <c r="R716" s="5">
        <v>0</v>
      </c>
      <c r="S716" s="5">
        <f t="shared" si="38"/>
        <v>688.99599999999998</v>
      </c>
      <c r="T716" s="1" t="s">
        <v>980</v>
      </c>
      <c r="U716" s="1" t="s">
        <v>980</v>
      </c>
      <c r="V716" s="1" t="s">
        <v>634</v>
      </c>
      <c r="W716" s="1" t="s">
        <v>2502</v>
      </c>
      <c r="X716" s="1"/>
      <c r="Y716" s="1"/>
      <c r="Z716" s="21"/>
      <c r="AA716" s="8"/>
      <c r="AB716" s="8">
        <v>1</v>
      </c>
      <c r="AC716" s="22" t="s">
        <v>1125</v>
      </c>
      <c r="AD716" s="1"/>
      <c r="AE716" s="29"/>
      <c r="AF716" s="1"/>
      <c r="AG716" s="26"/>
    </row>
    <row r="717" spans="1:33" s="206" customFormat="1" x14ac:dyDescent="0.25">
      <c r="A717" s="4"/>
      <c r="B717" s="4">
        <v>45887</v>
      </c>
      <c r="C717" s="1" t="s">
        <v>1991</v>
      </c>
      <c r="D717" s="224" t="s">
        <v>3492</v>
      </c>
      <c r="E717" s="1" t="s">
        <v>2499</v>
      </c>
      <c r="F717" s="102" t="s">
        <v>1406</v>
      </c>
      <c r="G717" s="1" t="s">
        <v>1407</v>
      </c>
      <c r="H717" s="8">
        <v>2</v>
      </c>
      <c r="I717" s="8">
        <v>2</v>
      </c>
      <c r="J717" s="115">
        <f>Table224[[#This Row],[Qty]]-Table224[[#This Row],[Issue Qty]]</f>
        <v>0</v>
      </c>
      <c r="K717" s="195"/>
      <c r="L717" s="195" t="s">
        <v>3480</v>
      </c>
      <c r="M717" s="5">
        <v>210.93</v>
      </c>
      <c r="N717" s="5">
        <f t="shared" si="36"/>
        <v>421.86</v>
      </c>
      <c r="O717" s="82">
        <v>0.05</v>
      </c>
      <c r="P717" s="9">
        <f t="shared" si="37"/>
        <v>21.093000000000004</v>
      </c>
      <c r="Q717" s="5">
        <v>45.518571428999998</v>
      </c>
      <c r="R717" s="5"/>
      <c r="S717" s="5">
        <f t="shared" si="38"/>
        <v>488.47157142900005</v>
      </c>
      <c r="T717" s="1" t="s">
        <v>1408</v>
      </c>
      <c r="U717" s="1" t="s">
        <v>1408</v>
      </c>
      <c r="V717" s="1" t="s">
        <v>634</v>
      </c>
      <c r="W717" s="1" t="s">
        <v>2500</v>
      </c>
      <c r="X717" s="1"/>
      <c r="Y717" s="1"/>
      <c r="Z717" s="21" t="s">
        <v>89</v>
      </c>
      <c r="AA717" s="21" t="s">
        <v>262</v>
      </c>
      <c r="AB717" s="8">
        <v>2</v>
      </c>
      <c r="AC717" s="22" t="s">
        <v>3788</v>
      </c>
      <c r="AD717" s="1"/>
      <c r="AE717" s="29" t="s">
        <v>1409</v>
      </c>
      <c r="AF717" s="1"/>
      <c r="AG717" s="26"/>
    </row>
    <row r="718" spans="1:33" s="24" customFormat="1" x14ac:dyDescent="0.25">
      <c r="A718" s="4"/>
      <c r="B718" s="4">
        <v>45887</v>
      </c>
      <c r="C718" s="1" t="s">
        <v>1991</v>
      </c>
      <c r="D718" s="224" t="s">
        <v>3492</v>
      </c>
      <c r="E718" s="1" t="s">
        <v>2499</v>
      </c>
      <c r="F718" s="102" t="s">
        <v>1406</v>
      </c>
      <c r="G718" s="1" t="s">
        <v>1407</v>
      </c>
      <c r="H718" s="8">
        <v>2</v>
      </c>
      <c r="I718" s="8"/>
      <c r="J718" s="115">
        <f>Table224[[#This Row],[Qty]]-Table224[[#This Row],[Issue Qty]]</f>
        <v>2</v>
      </c>
      <c r="K718" s="195"/>
      <c r="L718" s="195" t="s">
        <v>3480</v>
      </c>
      <c r="M718" s="5">
        <v>210.93</v>
      </c>
      <c r="N718" s="5">
        <f t="shared" si="36"/>
        <v>421.86</v>
      </c>
      <c r="O718" s="82">
        <v>0.05</v>
      </c>
      <c r="P718" s="9">
        <f t="shared" si="37"/>
        <v>21.093000000000004</v>
      </c>
      <c r="Q718" s="5">
        <v>45.518571428999998</v>
      </c>
      <c r="R718" s="5"/>
      <c r="S718" s="5">
        <f t="shared" si="38"/>
        <v>488.47157142900005</v>
      </c>
      <c r="T718" s="1" t="s">
        <v>1408</v>
      </c>
      <c r="U718" s="1" t="s">
        <v>1408</v>
      </c>
      <c r="V718" s="1" t="s">
        <v>634</v>
      </c>
      <c r="W718" s="1" t="s">
        <v>2500</v>
      </c>
      <c r="X718" s="1"/>
      <c r="Y718" s="26"/>
      <c r="Z718" s="21" t="s">
        <v>89</v>
      </c>
      <c r="AA718" s="21" t="s">
        <v>262</v>
      </c>
      <c r="AB718" s="21"/>
      <c r="AC718" s="12"/>
      <c r="AD718" s="26"/>
      <c r="AE718" s="29" t="s">
        <v>1409</v>
      </c>
      <c r="AF718" s="26"/>
      <c r="AG718" s="26"/>
    </row>
    <row r="719" spans="1:33" s="206" customFormat="1" x14ac:dyDescent="0.25">
      <c r="A719" s="4"/>
      <c r="B719" s="4">
        <v>45888</v>
      </c>
      <c r="C719" s="1" t="s">
        <v>54</v>
      </c>
      <c r="D719" s="224" t="s">
        <v>3497</v>
      </c>
      <c r="E719" s="1" t="s">
        <v>2506</v>
      </c>
      <c r="F719" s="232" t="s">
        <v>1412</v>
      </c>
      <c r="G719" s="1" t="s">
        <v>1412</v>
      </c>
      <c r="H719" s="8">
        <v>1</v>
      </c>
      <c r="I719" s="8"/>
      <c r="J719" s="115">
        <f>Table224[[#This Row],[Qty]]-Table224[[#This Row],[Issue Qty]]</f>
        <v>1</v>
      </c>
      <c r="K719" s="195"/>
      <c r="L719" s="195" t="s">
        <v>3480</v>
      </c>
      <c r="M719" s="5">
        <v>1575</v>
      </c>
      <c r="N719" s="5">
        <f t="shared" si="36"/>
        <v>1575</v>
      </c>
      <c r="O719" s="82">
        <v>0.18</v>
      </c>
      <c r="P719" s="9">
        <f t="shared" si="37"/>
        <v>283.5</v>
      </c>
      <c r="Q719" s="5">
        <v>0</v>
      </c>
      <c r="R719" s="5">
        <v>0</v>
      </c>
      <c r="S719" s="5">
        <f t="shared" si="38"/>
        <v>1858.5</v>
      </c>
      <c r="T719" s="1" t="s">
        <v>980</v>
      </c>
      <c r="U719" s="1" t="s">
        <v>980</v>
      </c>
      <c r="V719" s="1" t="s">
        <v>764</v>
      </c>
      <c r="W719" s="1" t="s">
        <v>2505</v>
      </c>
      <c r="X719" s="1"/>
      <c r="Y719" s="26"/>
      <c r="Z719" s="21"/>
      <c r="AA719" s="204"/>
      <c r="AB719" s="21">
        <v>1</v>
      </c>
      <c r="AC719" s="12"/>
      <c r="AD719" s="26"/>
      <c r="AE719" s="29"/>
      <c r="AF719" s="26"/>
      <c r="AG719" s="26"/>
    </row>
    <row r="720" spans="1:33" s="206" customFormat="1" x14ac:dyDescent="0.25">
      <c r="A720" s="4"/>
      <c r="B720" s="4">
        <v>45888</v>
      </c>
      <c r="C720" s="1" t="s">
        <v>54</v>
      </c>
      <c r="D720" s="224" t="s">
        <v>3497</v>
      </c>
      <c r="E720" s="1" t="s">
        <v>2504</v>
      </c>
      <c r="F720" s="232" t="s">
        <v>1411</v>
      </c>
      <c r="G720" s="1" t="s">
        <v>1411</v>
      </c>
      <c r="H720" s="8">
        <v>1</v>
      </c>
      <c r="I720" s="8"/>
      <c r="J720" s="115">
        <f>Table224[[#This Row],[Qty]]-Table224[[#This Row],[Issue Qty]]</f>
        <v>1</v>
      </c>
      <c r="K720" s="195"/>
      <c r="L720" s="195" t="s">
        <v>3480</v>
      </c>
      <c r="M720" s="5">
        <v>3800</v>
      </c>
      <c r="N720" s="5">
        <f t="shared" si="36"/>
        <v>3800</v>
      </c>
      <c r="O720" s="82">
        <v>0.18</v>
      </c>
      <c r="P720" s="9">
        <f t="shared" si="37"/>
        <v>684</v>
      </c>
      <c r="Q720" s="5">
        <v>0</v>
      </c>
      <c r="R720" s="5">
        <v>0</v>
      </c>
      <c r="S720" s="5">
        <f t="shared" si="38"/>
        <v>4484</v>
      </c>
      <c r="T720" s="1" t="s">
        <v>980</v>
      </c>
      <c r="U720" s="1" t="s">
        <v>980</v>
      </c>
      <c r="V720" s="1" t="s">
        <v>764</v>
      </c>
      <c r="W720" s="1" t="s">
        <v>2505</v>
      </c>
      <c r="X720" s="1"/>
      <c r="Y720" s="26"/>
      <c r="Z720" s="21"/>
      <c r="AA720" s="204"/>
      <c r="AB720" s="21">
        <v>1</v>
      </c>
      <c r="AC720" s="12"/>
      <c r="AD720" s="26"/>
      <c r="AE720" s="29"/>
      <c r="AF720" s="26"/>
      <c r="AG720" s="2"/>
    </row>
    <row r="721" spans="1:33" s="206" customFormat="1" x14ac:dyDescent="0.25">
      <c r="A721" s="4"/>
      <c r="B721" s="4">
        <v>45888</v>
      </c>
      <c r="C721" s="6" t="s">
        <v>1730</v>
      </c>
      <c r="D721" s="224" t="s">
        <v>3431</v>
      </c>
      <c r="E721" s="1" t="s">
        <v>2507</v>
      </c>
      <c r="F721" s="102" t="s">
        <v>1413</v>
      </c>
      <c r="G721" s="1" t="s">
        <v>1413</v>
      </c>
      <c r="H721" s="8">
        <v>2</v>
      </c>
      <c r="I721" s="8"/>
      <c r="J721" s="115">
        <f>Table224[[#This Row],[Qty]]-Table224[[#This Row],[Issue Qty]]</f>
        <v>2</v>
      </c>
      <c r="K721" s="195"/>
      <c r="L721" s="195" t="s">
        <v>3480</v>
      </c>
      <c r="M721" s="5">
        <v>111.43</v>
      </c>
      <c r="N721" s="5">
        <f t="shared" si="36"/>
        <v>222.86</v>
      </c>
      <c r="O721" s="82">
        <v>0.05</v>
      </c>
      <c r="P721" s="9">
        <f t="shared" si="37"/>
        <v>11.143000000000001</v>
      </c>
      <c r="Q721" s="5">
        <v>99</v>
      </c>
      <c r="R721" s="5">
        <v>0</v>
      </c>
      <c r="S721" s="5">
        <f t="shared" si="38"/>
        <v>333.00300000000004</v>
      </c>
      <c r="T721" s="1" t="s">
        <v>980</v>
      </c>
      <c r="U721" s="1" t="s">
        <v>980</v>
      </c>
      <c r="V721" s="1" t="s">
        <v>634</v>
      </c>
      <c r="W721" s="1" t="s">
        <v>2508</v>
      </c>
      <c r="X721" s="1"/>
      <c r="Y721" s="26"/>
      <c r="Z721" s="21"/>
      <c r="AA721" s="204"/>
      <c r="AB721" s="21">
        <v>2</v>
      </c>
      <c r="AC721" s="12" t="s">
        <v>1125</v>
      </c>
      <c r="AD721" s="26"/>
      <c r="AE721" s="29"/>
      <c r="AF721" s="26"/>
      <c r="AG721" s="26"/>
    </row>
    <row r="722" spans="1:33" s="206" customFormat="1" x14ac:dyDescent="0.25">
      <c r="A722" s="4"/>
      <c r="B722" s="4">
        <v>45888</v>
      </c>
      <c r="C722" s="1" t="s">
        <v>1695</v>
      </c>
      <c r="D722" s="224" t="s">
        <v>3499</v>
      </c>
      <c r="E722" s="1" t="s">
        <v>2094</v>
      </c>
      <c r="F722" s="102" t="s">
        <v>854</v>
      </c>
      <c r="G722" s="1" t="s">
        <v>854</v>
      </c>
      <c r="H722" s="8">
        <v>4</v>
      </c>
      <c r="I722" s="8">
        <v>4</v>
      </c>
      <c r="J722" s="115">
        <f>Table224[[#This Row],[Qty]]-Table224[[#This Row],[Issue Qty]]</f>
        <v>0</v>
      </c>
      <c r="K722" s="195"/>
      <c r="L722" s="195" t="s">
        <v>3486</v>
      </c>
      <c r="M722" s="5">
        <v>0</v>
      </c>
      <c r="N722" s="5">
        <f t="shared" si="36"/>
        <v>0</v>
      </c>
      <c r="O722" s="82">
        <v>0</v>
      </c>
      <c r="P722" s="9">
        <f t="shared" si="37"/>
        <v>0</v>
      </c>
      <c r="Q722" s="5"/>
      <c r="R722" s="5"/>
      <c r="S722" s="5">
        <f t="shared" si="38"/>
        <v>0</v>
      </c>
      <c r="T722" s="1" t="s">
        <v>606</v>
      </c>
      <c r="U722" s="1" t="s">
        <v>606</v>
      </c>
      <c r="V722" s="1" t="s">
        <v>444</v>
      </c>
      <c r="W722" s="1" t="s">
        <v>2503</v>
      </c>
      <c r="X722" s="1"/>
      <c r="Y722" s="1"/>
      <c r="Z722" s="21" t="s">
        <v>261</v>
      </c>
      <c r="AA722" s="8"/>
      <c r="AB722" s="8">
        <v>4</v>
      </c>
      <c r="AC722" s="22" t="s">
        <v>3539</v>
      </c>
      <c r="AD722" s="1"/>
      <c r="AE722" s="29"/>
      <c r="AF722" s="1"/>
      <c r="AG722" s="26"/>
    </row>
    <row r="723" spans="1:33" s="24" customFormat="1" x14ac:dyDescent="0.25">
      <c r="A723" s="4"/>
      <c r="B723" s="4">
        <v>45890</v>
      </c>
      <c r="C723" s="6" t="s">
        <v>1730</v>
      </c>
      <c r="D723" s="224" t="s">
        <v>3535</v>
      </c>
      <c r="E723" s="1" t="s">
        <v>2509</v>
      </c>
      <c r="F723" s="102" t="s">
        <v>1414</v>
      </c>
      <c r="G723" s="1" t="s">
        <v>1414</v>
      </c>
      <c r="H723" s="8">
        <v>1</v>
      </c>
      <c r="I723" s="8"/>
      <c r="J723" s="115">
        <f>Table224[[#This Row],[Qty]]-Table224[[#This Row],[Issue Qty]]</f>
        <v>1</v>
      </c>
      <c r="K723" s="195"/>
      <c r="L723" s="195" t="s">
        <v>3486</v>
      </c>
      <c r="M723" s="5">
        <v>46.67</v>
      </c>
      <c r="N723" s="5">
        <f t="shared" si="36"/>
        <v>46.67</v>
      </c>
      <c r="O723" s="82">
        <v>0.05</v>
      </c>
      <c r="P723" s="9">
        <f t="shared" si="37"/>
        <v>2.3335000000000004</v>
      </c>
      <c r="Q723" s="5">
        <v>99</v>
      </c>
      <c r="R723" s="5">
        <v>0</v>
      </c>
      <c r="S723" s="5">
        <f t="shared" si="38"/>
        <v>148.0035</v>
      </c>
      <c r="T723" s="1" t="s">
        <v>980</v>
      </c>
      <c r="U723" s="1" t="s">
        <v>980</v>
      </c>
      <c r="V723" s="1" t="s">
        <v>1415</v>
      </c>
      <c r="W723" s="1">
        <v>5781</v>
      </c>
      <c r="X723" s="1"/>
      <c r="Y723" s="1"/>
      <c r="Z723" s="21" t="s">
        <v>420</v>
      </c>
      <c r="AA723" s="8"/>
      <c r="AB723" s="8"/>
      <c r="AC723" s="22"/>
      <c r="AD723" s="1"/>
      <c r="AE723" s="29"/>
      <c r="AF723" s="1"/>
      <c r="AG723" s="26"/>
    </row>
    <row r="724" spans="1:33" s="206" customFormat="1" x14ac:dyDescent="0.25">
      <c r="A724" s="4"/>
      <c r="B724" s="4">
        <v>45891</v>
      </c>
      <c r="C724" s="6" t="s">
        <v>1683</v>
      </c>
      <c r="D724" s="224" t="s">
        <v>1663</v>
      </c>
      <c r="E724" s="1" t="s">
        <v>2510</v>
      </c>
      <c r="F724" s="102" t="s">
        <v>1416</v>
      </c>
      <c r="G724" s="1" t="s">
        <v>1416</v>
      </c>
      <c r="H724" s="8">
        <f>36-25</f>
        <v>11</v>
      </c>
      <c r="I724" s="8"/>
      <c r="J724" s="115">
        <f>Table224[[#This Row],[Qty]]-Table224[[#This Row],[Issue Qty]]</f>
        <v>11</v>
      </c>
      <c r="K724" s="195"/>
      <c r="L724" s="195" t="s">
        <v>3480</v>
      </c>
      <c r="M724" s="5">
        <v>675</v>
      </c>
      <c r="N724" s="5">
        <f t="shared" si="36"/>
        <v>7425</v>
      </c>
      <c r="O724" s="82">
        <v>0.18</v>
      </c>
      <c r="P724" s="9">
        <f t="shared" si="37"/>
        <v>1336.5</v>
      </c>
      <c r="Q724" s="5">
        <v>0</v>
      </c>
      <c r="R724" s="5">
        <v>0</v>
      </c>
      <c r="S724" s="5">
        <f t="shared" si="38"/>
        <v>8761.5</v>
      </c>
      <c r="T724" s="1" t="s">
        <v>980</v>
      </c>
      <c r="U724" s="1" t="s">
        <v>1125</v>
      </c>
      <c r="V724" s="1" t="s">
        <v>792</v>
      </c>
      <c r="W724" s="1" t="s">
        <v>2511</v>
      </c>
      <c r="X724" s="1"/>
      <c r="Y724" s="1"/>
      <c r="Z724" s="21" t="s">
        <v>1345</v>
      </c>
      <c r="AA724" s="8"/>
      <c r="AB724" s="8">
        <v>11</v>
      </c>
      <c r="AC724" s="12" t="s">
        <v>1417</v>
      </c>
      <c r="AD724" s="1"/>
      <c r="AE724" s="29"/>
      <c r="AF724" s="1"/>
      <c r="AG724" s="26"/>
    </row>
    <row r="725" spans="1:33" s="206" customFormat="1" x14ac:dyDescent="0.25">
      <c r="A725" s="4"/>
      <c r="B725" s="4">
        <v>45891</v>
      </c>
      <c r="C725" s="6" t="s">
        <v>1683</v>
      </c>
      <c r="D725" s="224" t="s">
        <v>1663</v>
      </c>
      <c r="E725" s="1" t="s">
        <v>2510</v>
      </c>
      <c r="F725" s="102" t="s">
        <v>1416</v>
      </c>
      <c r="G725" s="1" t="s">
        <v>1416</v>
      </c>
      <c r="H725" s="8">
        <f>36-11</f>
        <v>25</v>
      </c>
      <c r="I725" s="8"/>
      <c r="J725" s="115">
        <f>Table224[[#This Row],[Qty]]-Table224[[#This Row],[Issue Qty]]</f>
        <v>25</v>
      </c>
      <c r="K725" s="195"/>
      <c r="L725" s="195" t="s">
        <v>3480</v>
      </c>
      <c r="M725" s="5">
        <v>675</v>
      </c>
      <c r="N725" s="5">
        <f t="shared" si="36"/>
        <v>16875</v>
      </c>
      <c r="O725" s="82">
        <v>0.18</v>
      </c>
      <c r="P725" s="9">
        <f t="shared" si="37"/>
        <v>3037.5</v>
      </c>
      <c r="Q725" s="5">
        <v>0</v>
      </c>
      <c r="R725" s="5">
        <v>0</v>
      </c>
      <c r="S725" s="5">
        <f t="shared" si="38"/>
        <v>19912.5</v>
      </c>
      <c r="T725" s="1" t="s">
        <v>980</v>
      </c>
      <c r="U725" s="1" t="s">
        <v>1125</v>
      </c>
      <c r="V725" s="1" t="s">
        <v>792</v>
      </c>
      <c r="W725" s="1" t="s">
        <v>2511</v>
      </c>
      <c r="X725" s="1"/>
      <c r="Y725" s="26"/>
      <c r="Z725" s="21" t="s">
        <v>1345</v>
      </c>
      <c r="AA725" s="204"/>
      <c r="AB725" s="21">
        <v>13</v>
      </c>
      <c r="AC725" s="12" t="s">
        <v>1417</v>
      </c>
      <c r="AD725" s="26"/>
      <c r="AE725" s="29"/>
      <c r="AF725" s="26"/>
      <c r="AG725" s="2"/>
    </row>
    <row r="726" spans="1:33" s="206" customFormat="1" x14ac:dyDescent="0.25">
      <c r="A726" s="4"/>
      <c r="B726" s="4">
        <v>45894</v>
      </c>
      <c r="C726" s="1" t="s">
        <v>1991</v>
      </c>
      <c r="D726" s="224" t="s">
        <v>3487</v>
      </c>
      <c r="E726" s="1" t="s">
        <v>2513</v>
      </c>
      <c r="F726" s="102" t="s">
        <v>1421</v>
      </c>
      <c r="G726" s="1" t="s">
        <v>1421</v>
      </c>
      <c r="H726" s="8">
        <v>5</v>
      </c>
      <c r="I726" s="8"/>
      <c r="J726" s="115">
        <f>Table224[[#This Row],[Qty]]-Table224[[#This Row],[Issue Qty]]</f>
        <v>5</v>
      </c>
      <c r="K726" s="195"/>
      <c r="L726" s="195" t="s">
        <v>3480</v>
      </c>
      <c r="M726" s="5">
        <v>1550</v>
      </c>
      <c r="N726" s="5">
        <f t="shared" si="36"/>
        <v>7750</v>
      </c>
      <c r="O726" s="82">
        <v>0.18</v>
      </c>
      <c r="P726" s="9">
        <f t="shared" si="37"/>
        <v>1395</v>
      </c>
      <c r="Q726" s="5">
        <v>0</v>
      </c>
      <c r="R726" s="5">
        <v>0</v>
      </c>
      <c r="S726" s="5">
        <f t="shared" si="38"/>
        <v>9145</v>
      </c>
      <c r="T726" s="1" t="s">
        <v>1230</v>
      </c>
      <c r="U726" s="1" t="s">
        <v>1230</v>
      </c>
      <c r="V726" s="1" t="s">
        <v>1420</v>
      </c>
      <c r="W726" s="1" t="s">
        <v>2514</v>
      </c>
      <c r="X726" s="1"/>
      <c r="Y726" s="1"/>
      <c r="Z726" s="21" t="s">
        <v>327</v>
      </c>
      <c r="AA726" s="8" t="s">
        <v>1378</v>
      </c>
      <c r="AB726" s="8"/>
      <c r="AC726" s="22"/>
      <c r="AD726" s="1"/>
      <c r="AE726" s="29"/>
      <c r="AF726" s="1"/>
      <c r="AG726" s="2"/>
    </row>
    <row r="727" spans="1:33" s="206" customFormat="1" x14ac:dyDescent="0.25">
      <c r="A727" s="4"/>
      <c r="B727" s="4">
        <v>45894</v>
      </c>
      <c r="C727" s="6" t="s">
        <v>1683</v>
      </c>
      <c r="D727" s="224" t="s">
        <v>3431</v>
      </c>
      <c r="E727" s="1" t="s">
        <v>2337</v>
      </c>
      <c r="F727" s="102" t="s">
        <v>1418</v>
      </c>
      <c r="G727" s="1" t="s">
        <v>1419</v>
      </c>
      <c r="H727" s="8">
        <v>5</v>
      </c>
      <c r="I727" s="8"/>
      <c r="J727" s="115">
        <f>Table224[[#This Row],[Qty]]-Table224[[#This Row],[Issue Qty]]</f>
        <v>5</v>
      </c>
      <c r="K727" s="195"/>
      <c r="L727" s="195" t="s">
        <v>3480</v>
      </c>
      <c r="M727" s="5">
        <v>4400</v>
      </c>
      <c r="N727" s="5">
        <f t="shared" si="36"/>
        <v>22000</v>
      </c>
      <c r="O727" s="82">
        <v>0.05</v>
      </c>
      <c r="P727" s="9">
        <f t="shared" si="37"/>
        <v>1100</v>
      </c>
      <c r="Q727" s="5">
        <v>0</v>
      </c>
      <c r="R727" s="5">
        <v>0</v>
      </c>
      <c r="S727" s="5">
        <f t="shared" si="38"/>
        <v>23100</v>
      </c>
      <c r="T727" s="1" t="s">
        <v>980</v>
      </c>
      <c r="U727" s="1" t="s">
        <v>1125</v>
      </c>
      <c r="V727" s="1" t="s">
        <v>1420</v>
      </c>
      <c r="W727" s="1" t="s">
        <v>2512</v>
      </c>
      <c r="X727" s="1"/>
      <c r="Y727" s="1"/>
      <c r="Z727" s="21" t="s">
        <v>22</v>
      </c>
      <c r="AA727" s="21" t="s">
        <v>1963</v>
      </c>
      <c r="AB727" s="8"/>
      <c r="AC727" s="22"/>
      <c r="AD727" s="1"/>
      <c r="AE727" s="29"/>
      <c r="AF727" s="1"/>
      <c r="AG727" s="26"/>
    </row>
    <row r="728" spans="1:33" s="24" customFormat="1" x14ac:dyDescent="0.25">
      <c r="A728" s="4"/>
      <c r="B728" s="4">
        <v>45902</v>
      </c>
      <c r="C728" s="6" t="s">
        <v>1683</v>
      </c>
      <c r="D728" s="224" t="s">
        <v>1663</v>
      </c>
      <c r="E728" s="1" t="s">
        <v>2515</v>
      </c>
      <c r="F728" s="102" t="s">
        <v>1422</v>
      </c>
      <c r="G728" s="1" t="s">
        <v>1422</v>
      </c>
      <c r="H728" s="8">
        <v>3</v>
      </c>
      <c r="I728" s="8"/>
      <c r="J728" s="115">
        <f>Table224[[#This Row],[Qty]]-Table224[[#This Row],[Issue Qty]]</f>
        <v>3</v>
      </c>
      <c r="K728" s="195"/>
      <c r="L728" s="195" t="s">
        <v>3480</v>
      </c>
      <c r="M728" s="5">
        <v>0</v>
      </c>
      <c r="N728" s="5">
        <f t="shared" si="36"/>
        <v>0</v>
      </c>
      <c r="O728" s="82">
        <v>0</v>
      </c>
      <c r="P728" s="9">
        <f t="shared" si="37"/>
        <v>0</v>
      </c>
      <c r="Q728" s="5">
        <v>0</v>
      </c>
      <c r="R728" s="5">
        <v>0</v>
      </c>
      <c r="S728" s="5">
        <f t="shared" si="38"/>
        <v>0</v>
      </c>
      <c r="T728" s="1" t="s">
        <v>980</v>
      </c>
      <c r="U728" s="1" t="s">
        <v>1125</v>
      </c>
      <c r="V728" s="1" t="s">
        <v>896</v>
      </c>
      <c r="W728" s="1" t="s">
        <v>37</v>
      </c>
      <c r="X728" s="1"/>
      <c r="Y728" s="26"/>
      <c r="Z728" s="21" t="s">
        <v>398</v>
      </c>
      <c r="AA728" s="204"/>
      <c r="AB728" s="21">
        <v>2</v>
      </c>
      <c r="AC728" s="12" t="s">
        <v>1032</v>
      </c>
      <c r="AD728" s="26"/>
      <c r="AE728" s="29"/>
      <c r="AF728" s="26"/>
      <c r="AG728" s="26"/>
    </row>
    <row r="729" spans="1:33" s="206" customFormat="1" ht="30" x14ac:dyDescent="0.25">
      <c r="A729" s="4"/>
      <c r="B729" s="4">
        <v>45903</v>
      </c>
      <c r="C729" s="1" t="s">
        <v>1991</v>
      </c>
      <c r="D729" s="224" t="s">
        <v>3498</v>
      </c>
      <c r="E729" s="4" t="s">
        <v>2516</v>
      </c>
      <c r="F729" s="102" t="s">
        <v>1425</v>
      </c>
      <c r="G729" s="1" t="s">
        <v>1425</v>
      </c>
      <c r="H729" s="8">
        <v>5</v>
      </c>
      <c r="I729" s="8"/>
      <c r="J729" s="115">
        <f>Table224[[#This Row],[Qty]]-Table224[[#This Row],[Issue Qty]]</f>
        <v>5</v>
      </c>
      <c r="K729" s="195"/>
      <c r="L729" s="195" t="s">
        <v>3480</v>
      </c>
      <c r="M729" s="5">
        <v>2422</v>
      </c>
      <c r="N729" s="5">
        <f t="shared" si="36"/>
        <v>12110</v>
      </c>
      <c r="O729" s="82">
        <v>0.18</v>
      </c>
      <c r="P729" s="9">
        <f t="shared" si="37"/>
        <v>2179.7999999999997</v>
      </c>
      <c r="Q729" s="5">
        <v>400.02</v>
      </c>
      <c r="R729" s="5">
        <v>0</v>
      </c>
      <c r="S729" s="5">
        <f t="shared" si="38"/>
        <v>14689.82</v>
      </c>
      <c r="T729" s="1" t="s">
        <v>1230</v>
      </c>
      <c r="U729" s="1" t="s">
        <v>1230</v>
      </c>
      <c r="V729" s="1" t="s">
        <v>1426</v>
      </c>
      <c r="W729" s="1" t="s">
        <v>2517</v>
      </c>
      <c r="X729" s="1"/>
      <c r="Y729" s="1"/>
      <c r="Z729" s="21" t="s">
        <v>72</v>
      </c>
      <c r="AA729" s="8" t="s">
        <v>332</v>
      </c>
      <c r="AB729" s="8"/>
      <c r="AC729" s="22"/>
      <c r="AD729" s="1"/>
      <c r="AE729" s="29"/>
      <c r="AF729" s="1"/>
      <c r="AG729" s="2"/>
    </row>
    <row r="730" spans="1:33" s="24" customFormat="1" ht="30" x14ac:dyDescent="0.25">
      <c r="A730" s="4"/>
      <c r="B730" s="4">
        <v>45903</v>
      </c>
      <c r="C730" s="1" t="s">
        <v>54</v>
      </c>
      <c r="D730" s="224"/>
      <c r="E730" s="1" t="s">
        <v>37</v>
      </c>
      <c r="F730" s="325" t="s">
        <v>1423</v>
      </c>
      <c r="G730" s="1" t="s">
        <v>1423</v>
      </c>
      <c r="H730" s="8">
        <v>1</v>
      </c>
      <c r="I730" s="8"/>
      <c r="J730" s="115">
        <f>Table224[[#This Row],[Qty]]-Table224[[#This Row],[Issue Qty]]</f>
        <v>1</v>
      </c>
      <c r="K730" s="195"/>
      <c r="L730" s="195" t="s">
        <v>3480</v>
      </c>
      <c r="M730" s="5">
        <f>1120+3114</f>
        <v>4234</v>
      </c>
      <c r="N730" s="5">
        <f t="shared" si="36"/>
        <v>4234</v>
      </c>
      <c r="O730" s="82">
        <v>0</v>
      </c>
      <c r="P730" s="9">
        <f t="shared" si="37"/>
        <v>0</v>
      </c>
      <c r="Q730" s="5"/>
      <c r="R730" s="5"/>
      <c r="S730" s="5">
        <f t="shared" si="38"/>
        <v>4234</v>
      </c>
      <c r="T730" s="1" t="s">
        <v>907</v>
      </c>
      <c r="U730" s="1" t="s">
        <v>907</v>
      </c>
      <c r="V730" s="1" t="s">
        <v>1108</v>
      </c>
      <c r="W730" s="6"/>
      <c r="X730" s="1"/>
      <c r="Y730" s="26"/>
      <c r="Z730" s="21"/>
      <c r="AA730" s="204"/>
      <c r="AB730" s="21">
        <v>1</v>
      </c>
      <c r="AC730" s="12" t="s">
        <v>1032</v>
      </c>
      <c r="AD730" s="26"/>
      <c r="AE730" s="29"/>
      <c r="AF730" s="26"/>
      <c r="AG730" s="26"/>
    </row>
    <row r="731" spans="1:33" s="206" customFormat="1" ht="30" x14ac:dyDescent="0.25">
      <c r="A731" s="4"/>
      <c r="B731" s="4">
        <v>45903</v>
      </c>
      <c r="C731" s="1" t="s">
        <v>54</v>
      </c>
      <c r="D731" s="224"/>
      <c r="E731" s="1" t="s">
        <v>37</v>
      </c>
      <c r="F731" s="286" t="s">
        <v>1424</v>
      </c>
      <c r="G731" s="1" t="s">
        <v>1424</v>
      </c>
      <c r="H731" s="8">
        <v>1</v>
      </c>
      <c r="I731" s="8"/>
      <c r="J731" s="115">
        <f>Table224[[#This Row],[Qty]]-Table224[[#This Row],[Issue Qty]]</f>
        <v>1</v>
      </c>
      <c r="K731" s="195"/>
      <c r="L731" s="195" t="s">
        <v>3480</v>
      </c>
      <c r="M731" s="5">
        <f>6726+4956+3658+1120+4232</f>
        <v>20692</v>
      </c>
      <c r="N731" s="5">
        <f t="shared" si="36"/>
        <v>20692</v>
      </c>
      <c r="O731" s="82">
        <v>0</v>
      </c>
      <c r="P731" s="9">
        <f t="shared" si="37"/>
        <v>0</v>
      </c>
      <c r="Q731" s="5"/>
      <c r="R731" s="5"/>
      <c r="S731" s="5">
        <f t="shared" si="38"/>
        <v>20692</v>
      </c>
      <c r="T731" s="1" t="s">
        <v>1230</v>
      </c>
      <c r="U731" s="1" t="s">
        <v>1230</v>
      </c>
      <c r="V731" s="1" t="s">
        <v>1108</v>
      </c>
      <c r="W731" s="1"/>
      <c r="X731" s="1"/>
      <c r="Y731" s="26"/>
      <c r="Z731" s="21"/>
      <c r="AA731" s="204"/>
      <c r="AB731" s="21">
        <v>1</v>
      </c>
      <c r="AC731" s="12" t="s">
        <v>1032</v>
      </c>
      <c r="AD731" s="26"/>
      <c r="AE731" s="29"/>
      <c r="AF731" s="26"/>
      <c r="AG731" s="26"/>
    </row>
    <row r="732" spans="1:33" s="206" customFormat="1" x14ac:dyDescent="0.25">
      <c r="A732" s="4"/>
      <c r="B732" s="4">
        <v>45910</v>
      </c>
      <c r="C732" s="6" t="s">
        <v>1683</v>
      </c>
      <c r="D732" s="224" t="s">
        <v>3487</v>
      </c>
      <c r="E732" s="1" t="s">
        <v>2049</v>
      </c>
      <c r="F732" s="102" t="s">
        <v>790</v>
      </c>
      <c r="G732" s="1" t="s">
        <v>790</v>
      </c>
      <c r="H732" s="8">
        <v>40</v>
      </c>
      <c r="I732" s="8"/>
      <c r="J732" s="115">
        <f>Table224[[#This Row],[Qty]]-Table224[[#This Row],[Issue Qty]]</f>
        <v>40</v>
      </c>
      <c r="K732" s="195"/>
      <c r="L732" s="195" t="s">
        <v>3479</v>
      </c>
      <c r="M732" s="5">
        <v>350</v>
      </c>
      <c r="N732" s="5">
        <f t="shared" si="36"/>
        <v>14000</v>
      </c>
      <c r="O732" s="82">
        <v>0.18</v>
      </c>
      <c r="P732" s="9">
        <f t="shared" si="37"/>
        <v>2520</v>
      </c>
      <c r="Q732" s="5">
        <v>0</v>
      </c>
      <c r="R732" s="5">
        <v>0</v>
      </c>
      <c r="S732" s="5">
        <f t="shared" si="38"/>
        <v>16520</v>
      </c>
      <c r="T732" s="1" t="s">
        <v>606</v>
      </c>
      <c r="U732" s="1" t="s">
        <v>606</v>
      </c>
      <c r="V732" s="1" t="s">
        <v>792</v>
      </c>
      <c r="W732" s="6" t="s">
        <v>2518</v>
      </c>
      <c r="X732" s="6"/>
      <c r="Y732" s="6"/>
      <c r="Z732" s="21"/>
      <c r="AA732" s="60"/>
      <c r="AB732" s="8">
        <v>10</v>
      </c>
      <c r="AC732" s="57" t="s">
        <v>2059</v>
      </c>
      <c r="AD732" s="6"/>
      <c r="AE732" s="29" t="s">
        <v>793</v>
      </c>
      <c r="AF732" s="1" t="s">
        <v>1636</v>
      </c>
      <c r="AG732" s="26"/>
    </row>
    <row r="733" spans="1:33" s="206" customFormat="1" x14ac:dyDescent="0.25">
      <c r="A733" s="4"/>
      <c r="B733" s="4">
        <v>45915</v>
      </c>
      <c r="C733" s="1" t="s">
        <v>1688</v>
      </c>
      <c r="D733" s="224" t="s">
        <v>3450</v>
      </c>
      <c r="E733" s="4" t="s">
        <v>2521</v>
      </c>
      <c r="F733" s="102" t="s">
        <v>1428</v>
      </c>
      <c r="G733" s="1" t="s">
        <v>1428</v>
      </c>
      <c r="H733" s="8">
        <v>2</v>
      </c>
      <c r="I733" s="8"/>
      <c r="J733" s="115">
        <f>Table224[[#This Row],[Qty]]-Table224[[#This Row],[Issue Qty]]</f>
        <v>2</v>
      </c>
      <c r="K733" s="195"/>
      <c r="L733" s="195" t="s">
        <v>3480</v>
      </c>
      <c r="M733" s="5">
        <f>16572.04/2</f>
        <v>8286.02</v>
      </c>
      <c r="N733" s="5">
        <f t="shared" si="36"/>
        <v>16572.04</v>
      </c>
      <c r="O733" s="82">
        <v>0</v>
      </c>
      <c r="P733" s="9">
        <f t="shared" si="37"/>
        <v>0</v>
      </c>
      <c r="Q733" s="5">
        <f t="shared" ref="Q733:Q738" si="39">9329.67/6</f>
        <v>1554.9449999999999</v>
      </c>
      <c r="R733" s="5"/>
      <c r="S733" s="5">
        <f t="shared" si="38"/>
        <v>18126.985000000001</v>
      </c>
      <c r="T733" s="1" t="s">
        <v>980</v>
      </c>
      <c r="U733" s="1" t="s">
        <v>1125</v>
      </c>
      <c r="V733" s="1" t="s">
        <v>1124</v>
      </c>
      <c r="W733" s="6" t="s">
        <v>2519</v>
      </c>
      <c r="X733" s="6"/>
      <c r="Y733" s="6"/>
      <c r="Z733" s="21" t="s">
        <v>29</v>
      </c>
      <c r="AA733" s="60"/>
      <c r="AB733" s="8"/>
      <c r="AC733" s="57"/>
      <c r="AD733" s="6"/>
      <c r="AE733" s="29"/>
      <c r="AF733" s="1"/>
      <c r="AG733" s="2"/>
    </row>
    <row r="734" spans="1:33" s="24" customFormat="1" x14ac:dyDescent="0.25">
      <c r="A734" s="4"/>
      <c r="B734" s="4">
        <v>45915</v>
      </c>
      <c r="C734" s="1" t="s">
        <v>1991</v>
      </c>
      <c r="D734" s="224" t="s">
        <v>3453</v>
      </c>
      <c r="E734" s="4" t="s">
        <v>2522</v>
      </c>
      <c r="F734" s="102" t="s">
        <v>1429</v>
      </c>
      <c r="G734" s="1" t="s">
        <v>1429</v>
      </c>
      <c r="H734" s="8">
        <v>4</v>
      </c>
      <c r="I734" s="8"/>
      <c r="J734" s="115">
        <f>Table224[[#This Row],[Qty]]-Table224[[#This Row],[Issue Qty]]</f>
        <v>4</v>
      </c>
      <c r="K734" s="195"/>
      <c r="L734" s="195" t="s">
        <v>3480</v>
      </c>
      <c r="M734" s="5">
        <f>12416.07/4</f>
        <v>3104.0174999999999</v>
      </c>
      <c r="N734" s="5">
        <f t="shared" si="36"/>
        <v>12416.07</v>
      </c>
      <c r="O734" s="82">
        <v>0</v>
      </c>
      <c r="P734" s="9">
        <f t="shared" si="37"/>
        <v>0</v>
      </c>
      <c r="Q734" s="5">
        <f t="shared" si="39"/>
        <v>1554.9449999999999</v>
      </c>
      <c r="R734" s="5"/>
      <c r="S734" s="5">
        <f t="shared" si="38"/>
        <v>13971.014999999999</v>
      </c>
      <c r="T734" s="1" t="s">
        <v>980</v>
      </c>
      <c r="U734" s="1" t="s">
        <v>1125</v>
      </c>
      <c r="V734" s="1" t="s">
        <v>1124</v>
      </c>
      <c r="W734" s="6" t="s">
        <v>2519</v>
      </c>
      <c r="X734" s="6"/>
      <c r="Y734" s="6"/>
      <c r="Z734" s="21" t="s">
        <v>38</v>
      </c>
      <c r="AA734" s="21" t="s">
        <v>1128</v>
      </c>
      <c r="AB734" s="8"/>
      <c r="AC734" s="57"/>
      <c r="AD734" s="6"/>
      <c r="AE734" s="29"/>
      <c r="AF734" s="1"/>
      <c r="AG734" s="26"/>
    </row>
    <row r="735" spans="1:33" s="206" customFormat="1" x14ac:dyDescent="0.25">
      <c r="A735" s="4"/>
      <c r="B735" s="4">
        <v>45915</v>
      </c>
      <c r="C735" s="1" t="s">
        <v>1688</v>
      </c>
      <c r="D735" s="224" t="s">
        <v>3450</v>
      </c>
      <c r="E735" s="4" t="s">
        <v>2294</v>
      </c>
      <c r="F735" s="102" t="s">
        <v>1135</v>
      </c>
      <c r="G735" s="1" t="s">
        <v>1135</v>
      </c>
      <c r="H735" s="8">
        <v>1</v>
      </c>
      <c r="I735" s="8"/>
      <c r="J735" s="115">
        <f>Table224[[#This Row],[Qty]]-Table224[[#This Row],[Issue Qty]]</f>
        <v>1</v>
      </c>
      <c r="K735" s="195"/>
      <c r="L735" s="195" t="s">
        <v>3480</v>
      </c>
      <c r="M735" s="5">
        <v>4762.26</v>
      </c>
      <c r="N735" s="5">
        <f t="shared" si="36"/>
        <v>4762.26</v>
      </c>
      <c r="O735" s="82">
        <v>0</v>
      </c>
      <c r="P735" s="9">
        <f t="shared" si="37"/>
        <v>0</v>
      </c>
      <c r="Q735" s="5">
        <f t="shared" si="39"/>
        <v>1554.9449999999999</v>
      </c>
      <c r="R735" s="5"/>
      <c r="S735" s="5">
        <f t="shared" si="38"/>
        <v>6317.2049999999999</v>
      </c>
      <c r="T735" s="1" t="s">
        <v>980</v>
      </c>
      <c r="U735" s="1" t="s">
        <v>1125</v>
      </c>
      <c r="V735" s="1" t="s">
        <v>1124</v>
      </c>
      <c r="W735" s="6" t="s">
        <v>2519</v>
      </c>
      <c r="X735" s="6"/>
      <c r="Y735" s="6"/>
      <c r="Z735" s="21"/>
      <c r="AA735" s="60"/>
      <c r="AB735" s="8"/>
      <c r="AC735" s="57"/>
      <c r="AD735" s="6"/>
      <c r="AE735" s="29" t="s">
        <v>1135</v>
      </c>
      <c r="AF735" s="1"/>
      <c r="AG735" s="26"/>
    </row>
    <row r="736" spans="1:33" s="206" customFormat="1" x14ac:dyDescent="0.25">
      <c r="A736" s="4"/>
      <c r="B736" s="4">
        <v>45915</v>
      </c>
      <c r="C736" s="1" t="s">
        <v>1991</v>
      </c>
      <c r="D736" s="224" t="s">
        <v>3612</v>
      </c>
      <c r="E736" s="4" t="s">
        <v>2523</v>
      </c>
      <c r="F736" s="102" t="s">
        <v>1430</v>
      </c>
      <c r="G736" s="1" t="s">
        <v>1430</v>
      </c>
      <c r="H736" s="8">
        <v>1</v>
      </c>
      <c r="I736" s="8"/>
      <c r="J736" s="115">
        <f>Table224[[#This Row],[Qty]]-Table224[[#This Row],[Issue Qty]]</f>
        <v>1</v>
      </c>
      <c r="K736" s="195"/>
      <c r="L736" s="195" t="s">
        <v>3480</v>
      </c>
      <c r="M736" s="5">
        <v>15540.82</v>
      </c>
      <c r="N736" s="5">
        <f t="shared" si="36"/>
        <v>15540.82</v>
      </c>
      <c r="O736" s="82">
        <v>0</v>
      </c>
      <c r="P736" s="9">
        <f t="shared" si="37"/>
        <v>0</v>
      </c>
      <c r="Q736" s="5">
        <f t="shared" si="39"/>
        <v>1554.9449999999999</v>
      </c>
      <c r="R736" s="5"/>
      <c r="S736" s="5">
        <f t="shared" si="38"/>
        <v>17095.764999999999</v>
      </c>
      <c r="T736" s="1" t="s">
        <v>980</v>
      </c>
      <c r="U736" s="1" t="s">
        <v>1125</v>
      </c>
      <c r="V736" s="1" t="s">
        <v>1124</v>
      </c>
      <c r="W736" s="6" t="s">
        <v>2519</v>
      </c>
      <c r="X736" s="6"/>
      <c r="Y736" s="6"/>
      <c r="Z736" s="21" t="s">
        <v>244</v>
      </c>
      <c r="AA736" s="60"/>
      <c r="AB736" s="8"/>
      <c r="AC736" s="57"/>
      <c r="AD736" s="6"/>
      <c r="AE736" s="29"/>
      <c r="AF736" s="1"/>
      <c r="AG736" s="26"/>
    </row>
    <row r="737" spans="1:33" s="24" customFormat="1" x14ac:dyDescent="0.25">
      <c r="A737" s="4"/>
      <c r="B737" s="4">
        <v>45915</v>
      </c>
      <c r="C737" s="1" t="s">
        <v>1688</v>
      </c>
      <c r="D737" s="224" t="s">
        <v>3450</v>
      </c>
      <c r="E737" s="4" t="s">
        <v>2524</v>
      </c>
      <c r="F737" s="102" t="s">
        <v>1431</v>
      </c>
      <c r="G737" s="1" t="s">
        <v>1431</v>
      </c>
      <c r="H737" s="8">
        <v>1</v>
      </c>
      <c r="I737" s="8"/>
      <c r="J737" s="115">
        <f>Table224[[#This Row],[Qty]]-Table224[[#This Row],[Issue Qty]]</f>
        <v>1</v>
      </c>
      <c r="K737" s="195"/>
      <c r="L737" s="195" t="s">
        <v>3480</v>
      </c>
      <c r="M737" s="5">
        <v>8575.17</v>
      </c>
      <c r="N737" s="5">
        <f t="shared" si="36"/>
        <v>8575.17</v>
      </c>
      <c r="O737" s="82">
        <v>0</v>
      </c>
      <c r="P737" s="9">
        <f t="shared" si="37"/>
        <v>0</v>
      </c>
      <c r="Q737" s="5">
        <f t="shared" si="39"/>
        <v>1554.9449999999999</v>
      </c>
      <c r="R737" s="5"/>
      <c r="S737" s="5">
        <f t="shared" si="38"/>
        <v>10130.115</v>
      </c>
      <c r="T737" s="1" t="s">
        <v>980</v>
      </c>
      <c r="U737" s="1" t="s">
        <v>1125</v>
      </c>
      <c r="V737" s="1" t="s">
        <v>1124</v>
      </c>
      <c r="W737" s="6" t="s">
        <v>2519</v>
      </c>
      <c r="X737" s="6"/>
      <c r="Y737" s="6"/>
      <c r="Z737" s="21"/>
      <c r="AA737" s="60"/>
      <c r="AB737" s="8">
        <v>1</v>
      </c>
      <c r="AC737" s="57" t="s">
        <v>1032</v>
      </c>
      <c r="AD737" s="6"/>
      <c r="AE737" s="29"/>
      <c r="AF737" s="1"/>
      <c r="AG737" s="2"/>
    </row>
    <row r="738" spans="1:33" s="24" customFormat="1" x14ac:dyDescent="0.25">
      <c r="A738" s="4"/>
      <c r="B738" s="4">
        <v>45915</v>
      </c>
      <c r="C738" s="1" t="s">
        <v>1688</v>
      </c>
      <c r="D738" s="224" t="s">
        <v>3451</v>
      </c>
      <c r="E738" s="4" t="s">
        <v>2520</v>
      </c>
      <c r="F738" s="102" t="s">
        <v>1427</v>
      </c>
      <c r="G738" s="1" t="s">
        <v>1427</v>
      </c>
      <c r="H738" s="8">
        <v>1</v>
      </c>
      <c r="I738" s="8"/>
      <c r="J738" s="115">
        <f>Table224[[#This Row],[Qty]]-Table224[[#This Row],[Issue Qty]]</f>
        <v>1</v>
      </c>
      <c r="K738" s="195"/>
      <c r="L738" s="195" t="s">
        <v>3480</v>
      </c>
      <c r="M738" s="5">
        <v>10358.82</v>
      </c>
      <c r="N738" s="5">
        <f t="shared" si="36"/>
        <v>10358.82</v>
      </c>
      <c r="O738" s="82">
        <v>0</v>
      </c>
      <c r="P738" s="9">
        <f t="shared" si="37"/>
        <v>0</v>
      </c>
      <c r="Q738" s="5">
        <f t="shared" si="39"/>
        <v>1554.9449999999999</v>
      </c>
      <c r="R738" s="5"/>
      <c r="S738" s="5">
        <f t="shared" si="38"/>
        <v>11913.764999999999</v>
      </c>
      <c r="T738" s="1" t="s">
        <v>980</v>
      </c>
      <c r="U738" s="1" t="s">
        <v>1125</v>
      </c>
      <c r="V738" s="1" t="s">
        <v>1124</v>
      </c>
      <c r="W738" s="6" t="s">
        <v>2519</v>
      </c>
      <c r="X738" s="6"/>
      <c r="Y738" s="6"/>
      <c r="Z738" s="21" t="s">
        <v>29</v>
      </c>
      <c r="AA738" s="60"/>
      <c r="AB738" s="8"/>
      <c r="AC738" s="57"/>
      <c r="AD738" s="6"/>
      <c r="AE738" s="29"/>
      <c r="AF738" s="1"/>
      <c r="AG738" s="2"/>
    </row>
    <row r="739" spans="1:33" s="206" customFormat="1" x14ac:dyDescent="0.25">
      <c r="A739" s="4"/>
      <c r="B739" s="221">
        <v>45919</v>
      </c>
      <c r="C739" s="1" t="s">
        <v>54</v>
      </c>
      <c r="D739" s="224" t="s">
        <v>3630</v>
      </c>
      <c r="E739" s="4" t="s">
        <v>2528</v>
      </c>
      <c r="F739" s="102" t="s">
        <v>1433</v>
      </c>
      <c r="G739" s="1" t="s">
        <v>1433</v>
      </c>
      <c r="H739" s="8">
        <v>2</v>
      </c>
      <c r="I739" s="8"/>
      <c r="J739" s="115">
        <f>Table224[[#This Row],[Qty]]-Table224[[#This Row],[Issue Qty]]</f>
        <v>2</v>
      </c>
      <c r="K739" s="195"/>
      <c r="L739" s="195" t="s">
        <v>3480</v>
      </c>
      <c r="M739" s="5">
        <v>872.5</v>
      </c>
      <c r="N739" s="5">
        <f t="shared" si="36"/>
        <v>1745</v>
      </c>
      <c r="O739" s="82">
        <v>0.18</v>
      </c>
      <c r="P739" s="9">
        <f t="shared" si="37"/>
        <v>314.09999999999997</v>
      </c>
      <c r="Q739" s="5">
        <v>295</v>
      </c>
      <c r="R739" s="5">
        <v>-0.1</v>
      </c>
      <c r="S739" s="5">
        <f t="shared" si="38"/>
        <v>2354</v>
      </c>
      <c r="T739" s="1" t="s">
        <v>381</v>
      </c>
      <c r="U739" s="1" t="s">
        <v>381</v>
      </c>
      <c r="V739" s="1" t="s">
        <v>551</v>
      </c>
      <c r="W739" s="6" t="s">
        <v>2526</v>
      </c>
      <c r="X739" s="6"/>
      <c r="Y739" s="6"/>
      <c r="Z739" s="21" t="s">
        <v>3638</v>
      </c>
      <c r="AA739" s="60"/>
      <c r="AB739" s="8"/>
      <c r="AC739" s="57"/>
      <c r="AD739" s="6"/>
      <c r="AE739" s="29"/>
      <c r="AF739" s="1"/>
      <c r="AG739" s="26"/>
    </row>
    <row r="740" spans="1:33" s="206" customFormat="1" x14ac:dyDescent="0.25">
      <c r="A740" s="4"/>
      <c r="B740" s="4">
        <v>45919</v>
      </c>
      <c r="C740" s="1" t="s">
        <v>54</v>
      </c>
      <c r="D740" s="224" t="s">
        <v>3630</v>
      </c>
      <c r="E740" s="4" t="s">
        <v>2525</v>
      </c>
      <c r="F740" s="102" t="s">
        <v>1432</v>
      </c>
      <c r="G740" s="1" t="s">
        <v>1432</v>
      </c>
      <c r="H740" s="8">
        <v>5</v>
      </c>
      <c r="I740" s="8"/>
      <c r="J740" s="115">
        <f>Table224[[#This Row],[Qty]]-Table224[[#This Row],[Issue Qty]]</f>
        <v>5</v>
      </c>
      <c r="K740" s="195"/>
      <c r="L740" s="195" t="s">
        <v>3480</v>
      </c>
      <c r="M740" s="5">
        <v>210</v>
      </c>
      <c r="N740" s="5">
        <f t="shared" si="36"/>
        <v>1050</v>
      </c>
      <c r="O740" s="82">
        <v>0.18</v>
      </c>
      <c r="P740" s="9">
        <f t="shared" si="37"/>
        <v>189</v>
      </c>
      <c r="Q740" s="5">
        <v>295</v>
      </c>
      <c r="R740" s="5"/>
      <c r="S740" s="5">
        <f t="shared" si="38"/>
        <v>1534</v>
      </c>
      <c r="T740" s="1" t="s">
        <v>381</v>
      </c>
      <c r="U740" s="1" t="s">
        <v>381</v>
      </c>
      <c r="V740" s="1" t="s">
        <v>551</v>
      </c>
      <c r="W740" s="6" t="s">
        <v>2526</v>
      </c>
      <c r="X740" s="6"/>
      <c r="Y740" s="6"/>
      <c r="Z740" s="21" t="s">
        <v>3638</v>
      </c>
      <c r="AA740" s="60"/>
      <c r="AB740" s="8"/>
      <c r="AC740" s="57"/>
      <c r="AD740" s="6"/>
      <c r="AE740" s="29"/>
      <c r="AF740" s="1"/>
      <c r="AG740" s="26"/>
    </row>
    <row r="741" spans="1:33" s="24" customFormat="1" x14ac:dyDescent="0.25">
      <c r="A741" s="4"/>
      <c r="B741" s="4">
        <v>45920</v>
      </c>
      <c r="C741" s="1" t="s">
        <v>1991</v>
      </c>
      <c r="D741" s="224" t="s">
        <v>3492</v>
      </c>
      <c r="E741" s="4" t="s">
        <v>1831</v>
      </c>
      <c r="F741" s="102" t="s">
        <v>379</v>
      </c>
      <c r="G741" s="1" t="s">
        <v>379</v>
      </c>
      <c r="H741" s="8">
        <v>4</v>
      </c>
      <c r="I741" s="8">
        <v>1</v>
      </c>
      <c r="J741" s="115">
        <f>Table224[[#This Row],[Qty]]-Table224[[#This Row],[Issue Qty]]</f>
        <v>3</v>
      </c>
      <c r="K741" s="195"/>
      <c r="L741" s="195" t="s">
        <v>3480</v>
      </c>
      <c r="M741" s="5">
        <v>633.33000000000004</v>
      </c>
      <c r="N741" s="5">
        <f t="shared" si="36"/>
        <v>2533.3200000000002</v>
      </c>
      <c r="O741" s="82">
        <v>0.05</v>
      </c>
      <c r="P741" s="9">
        <f t="shared" si="37"/>
        <v>126.66600000000001</v>
      </c>
      <c r="Q741" s="5">
        <v>58.88</v>
      </c>
      <c r="R741" s="5">
        <v>0</v>
      </c>
      <c r="S741" s="5">
        <f t="shared" si="38"/>
        <v>2718.8660000000004</v>
      </c>
      <c r="T741" s="1" t="s">
        <v>1230</v>
      </c>
      <c r="U741" s="1" t="s">
        <v>1230</v>
      </c>
      <c r="V741" s="1" t="s">
        <v>788</v>
      </c>
      <c r="W741" s="6" t="s">
        <v>2529</v>
      </c>
      <c r="X741" s="6"/>
      <c r="Y741" s="6"/>
      <c r="Z741" s="21" t="s">
        <v>72</v>
      </c>
      <c r="AA741" s="60" t="s">
        <v>262</v>
      </c>
      <c r="AB741" s="8">
        <v>1</v>
      </c>
      <c r="AC741" s="57" t="s">
        <v>3848</v>
      </c>
      <c r="AD741" s="6"/>
      <c r="AE741" s="29"/>
      <c r="AF741" s="1"/>
      <c r="AG741" s="26"/>
    </row>
    <row r="742" spans="1:33" s="206" customFormat="1" x14ac:dyDescent="0.25">
      <c r="A742" s="4"/>
      <c r="B742" s="4">
        <v>45922</v>
      </c>
      <c r="C742" s="1" t="s">
        <v>1991</v>
      </c>
      <c r="D742" s="224" t="s">
        <v>3533</v>
      </c>
      <c r="E742" s="4" t="s">
        <v>2541</v>
      </c>
      <c r="F742" s="102" t="s">
        <v>1444</v>
      </c>
      <c r="G742" s="1" t="s">
        <v>1444</v>
      </c>
      <c r="H742" s="8">
        <v>1</v>
      </c>
      <c r="I742" s="8"/>
      <c r="J742" s="115">
        <f>Table224[[#This Row],[Qty]]-Table224[[#This Row],[Issue Qty]]</f>
        <v>1</v>
      </c>
      <c r="K742" s="195"/>
      <c r="L742" s="195" t="s">
        <v>3480</v>
      </c>
      <c r="M742" s="5">
        <v>1279.81</v>
      </c>
      <c r="N742" s="5">
        <f t="shared" si="36"/>
        <v>1279.81</v>
      </c>
      <c r="O742" s="82">
        <v>0.18</v>
      </c>
      <c r="P742" s="9">
        <f t="shared" si="37"/>
        <v>230.36579999999998</v>
      </c>
      <c r="Q742" s="5">
        <v>78.44</v>
      </c>
      <c r="R742" s="5">
        <v>0</v>
      </c>
      <c r="S742" s="5">
        <f t="shared" si="38"/>
        <v>1588.6158</v>
      </c>
      <c r="T742" s="1" t="s">
        <v>1434</v>
      </c>
      <c r="U742" s="1" t="s">
        <v>1434</v>
      </c>
      <c r="V742" s="1" t="s">
        <v>634</v>
      </c>
      <c r="W742" s="6" t="s">
        <v>2538</v>
      </c>
      <c r="X742" s="6"/>
      <c r="Y742" s="6"/>
      <c r="Z742" s="21" t="s">
        <v>89</v>
      </c>
      <c r="AA742" s="60"/>
      <c r="AB742" s="8"/>
      <c r="AC742" s="57"/>
      <c r="AD742" s="6"/>
      <c r="AE742" s="29"/>
      <c r="AF742" s="1"/>
      <c r="AG742" s="26"/>
    </row>
    <row r="743" spans="1:33" s="206" customFormat="1" x14ac:dyDescent="0.25">
      <c r="A743" s="4"/>
      <c r="B743" s="4">
        <v>45922</v>
      </c>
      <c r="C743" s="1" t="s">
        <v>1991</v>
      </c>
      <c r="D743" s="224" t="s">
        <v>3464</v>
      </c>
      <c r="E743" s="6" t="s">
        <v>1892</v>
      </c>
      <c r="F743" s="234" t="s">
        <v>501</v>
      </c>
      <c r="G743" s="1" t="s">
        <v>501</v>
      </c>
      <c r="H743" s="8">
        <v>1</v>
      </c>
      <c r="I743" s="8">
        <v>1</v>
      </c>
      <c r="J743" s="115">
        <f>Table224[[#This Row],[Qty]]-Table224[[#This Row],[Issue Qty]]</f>
        <v>0</v>
      </c>
      <c r="K743" s="195"/>
      <c r="L743" s="195" t="s">
        <v>3480</v>
      </c>
      <c r="M743" s="5">
        <v>30000</v>
      </c>
      <c r="N743" s="5">
        <f t="shared" si="36"/>
        <v>30000</v>
      </c>
      <c r="O743" s="82">
        <v>0.05</v>
      </c>
      <c r="P743" s="9">
        <f t="shared" si="37"/>
        <v>1500</v>
      </c>
      <c r="Q743" s="5">
        <v>236</v>
      </c>
      <c r="R743" s="5">
        <v>0</v>
      </c>
      <c r="S743" s="5">
        <f t="shared" si="38"/>
        <v>31736</v>
      </c>
      <c r="T743" s="1" t="s">
        <v>1434</v>
      </c>
      <c r="U743" s="1" t="s">
        <v>1434</v>
      </c>
      <c r="V743" s="1" t="s">
        <v>1255</v>
      </c>
      <c r="W743" s="1" t="s">
        <v>2530</v>
      </c>
      <c r="X743" s="1"/>
      <c r="Y743" s="2"/>
      <c r="Z743" s="21"/>
      <c r="AA743" s="21"/>
      <c r="AB743" s="21">
        <v>1</v>
      </c>
      <c r="AC743" s="12" t="s">
        <v>3468</v>
      </c>
      <c r="AD743" s="2"/>
      <c r="AE743" s="23"/>
      <c r="AF743" s="2"/>
      <c r="AG743" s="26"/>
    </row>
    <row r="744" spans="1:33" s="206" customFormat="1" x14ac:dyDescent="0.25">
      <c r="A744" s="4"/>
      <c r="B744" s="4">
        <v>45922</v>
      </c>
      <c r="C744" s="6" t="s">
        <v>1695</v>
      </c>
      <c r="D744" s="224" t="s">
        <v>3457</v>
      </c>
      <c r="E744" s="4" t="s">
        <v>2539</v>
      </c>
      <c r="F744" s="102" t="s">
        <v>1441</v>
      </c>
      <c r="G744" s="1" t="s">
        <v>1441</v>
      </c>
      <c r="H744" s="8">
        <v>3</v>
      </c>
      <c r="I744" s="8">
        <v>0</v>
      </c>
      <c r="J744" s="115">
        <f>Table224[[#This Row],[Qty]]-Table224[[#This Row],[Issue Qty]]</f>
        <v>3</v>
      </c>
      <c r="K744" s="195"/>
      <c r="L744" s="195" t="s">
        <v>3480</v>
      </c>
      <c r="M744" s="5">
        <v>29907.48</v>
      </c>
      <c r="N744" s="5">
        <f t="shared" si="36"/>
        <v>89722.44</v>
      </c>
      <c r="O744" s="82">
        <v>0.18</v>
      </c>
      <c r="P744" s="9">
        <f t="shared" si="37"/>
        <v>16150.039199999999</v>
      </c>
      <c r="Q744" s="5">
        <v>78.44</v>
      </c>
      <c r="R744" s="5">
        <v>0</v>
      </c>
      <c r="S744" s="5">
        <f t="shared" si="38"/>
        <v>105950.9192</v>
      </c>
      <c r="T744" s="1" t="s">
        <v>1434</v>
      </c>
      <c r="U744" s="1" t="s">
        <v>1434</v>
      </c>
      <c r="V744" s="1" t="s">
        <v>634</v>
      </c>
      <c r="W744" s="6" t="s">
        <v>2538</v>
      </c>
      <c r="X744" s="6"/>
      <c r="Y744" s="6"/>
      <c r="Z744" s="21" t="s">
        <v>3409</v>
      </c>
      <c r="AA744" s="60"/>
      <c r="AB744" s="8"/>
      <c r="AC744" s="57"/>
      <c r="AD744" s="6"/>
      <c r="AE744" s="29"/>
      <c r="AF744" s="1"/>
      <c r="AG744" s="2"/>
    </row>
    <row r="745" spans="1:33" s="206" customFormat="1" x14ac:dyDescent="0.25">
      <c r="A745" s="4"/>
      <c r="B745" s="4">
        <v>45922</v>
      </c>
      <c r="C745" s="6" t="s">
        <v>1695</v>
      </c>
      <c r="D745" s="224" t="s">
        <v>3457</v>
      </c>
      <c r="E745" s="4" t="s">
        <v>2537</v>
      </c>
      <c r="F745" s="102" t="s">
        <v>1440</v>
      </c>
      <c r="G745" s="1" t="s">
        <v>1440</v>
      </c>
      <c r="H745" s="8">
        <v>2</v>
      </c>
      <c r="I745" s="8">
        <v>2</v>
      </c>
      <c r="J745" s="115">
        <f>Table224[[#This Row],[Qty]]-Table224[[#This Row],[Issue Qty]]</f>
        <v>0</v>
      </c>
      <c r="K745" s="195"/>
      <c r="L745" s="195" t="s">
        <v>3480</v>
      </c>
      <c r="M745" s="5">
        <v>36748.75</v>
      </c>
      <c r="N745" s="5">
        <f t="shared" si="36"/>
        <v>73497.5</v>
      </c>
      <c r="O745" s="82">
        <v>0.18</v>
      </c>
      <c r="P745" s="9">
        <f t="shared" si="37"/>
        <v>13229.55</v>
      </c>
      <c r="Q745" s="5">
        <v>78.44</v>
      </c>
      <c r="R745" s="5">
        <v>0</v>
      </c>
      <c r="S745" s="5">
        <f t="shared" si="38"/>
        <v>86805.49</v>
      </c>
      <c r="T745" s="1" t="s">
        <v>1434</v>
      </c>
      <c r="U745" s="1" t="s">
        <v>1434</v>
      </c>
      <c r="V745" s="1" t="s">
        <v>634</v>
      </c>
      <c r="W745" s="6" t="s">
        <v>2538</v>
      </c>
      <c r="X745" s="6"/>
      <c r="Y745" s="6"/>
      <c r="Z745" s="21" t="s">
        <v>3409</v>
      </c>
      <c r="AA745" s="60"/>
      <c r="AB745" s="8">
        <v>2</v>
      </c>
      <c r="AC745" s="57" t="s">
        <v>145</v>
      </c>
      <c r="AD745" s="6"/>
      <c r="AE745" s="29"/>
      <c r="AF745" s="1"/>
      <c r="AG745" s="26"/>
    </row>
    <row r="746" spans="1:33" s="206" customFormat="1" x14ac:dyDescent="0.25">
      <c r="A746" s="4"/>
      <c r="B746" s="4">
        <v>45922</v>
      </c>
      <c r="C746" s="1" t="s">
        <v>1991</v>
      </c>
      <c r="D746" s="224" t="s">
        <v>3459</v>
      </c>
      <c r="E746" s="4" t="s">
        <v>2535</v>
      </c>
      <c r="F746" s="102" t="s">
        <v>1439</v>
      </c>
      <c r="G746" s="1" t="s">
        <v>1439</v>
      </c>
      <c r="H746" s="8">
        <v>2</v>
      </c>
      <c r="I746" s="8">
        <v>2</v>
      </c>
      <c r="J746" s="115">
        <f>Table224[[#This Row],[Qty]]-Table224[[#This Row],[Issue Qty]]</f>
        <v>0</v>
      </c>
      <c r="K746" s="195"/>
      <c r="L746" s="195" t="s">
        <v>3480</v>
      </c>
      <c r="M746" s="5">
        <v>27966.1</v>
      </c>
      <c r="N746" s="5">
        <f t="shared" si="36"/>
        <v>55932.2</v>
      </c>
      <c r="O746" s="82">
        <v>0.18</v>
      </c>
      <c r="P746" s="9">
        <f t="shared" si="37"/>
        <v>10067.795999999998</v>
      </c>
      <c r="Q746" s="5">
        <v>0</v>
      </c>
      <c r="R746" s="5">
        <v>0</v>
      </c>
      <c r="S746" s="5">
        <f t="shared" si="38"/>
        <v>65999.995999999999</v>
      </c>
      <c r="T746" s="1" t="s">
        <v>1434</v>
      </c>
      <c r="U746" s="1" t="s">
        <v>1434</v>
      </c>
      <c r="V746" s="1" t="s">
        <v>634</v>
      </c>
      <c r="W746" s="6" t="s">
        <v>2536</v>
      </c>
      <c r="X746" s="6"/>
      <c r="Y746" s="6"/>
      <c r="Z746" s="21" t="s">
        <v>89</v>
      </c>
      <c r="AA746" s="60"/>
      <c r="AB746" s="8">
        <v>1</v>
      </c>
      <c r="AC746" s="57" t="s">
        <v>3564</v>
      </c>
      <c r="AD746" s="6"/>
      <c r="AE746" s="29"/>
      <c r="AF746" s="1"/>
      <c r="AG746" s="26"/>
    </row>
    <row r="747" spans="1:33" s="206" customFormat="1" x14ac:dyDescent="0.25">
      <c r="A747" s="4"/>
      <c r="B747" s="4">
        <v>45922</v>
      </c>
      <c r="C747" s="1" t="s">
        <v>1991</v>
      </c>
      <c r="D747" s="224" t="s">
        <v>3443</v>
      </c>
      <c r="E747" s="4" t="s">
        <v>1741</v>
      </c>
      <c r="F747" s="102" t="s">
        <v>165</v>
      </c>
      <c r="G747" s="1" t="s">
        <v>165</v>
      </c>
      <c r="H747" s="8">
        <v>3</v>
      </c>
      <c r="I747" s="8">
        <v>3</v>
      </c>
      <c r="J747" s="115">
        <f>Table224[[#This Row],[Qty]]-Table224[[#This Row],[Issue Qty]]</f>
        <v>0</v>
      </c>
      <c r="K747" s="195"/>
      <c r="L747" s="195" t="s">
        <v>3480</v>
      </c>
      <c r="M747" s="5">
        <v>2363</v>
      </c>
      <c r="N747" s="5">
        <f t="shared" si="36"/>
        <v>7089</v>
      </c>
      <c r="O747" s="82">
        <v>0.18</v>
      </c>
      <c r="P747" s="9">
        <f t="shared" si="37"/>
        <v>1276.02</v>
      </c>
      <c r="Q747" s="5">
        <v>0</v>
      </c>
      <c r="R747" s="5">
        <v>-0.02</v>
      </c>
      <c r="S747" s="5">
        <f t="shared" si="38"/>
        <v>8365</v>
      </c>
      <c r="T747" s="1" t="s">
        <v>1434</v>
      </c>
      <c r="U747" s="1" t="s">
        <v>1434</v>
      </c>
      <c r="V747" s="1" t="s">
        <v>792</v>
      </c>
      <c r="W747" s="6" t="s">
        <v>2531</v>
      </c>
      <c r="X747" s="1"/>
      <c r="Y747" s="26"/>
      <c r="Z747" s="21" t="s">
        <v>268</v>
      </c>
      <c r="AA747" s="21" t="s">
        <v>1404</v>
      </c>
      <c r="AB747" s="21">
        <v>3</v>
      </c>
      <c r="AC747" s="12" t="s">
        <v>3352</v>
      </c>
      <c r="AD747" s="26"/>
      <c r="AE747" s="29"/>
      <c r="AF747" s="26"/>
      <c r="AG747" s="26"/>
    </row>
    <row r="748" spans="1:33" s="206" customFormat="1" x14ac:dyDescent="0.25">
      <c r="A748" s="4"/>
      <c r="B748" s="4">
        <v>45922</v>
      </c>
      <c r="C748" s="6" t="s">
        <v>1683</v>
      </c>
      <c r="D748" s="224" t="s">
        <v>3431</v>
      </c>
      <c r="E748" s="4" t="s">
        <v>2532</v>
      </c>
      <c r="F748" s="102" t="s">
        <v>1436</v>
      </c>
      <c r="G748" s="1" t="s">
        <v>1436</v>
      </c>
      <c r="H748" s="8">
        <v>2</v>
      </c>
      <c r="I748" s="8">
        <v>2</v>
      </c>
      <c r="J748" s="115">
        <f>Table224[[#This Row],[Qty]]-Table224[[#This Row],[Issue Qty]]</f>
        <v>0</v>
      </c>
      <c r="K748" s="73"/>
      <c r="L748" s="73" t="s">
        <v>3479</v>
      </c>
      <c r="M748" s="5">
        <v>9000</v>
      </c>
      <c r="N748" s="5">
        <f t="shared" si="36"/>
        <v>18000</v>
      </c>
      <c r="O748" s="82">
        <v>0.18</v>
      </c>
      <c r="P748" s="9">
        <f t="shared" si="37"/>
        <v>3240</v>
      </c>
      <c r="Q748" s="5">
        <v>0</v>
      </c>
      <c r="R748" s="5">
        <v>0</v>
      </c>
      <c r="S748" s="5">
        <f t="shared" si="38"/>
        <v>21240</v>
      </c>
      <c r="T748" s="1" t="s">
        <v>1434</v>
      </c>
      <c r="U748" s="1" t="s">
        <v>1434</v>
      </c>
      <c r="V748" s="1" t="s">
        <v>792</v>
      </c>
      <c r="W748" s="6" t="s">
        <v>2531</v>
      </c>
      <c r="X748" s="6"/>
      <c r="Y748" s="6"/>
      <c r="Z748" s="21"/>
      <c r="AA748" s="60"/>
      <c r="AB748" s="8">
        <v>2</v>
      </c>
      <c r="AC748" s="57" t="s">
        <v>1437</v>
      </c>
      <c r="AD748" s="6"/>
      <c r="AE748" s="29"/>
      <c r="AF748" s="1"/>
      <c r="AG748" s="26"/>
    </row>
    <row r="749" spans="1:33" s="206" customFormat="1" x14ac:dyDescent="0.25">
      <c r="A749" s="4"/>
      <c r="B749" s="4">
        <v>45922</v>
      </c>
      <c r="C749" s="1" t="s">
        <v>54</v>
      </c>
      <c r="D749" s="224" t="s">
        <v>3430</v>
      </c>
      <c r="E749" s="4" t="s">
        <v>2542</v>
      </c>
      <c r="F749" s="102" t="s">
        <v>1445</v>
      </c>
      <c r="G749" s="1" t="s">
        <v>1446</v>
      </c>
      <c r="H749" s="8">
        <v>2</v>
      </c>
      <c r="I749" s="8">
        <v>2</v>
      </c>
      <c r="J749" s="115">
        <f>Table224[[#This Row],[Qty]]-Table224[[#This Row],[Issue Qty]]</f>
        <v>0</v>
      </c>
      <c r="K749" s="195"/>
      <c r="L749" s="195" t="s">
        <v>3479</v>
      </c>
      <c r="M749" s="5">
        <v>4024.82</v>
      </c>
      <c r="N749" s="5">
        <f t="shared" si="36"/>
        <v>8049.64</v>
      </c>
      <c r="O749" s="82">
        <v>0.05</v>
      </c>
      <c r="P749" s="9">
        <f t="shared" si="37"/>
        <v>402.48200000000003</v>
      </c>
      <c r="Q749" s="5">
        <v>78.44</v>
      </c>
      <c r="R749" s="5">
        <v>0</v>
      </c>
      <c r="S749" s="5">
        <f t="shared" si="38"/>
        <v>8530.5620000000017</v>
      </c>
      <c r="T749" s="1" t="s">
        <v>1434</v>
      </c>
      <c r="U749" s="1" t="s">
        <v>1434</v>
      </c>
      <c r="V749" s="1" t="s">
        <v>634</v>
      </c>
      <c r="W749" s="6" t="s">
        <v>2538</v>
      </c>
      <c r="X749" s="6"/>
      <c r="Y749" s="6"/>
      <c r="Z749" s="21"/>
      <c r="AA749" s="60"/>
      <c r="AB749" s="8">
        <v>2</v>
      </c>
      <c r="AC749" s="202" t="s">
        <v>474</v>
      </c>
      <c r="AD749" s="6"/>
      <c r="AE749" s="29"/>
      <c r="AF749" s="1"/>
      <c r="AG749" s="2"/>
    </row>
    <row r="750" spans="1:33" s="206" customFormat="1" ht="45" x14ac:dyDescent="0.25">
      <c r="A750" s="4"/>
      <c r="B750" s="4">
        <v>45922</v>
      </c>
      <c r="C750" s="1" t="s">
        <v>1991</v>
      </c>
      <c r="D750" s="224" t="s">
        <v>3509</v>
      </c>
      <c r="E750" s="4" t="s">
        <v>2540</v>
      </c>
      <c r="F750" s="102" t="s">
        <v>1442</v>
      </c>
      <c r="G750" s="1" t="s">
        <v>1442</v>
      </c>
      <c r="H750" s="8">
        <v>1</v>
      </c>
      <c r="I750" s="8"/>
      <c r="J750" s="115">
        <f>Table224[[#This Row],[Qty]]-Table224[[#This Row],[Issue Qty]]</f>
        <v>1</v>
      </c>
      <c r="K750" s="195"/>
      <c r="L750" s="195" t="s">
        <v>3480</v>
      </c>
      <c r="M750" s="5">
        <v>1576.97</v>
      </c>
      <c r="N750" s="5">
        <f t="shared" si="36"/>
        <v>1576.97</v>
      </c>
      <c r="O750" s="82">
        <v>0.18</v>
      </c>
      <c r="P750" s="9">
        <f t="shared" si="37"/>
        <v>283.8546</v>
      </c>
      <c r="Q750" s="5">
        <v>78.44</v>
      </c>
      <c r="R750" s="5">
        <v>0</v>
      </c>
      <c r="S750" s="5">
        <f t="shared" si="38"/>
        <v>1939.2646</v>
      </c>
      <c r="T750" s="1" t="s">
        <v>1434</v>
      </c>
      <c r="U750" s="1" t="s">
        <v>1434</v>
      </c>
      <c r="V750" s="1" t="s">
        <v>634</v>
      </c>
      <c r="W750" s="6" t="s">
        <v>2538</v>
      </c>
      <c r="X750" s="6"/>
      <c r="Y750" s="6"/>
      <c r="Z750" s="8" t="s">
        <v>38</v>
      </c>
      <c r="AA750" s="8" t="s">
        <v>39</v>
      </c>
      <c r="AB750" s="8" t="s">
        <v>1443</v>
      </c>
      <c r="AC750" s="57" t="s">
        <v>145</v>
      </c>
      <c r="AD750" s="6"/>
      <c r="AE750" s="29"/>
      <c r="AF750" s="1"/>
      <c r="AG750" s="2"/>
    </row>
    <row r="751" spans="1:33" s="24" customFormat="1" x14ac:dyDescent="0.25">
      <c r="A751" s="4"/>
      <c r="B751" s="4">
        <v>45922</v>
      </c>
      <c r="C751" s="6" t="s">
        <v>1730</v>
      </c>
      <c r="D751" s="224" t="s">
        <v>1730</v>
      </c>
      <c r="E751" s="4" t="s">
        <v>2533</v>
      </c>
      <c r="F751" s="102" t="s">
        <v>1438</v>
      </c>
      <c r="G751" s="1" t="s">
        <v>1438</v>
      </c>
      <c r="H751" s="8">
        <v>2</v>
      </c>
      <c r="I751" s="8">
        <v>2</v>
      </c>
      <c r="J751" s="115">
        <f>Table224[[#This Row],[Qty]]-Table224[[#This Row],[Issue Qty]]</f>
        <v>0</v>
      </c>
      <c r="K751" s="195"/>
      <c r="L751" s="195" t="s">
        <v>3480</v>
      </c>
      <c r="M751" s="5">
        <v>2881.36</v>
      </c>
      <c r="N751" s="5">
        <f t="shared" si="36"/>
        <v>5762.72</v>
      </c>
      <c r="O751" s="82">
        <v>0.18</v>
      </c>
      <c r="P751" s="9">
        <f t="shared" si="37"/>
        <v>1037.2896000000001</v>
      </c>
      <c r="Q751" s="5">
        <v>0</v>
      </c>
      <c r="R751" s="5">
        <v>0</v>
      </c>
      <c r="S751" s="5">
        <f t="shared" si="38"/>
        <v>6800.0096000000003</v>
      </c>
      <c r="T751" s="1" t="s">
        <v>1434</v>
      </c>
      <c r="U751" s="1" t="s">
        <v>1434</v>
      </c>
      <c r="V751" s="1" t="s">
        <v>1314</v>
      </c>
      <c r="W751" s="6" t="s">
        <v>2534</v>
      </c>
      <c r="X751" s="6"/>
      <c r="Y751" s="6"/>
      <c r="Z751" s="21"/>
      <c r="AA751" s="60"/>
      <c r="AB751" s="8">
        <v>2</v>
      </c>
      <c r="AC751" s="57" t="s">
        <v>1437</v>
      </c>
      <c r="AD751" s="6"/>
      <c r="AE751" s="29"/>
      <c r="AF751" s="1"/>
      <c r="AG751" s="26"/>
    </row>
    <row r="752" spans="1:33" s="24" customFormat="1" ht="30" x14ac:dyDescent="0.25">
      <c r="A752" s="4"/>
      <c r="B752" s="4">
        <v>45924</v>
      </c>
      <c r="C752" s="1" t="s">
        <v>1991</v>
      </c>
      <c r="D752" s="224" t="s">
        <v>3444</v>
      </c>
      <c r="E752" s="4" t="s">
        <v>1826</v>
      </c>
      <c r="F752" s="102" t="s">
        <v>344</v>
      </c>
      <c r="G752" s="1" t="s">
        <v>344</v>
      </c>
      <c r="H752" s="8">
        <v>1</v>
      </c>
      <c r="I752" s="8">
        <v>0</v>
      </c>
      <c r="J752" s="115">
        <f>Table224[[#This Row],[Qty]]-Table224[[#This Row],[Issue Qty]]</f>
        <v>1</v>
      </c>
      <c r="K752" s="195"/>
      <c r="L752" s="195" t="s">
        <v>3480</v>
      </c>
      <c r="M752" s="5">
        <v>125.72</v>
      </c>
      <c r="N752" s="5">
        <f t="shared" si="36"/>
        <v>125.72</v>
      </c>
      <c r="O752" s="82">
        <v>0.05</v>
      </c>
      <c r="P752" s="9">
        <f t="shared" si="37"/>
        <v>6.2860000000000005</v>
      </c>
      <c r="Q752" s="5">
        <v>99</v>
      </c>
      <c r="R752" s="5">
        <v>0</v>
      </c>
      <c r="S752" s="5">
        <f t="shared" si="38"/>
        <v>231.006</v>
      </c>
      <c r="T752" s="1" t="s">
        <v>1434</v>
      </c>
      <c r="U752" s="1" t="s">
        <v>1434</v>
      </c>
      <c r="V752" s="1" t="s">
        <v>634</v>
      </c>
      <c r="W752" s="6" t="s">
        <v>2543</v>
      </c>
      <c r="X752" s="6"/>
      <c r="Y752" s="6"/>
      <c r="Z752" s="21" t="s">
        <v>107</v>
      </c>
      <c r="AA752" s="60" t="s">
        <v>457</v>
      </c>
      <c r="AB752" s="8"/>
      <c r="AC752" s="57"/>
      <c r="AD752" s="6"/>
      <c r="AE752" s="29"/>
      <c r="AF752" s="1"/>
      <c r="AG752" s="26"/>
    </row>
    <row r="753" spans="1:33" s="206" customFormat="1" x14ac:dyDescent="0.25">
      <c r="A753" s="4"/>
      <c r="B753" s="4">
        <v>45925</v>
      </c>
      <c r="C753" s="1" t="s">
        <v>1991</v>
      </c>
      <c r="D753" s="224" t="s">
        <v>3459</v>
      </c>
      <c r="E753" s="4" t="s">
        <v>2544</v>
      </c>
      <c r="F753" s="102" t="s">
        <v>1447</v>
      </c>
      <c r="G753" s="1" t="s">
        <v>1447</v>
      </c>
      <c r="H753" s="8">
        <v>1</v>
      </c>
      <c r="I753" s="8"/>
      <c r="J753" s="115">
        <f>Table224[[#This Row],[Qty]]-Table224[[#This Row],[Issue Qty]]</f>
        <v>1</v>
      </c>
      <c r="K753" s="195"/>
      <c r="L753" s="195" t="s">
        <v>3480</v>
      </c>
      <c r="M753" s="5">
        <v>60465</v>
      </c>
      <c r="N753" s="5">
        <f t="shared" si="36"/>
        <v>60465</v>
      </c>
      <c r="O753" s="82">
        <v>0.18</v>
      </c>
      <c r="P753" s="9">
        <f t="shared" si="37"/>
        <v>10883.699999999999</v>
      </c>
      <c r="Q753" s="5">
        <v>0</v>
      </c>
      <c r="R753" s="5">
        <v>0.3</v>
      </c>
      <c r="S753" s="5">
        <f t="shared" si="38"/>
        <v>71349</v>
      </c>
      <c r="T753" s="1" t="s">
        <v>1434</v>
      </c>
      <c r="U753" s="1" t="s">
        <v>1434</v>
      </c>
      <c r="V753" s="1" t="s">
        <v>1448</v>
      </c>
      <c r="W753" s="6" t="s">
        <v>2545</v>
      </c>
      <c r="X753" s="6"/>
      <c r="Y753" s="6"/>
      <c r="Z753" s="21" t="s">
        <v>89</v>
      </c>
      <c r="AA753" s="60"/>
      <c r="AB753" s="8">
        <v>1</v>
      </c>
      <c r="AC753" s="57" t="s">
        <v>145</v>
      </c>
      <c r="AD753" s="6"/>
      <c r="AE753" s="29"/>
      <c r="AF753" s="1"/>
      <c r="AG753" s="26"/>
    </row>
    <row r="754" spans="1:33" s="24" customFormat="1" x14ac:dyDescent="0.25">
      <c r="A754" s="4"/>
      <c r="B754" s="4">
        <v>45929</v>
      </c>
      <c r="C754" s="6" t="s">
        <v>1683</v>
      </c>
      <c r="D754" s="224" t="s">
        <v>1663</v>
      </c>
      <c r="E754" s="4" t="s">
        <v>2555</v>
      </c>
      <c r="F754" s="102" t="s">
        <v>1463</v>
      </c>
      <c r="G754" s="1" t="s">
        <v>1464</v>
      </c>
      <c r="H754" s="8">
        <v>1</v>
      </c>
      <c r="I754" s="8">
        <v>1</v>
      </c>
      <c r="J754" s="115">
        <f>Table224[[#This Row],[Qty]]-Table224[[#This Row],[Issue Qty]]</f>
        <v>0</v>
      </c>
      <c r="K754" s="195"/>
      <c r="L754" s="195" t="s">
        <v>3480</v>
      </c>
      <c r="M754" s="5">
        <v>22500</v>
      </c>
      <c r="N754" s="5">
        <f t="shared" si="36"/>
        <v>22500</v>
      </c>
      <c r="O754" s="82">
        <v>0.18</v>
      </c>
      <c r="P754" s="9">
        <f t="shared" si="37"/>
        <v>4050</v>
      </c>
      <c r="Q754" s="5">
        <v>0</v>
      </c>
      <c r="R754" s="5">
        <v>0</v>
      </c>
      <c r="S754" s="5">
        <f t="shared" si="38"/>
        <v>26550</v>
      </c>
      <c r="T754" s="1" t="s">
        <v>2887</v>
      </c>
      <c r="U754" s="1" t="s">
        <v>633</v>
      </c>
      <c r="V754" s="1" t="s">
        <v>896</v>
      </c>
      <c r="W754" s="6" t="s">
        <v>2556</v>
      </c>
      <c r="X754" s="1"/>
      <c r="Y754" s="26"/>
      <c r="Z754" s="21"/>
      <c r="AA754" s="204"/>
      <c r="AB754" s="21"/>
      <c r="AC754" s="12"/>
      <c r="AD754" s="12" t="s">
        <v>1465</v>
      </c>
      <c r="AE754" s="29"/>
      <c r="AF754" s="26"/>
      <c r="AG754" s="26"/>
    </row>
    <row r="755" spans="1:33" s="206" customFormat="1" x14ac:dyDescent="0.25">
      <c r="A755" s="4"/>
      <c r="B755" s="4">
        <v>45929</v>
      </c>
      <c r="C755" s="6" t="s">
        <v>1683</v>
      </c>
      <c r="D755" s="224" t="s">
        <v>3493</v>
      </c>
      <c r="E755" s="4" t="s">
        <v>2546</v>
      </c>
      <c r="F755" s="102" t="s">
        <v>1449</v>
      </c>
      <c r="G755" s="1" t="s">
        <v>1450</v>
      </c>
      <c r="H755" s="8">
        <v>14</v>
      </c>
      <c r="I755" s="8">
        <v>14</v>
      </c>
      <c r="J755" s="115">
        <f>Table224[[#This Row],[Qty]]-Table224[[#This Row],[Issue Qty]]</f>
        <v>0</v>
      </c>
      <c r="K755" s="195"/>
      <c r="L755" s="195" t="s">
        <v>3514</v>
      </c>
      <c r="M755" s="5">
        <v>58</v>
      </c>
      <c r="N755" s="5">
        <f t="shared" ref="N755:N818" si="40">H755*M755</f>
        <v>812</v>
      </c>
      <c r="O755" s="82">
        <v>0.18</v>
      </c>
      <c r="P755" s="9">
        <f t="shared" ref="P755:P818" si="41">N755*O755</f>
        <v>146.16</v>
      </c>
      <c r="Q755" s="5">
        <v>0</v>
      </c>
      <c r="R755" s="5">
        <v>0</v>
      </c>
      <c r="S755" s="5">
        <f t="shared" ref="S755:S818" si="42">N755+P755+Q755+R755</f>
        <v>958.16</v>
      </c>
      <c r="T755" s="1" t="s">
        <v>2887</v>
      </c>
      <c r="U755" s="1" t="s">
        <v>633</v>
      </c>
      <c r="V755" s="1" t="s">
        <v>444</v>
      </c>
      <c r="W755" s="6" t="s">
        <v>2547</v>
      </c>
      <c r="X755" s="6"/>
      <c r="Y755" s="6"/>
      <c r="Z755" s="21" t="s">
        <v>833</v>
      </c>
      <c r="AA755" s="60"/>
      <c r="AB755" s="8">
        <v>15</v>
      </c>
      <c r="AC755" s="57" t="s">
        <v>1382</v>
      </c>
      <c r="AD755" s="6"/>
      <c r="AE755" s="29"/>
      <c r="AF755" s="1"/>
      <c r="AG755" s="2"/>
    </row>
    <row r="756" spans="1:33" s="206" customFormat="1" x14ac:dyDescent="0.25">
      <c r="A756" s="4"/>
      <c r="B756" s="4">
        <v>45929</v>
      </c>
      <c r="C756" s="6" t="s">
        <v>1683</v>
      </c>
      <c r="D756" s="224" t="s">
        <v>3493</v>
      </c>
      <c r="E756" s="4" t="s">
        <v>2548</v>
      </c>
      <c r="F756" s="102" t="s">
        <v>1451</v>
      </c>
      <c r="G756" s="1" t="s">
        <v>1452</v>
      </c>
      <c r="H756" s="8">
        <v>15</v>
      </c>
      <c r="I756" s="8">
        <v>15</v>
      </c>
      <c r="J756" s="115">
        <f>Table224[[#This Row],[Qty]]-Table224[[#This Row],[Issue Qty]]</f>
        <v>0</v>
      </c>
      <c r="K756" s="195"/>
      <c r="L756" s="195" t="s">
        <v>3514</v>
      </c>
      <c r="M756" s="5">
        <v>58</v>
      </c>
      <c r="N756" s="5">
        <f t="shared" si="40"/>
        <v>870</v>
      </c>
      <c r="O756" s="82">
        <v>0.18</v>
      </c>
      <c r="P756" s="9">
        <f t="shared" si="41"/>
        <v>156.6</v>
      </c>
      <c r="Q756" s="5">
        <v>0</v>
      </c>
      <c r="R756" s="5">
        <v>-0.4</v>
      </c>
      <c r="S756" s="5">
        <f t="shared" si="42"/>
        <v>1026.1999999999998</v>
      </c>
      <c r="T756" s="1" t="s">
        <v>2887</v>
      </c>
      <c r="U756" s="1" t="s">
        <v>633</v>
      </c>
      <c r="V756" s="1" t="s">
        <v>444</v>
      </c>
      <c r="W756" s="6" t="s">
        <v>2547</v>
      </c>
      <c r="X756" s="6"/>
      <c r="Y756" s="6"/>
      <c r="Z756" s="21" t="s">
        <v>1345</v>
      </c>
      <c r="AA756" s="60"/>
      <c r="AB756" s="8">
        <v>15</v>
      </c>
      <c r="AC756" s="57" t="s">
        <v>1382</v>
      </c>
      <c r="AD756" s="6"/>
      <c r="AE756" s="29"/>
      <c r="AF756" s="1"/>
      <c r="AG756" s="2"/>
    </row>
    <row r="757" spans="1:33" s="24" customFormat="1" x14ac:dyDescent="0.25">
      <c r="A757" s="4"/>
      <c r="B757" s="4">
        <v>45929</v>
      </c>
      <c r="C757" s="6" t="s">
        <v>1683</v>
      </c>
      <c r="D757" s="224" t="s">
        <v>3493</v>
      </c>
      <c r="E757" s="4" t="s">
        <v>2549</v>
      </c>
      <c r="F757" s="102" t="s">
        <v>1453</v>
      </c>
      <c r="G757" s="1" t="s">
        <v>1454</v>
      </c>
      <c r="H757" s="8">
        <v>15</v>
      </c>
      <c r="I757" s="8">
        <v>15</v>
      </c>
      <c r="J757" s="115">
        <f>Table224[[#This Row],[Qty]]-Table224[[#This Row],[Issue Qty]]</f>
        <v>0</v>
      </c>
      <c r="K757" s="195"/>
      <c r="L757" s="195" t="s">
        <v>3514</v>
      </c>
      <c r="M757" s="5">
        <v>35</v>
      </c>
      <c r="N757" s="5">
        <f t="shared" si="40"/>
        <v>525</v>
      </c>
      <c r="O757" s="82">
        <v>0.18</v>
      </c>
      <c r="P757" s="9">
        <f t="shared" si="41"/>
        <v>94.5</v>
      </c>
      <c r="Q757" s="5">
        <v>0</v>
      </c>
      <c r="R757" s="5">
        <v>0</v>
      </c>
      <c r="S757" s="5">
        <f t="shared" si="42"/>
        <v>619.5</v>
      </c>
      <c r="T757" s="1" t="s">
        <v>2887</v>
      </c>
      <c r="U757" s="1" t="s">
        <v>633</v>
      </c>
      <c r="V757" s="1" t="s">
        <v>444</v>
      </c>
      <c r="W757" s="6" t="s">
        <v>2547</v>
      </c>
      <c r="X757" s="6"/>
      <c r="Y757" s="6"/>
      <c r="Z757" s="21" t="s">
        <v>833</v>
      </c>
      <c r="AA757" s="60"/>
      <c r="AB757" s="8">
        <v>15</v>
      </c>
      <c r="AC757" s="57" t="s">
        <v>1382</v>
      </c>
      <c r="AD757" s="6"/>
      <c r="AE757" s="29"/>
      <c r="AF757" s="1"/>
      <c r="AG757" s="2"/>
    </row>
    <row r="758" spans="1:33" s="24" customFormat="1" x14ac:dyDescent="0.25">
      <c r="A758" s="4"/>
      <c r="B758" s="4">
        <v>45929</v>
      </c>
      <c r="C758" s="6" t="s">
        <v>1683</v>
      </c>
      <c r="D758" s="224" t="s">
        <v>3493</v>
      </c>
      <c r="E758" s="4" t="s">
        <v>2550</v>
      </c>
      <c r="F758" s="102" t="s">
        <v>1455</v>
      </c>
      <c r="G758" s="1" t="s">
        <v>1456</v>
      </c>
      <c r="H758" s="8">
        <v>15</v>
      </c>
      <c r="I758" s="8">
        <v>15</v>
      </c>
      <c r="J758" s="115">
        <f>Table224[[#This Row],[Qty]]-Table224[[#This Row],[Issue Qty]]</f>
        <v>0</v>
      </c>
      <c r="K758" s="195"/>
      <c r="L758" s="195" t="s">
        <v>3514</v>
      </c>
      <c r="M758" s="5">
        <v>35</v>
      </c>
      <c r="N758" s="5">
        <f t="shared" si="40"/>
        <v>525</v>
      </c>
      <c r="O758" s="82">
        <v>0.18</v>
      </c>
      <c r="P758" s="9">
        <f t="shared" si="41"/>
        <v>94.5</v>
      </c>
      <c r="Q758" s="5">
        <v>0</v>
      </c>
      <c r="R758" s="5">
        <v>0</v>
      </c>
      <c r="S758" s="5">
        <f t="shared" si="42"/>
        <v>619.5</v>
      </c>
      <c r="T758" s="1" t="s">
        <v>2887</v>
      </c>
      <c r="U758" s="1" t="s">
        <v>633</v>
      </c>
      <c r="V758" s="1" t="s">
        <v>444</v>
      </c>
      <c r="W758" s="6" t="s">
        <v>2547</v>
      </c>
      <c r="X758" s="6"/>
      <c r="Y758" s="6"/>
      <c r="Z758" s="21" t="s">
        <v>1345</v>
      </c>
      <c r="AA758" s="60"/>
      <c r="AB758" s="8">
        <v>15</v>
      </c>
      <c r="AC758" s="57" t="s">
        <v>1382</v>
      </c>
      <c r="AD758" s="6"/>
      <c r="AE758" s="29"/>
      <c r="AF758" s="1"/>
      <c r="AG758" s="26"/>
    </row>
    <row r="759" spans="1:33" s="24" customFormat="1" x14ac:dyDescent="0.25">
      <c r="A759" s="4"/>
      <c r="B759" s="4">
        <v>45929</v>
      </c>
      <c r="C759" s="6" t="s">
        <v>1683</v>
      </c>
      <c r="D759" s="224" t="s">
        <v>3493</v>
      </c>
      <c r="E759" s="4" t="s">
        <v>2551</v>
      </c>
      <c r="F759" s="102" t="s">
        <v>1457</v>
      </c>
      <c r="G759" s="1" t="s">
        <v>1458</v>
      </c>
      <c r="H759" s="8">
        <v>14</v>
      </c>
      <c r="I759" s="8">
        <v>14</v>
      </c>
      <c r="J759" s="115">
        <f>Table224[[#This Row],[Qty]]-Table224[[#This Row],[Issue Qty]]</f>
        <v>0</v>
      </c>
      <c r="K759" s="195"/>
      <c r="L759" s="195" t="s">
        <v>3514</v>
      </c>
      <c r="M759" s="5">
        <v>43</v>
      </c>
      <c r="N759" s="5">
        <f t="shared" si="40"/>
        <v>602</v>
      </c>
      <c r="O759" s="82">
        <v>0.18</v>
      </c>
      <c r="P759" s="9">
        <f t="shared" si="41"/>
        <v>108.36</v>
      </c>
      <c r="Q759" s="5">
        <v>0</v>
      </c>
      <c r="R759" s="5">
        <v>0</v>
      </c>
      <c r="S759" s="5">
        <f t="shared" si="42"/>
        <v>710.36</v>
      </c>
      <c r="T759" s="1" t="s">
        <v>2887</v>
      </c>
      <c r="U759" s="1" t="s">
        <v>633</v>
      </c>
      <c r="V759" s="1" t="s">
        <v>444</v>
      </c>
      <c r="W759" s="6" t="s">
        <v>2547</v>
      </c>
      <c r="X759" s="6"/>
      <c r="Y759" s="6"/>
      <c r="Z759" s="21" t="s">
        <v>833</v>
      </c>
      <c r="AA759" s="60"/>
      <c r="AB759" s="8">
        <v>15</v>
      </c>
      <c r="AC759" s="57" t="s">
        <v>1382</v>
      </c>
      <c r="AD759" s="6"/>
      <c r="AE759" s="29"/>
      <c r="AF759" s="1"/>
      <c r="AG759" s="26"/>
    </row>
    <row r="760" spans="1:33" s="206" customFormat="1" x14ac:dyDescent="0.25">
      <c r="A760" s="4"/>
      <c r="B760" s="4">
        <v>45929</v>
      </c>
      <c r="C760" s="6" t="s">
        <v>1683</v>
      </c>
      <c r="D760" s="224" t="s">
        <v>3493</v>
      </c>
      <c r="E760" s="4" t="s">
        <v>2552</v>
      </c>
      <c r="F760" s="102" t="s">
        <v>1459</v>
      </c>
      <c r="G760" s="1" t="s">
        <v>1460</v>
      </c>
      <c r="H760" s="8">
        <v>14</v>
      </c>
      <c r="I760" s="8">
        <v>14</v>
      </c>
      <c r="J760" s="115">
        <f>Table224[[#This Row],[Qty]]-Table224[[#This Row],[Issue Qty]]</f>
        <v>0</v>
      </c>
      <c r="K760" s="195"/>
      <c r="L760" s="195" t="s">
        <v>3514</v>
      </c>
      <c r="M760" s="5">
        <v>43</v>
      </c>
      <c r="N760" s="5">
        <f t="shared" si="40"/>
        <v>602</v>
      </c>
      <c r="O760" s="82">
        <v>0.18</v>
      </c>
      <c r="P760" s="9">
        <f t="shared" si="41"/>
        <v>108.36</v>
      </c>
      <c r="Q760" s="5">
        <v>0</v>
      </c>
      <c r="R760" s="5">
        <v>0</v>
      </c>
      <c r="S760" s="5">
        <f t="shared" si="42"/>
        <v>710.36</v>
      </c>
      <c r="T760" s="1" t="s">
        <v>2887</v>
      </c>
      <c r="U760" s="1" t="s">
        <v>633</v>
      </c>
      <c r="V760" s="1" t="s">
        <v>444</v>
      </c>
      <c r="W760" s="6" t="s">
        <v>2547</v>
      </c>
      <c r="X760" s="6"/>
      <c r="Y760" s="6"/>
      <c r="Z760" s="21" t="s">
        <v>1345</v>
      </c>
      <c r="AA760" s="60"/>
      <c r="AB760" s="8">
        <v>15</v>
      </c>
      <c r="AC760" s="57" t="s">
        <v>1382</v>
      </c>
      <c r="AD760" s="6"/>
      <c r="AE760" s="29"/>
      <c r="AF760" s="1"/>
      <c r="AG760" s="26"/>
    </row>
    <row r="761" spans="1:33" s="206" customFormat="1" x14ac:dyDescent="0.25">
      <c r="A761" s="4"/>
      <c r="B761" s="4">
        <v>45929</v>
      </c>
      <c r="C761" s="1" t="s">
        <v>1991</v>
      </c>
      <c r="D761" s="224" t="s">
        <v>3490</v>
      </c>
      <c r="E761" s="4" t="s">
        <v>2553</v>
      </c>
      <c r="F761" s="102" t="s">
        <v>1461</v>
      </c>
      <c r="G761" s="1" t="s">
        <v>1462</v>
      </c>
      <c r="H761" s="8">
        <v>6</v>
      </c>
      <c r="I761" s="8">
        <v>6</v>
      </c>
      <c r="J761" s="115">
        <f>Table224[[#This Row],[Qty]]-Table224[[#This Row],[Issue Qty]]</f>
        <v>0</v>
      </c>
      <c r="K761" s="195"/>
      <c r="L761" s="195" t="s">
        <v>3480</v>
      </c>
      <c r="M761" s="5">
        <v>5350</v>
      </c>
      <c r="N761" s="5">
        <f t="shared" si="40"/>
        <v>32100</v>
      </c>
      <c r="O761" s="82">
        <v>0.18</v>
      </c>
      <c r="P761" s="9">
        <f t="shared" si="41"/>
        <v>5778</v>
      </c>
      <c r="Q761" s="5">
        <v>0</v>
      </c>
      <c r="R761" s="5">
        <v>0</v>
      </c>
      <c r="S761" s="5">
        <f t="shared" si="42"/>
        <v>37878</v>
      </c>
      <c r="T761" s="1" t="s">
        <v>2887</v>
      </c>
      <c r="U761" s="1" t="s">
        <v>633</v>
      </c>
      <c r="V761" s="1" t="s">
        <v>792</v>
      </c>
      <c r="W761" s="6" t="s">
        <v>2554</v>
      </c>
      <c r="X761" s="6"/>
      <c r="Y761" s="6"/>
      <c r="Z761" s="21" t="s">
        <v>3349</v>
      </c>
      <c r="AA761" s="60"/>
      <c r="AB761" s="8">
        <v>6</v>
      </c>
      <c r="AC761" s="57" t="s">
        <v>3737</v>
      </c>
      <c r="AD761" s="6"/>
      <c r="AE761" s="29"/>
      <c r="AF761" s="1"/>
      <c r="AG761" s="26"/>
    </row>
    <row r="762" spans="1:33" s="206" customFormat="1" ht="30" x14ac:dyDescent="0.25">
      <c r="A762" s="4"/>
      <c r="B762" s="4">
        <v>45930</v>
      </c>
      <c r="C762" s="1" t="s">
        <v>54</v>
      </c>
      <c r="D762" s="224" t="s">
        <v>3430</v>
      </c>
      <c r="E762" s="4" t="s">
        <v>2566</v>
      </c>
      <c r="F762" s="232" t="s">
        <v>1474</v>
      </c>
      <c r="G762" s="1" t="s">
        <v>1474</v>
      </c>
      <c r="H762" s="8">
        <v>4</v>
      </c>
      <c r="I762" s="8">
        <v>2</v>
      </c>
      <c r="J762" s="115">
        <f>Table224[[#This Row],[Qty]]-Table224[[#This Row],[Issue Qty]]</f>
        <v>2</v>
      </c>
      <c r="K762" s="195"/>
      <c r="L762" s="195" t="s">
        <v>3479</v>
      </c>
      <c r="M762" s="5">
        <v>17565</v>
      </c>
      <c r="N762" s="5">
        <f t="shared" si="40"/>
        <v>70260</v>
      </c>
      <c r="O762" s="82">
        <v>0.05</v>
      </c>
      <c r="P762" s="9">
        <f t="shared" si="41"/>
        <v>3513</v>
      </c>
      <c r="Q762" s="5">
        <v>767</v>
      </c>
      <c r="R762" s="5">
        <v>0</v>
      </c>
      <c r="S762" s="5">
        <f t="shared" si="42"/>
        <v>74540</v>
      </c>
      <c r="T762" s="1" t="s">
        <v>2887</v>
      </c>
      <c r="U762" s="1" t="s">
        <v>633</v>
      </c>
      <c r="V762" s="1" t="s">
        <v>1060</v>
      </c>
      <c r="W762" s="6" t="s">
        <v>2564</v>
      </c>
      <c r="X762" s="6"/>
      <c r="Y762" s="6"/>
      <c r="Z762" s="21" t="s">
        <v>126</v>
      </c>
      <c r="AA762" s="60"/>
      <c r="AB762" s="8">
        <v>2</v>
      </c>
      <c r="AC762" s="57" t="s">
        <v>3874</v>
      </c>
      <c r="AD762" s="57" t="s">
        <v>3478</v>
      </c>
      <c r="AE762" s="29"/>
      <c r="AF762" s="1"/>
      <c r="AG762" s="2"/>
    </row>
    <row r="763" spans="1:33" s="206" customFormat="1" x14ac:dyDescent="0.25">
      <c r="A763" s="4"/>
      <c r="B763" s="4">
        <v>45930</v>
      </c>
      <c r="C763" s="1" t="s">
        <v>54</v>
      </c>
      <c r="D763" s="224" t="s">
        <v>3596</v>
      </c>
      <c r="E763" s="4" t="s">
        <v>2559</v>
      </c>
      <c r="F763" s="102" t="s">
        <v>3015</v>
      </c>
      <c r="G763" s="1" t="s">
        <v>1468</v>
      </c>
      <c r="H763" s="8">
        <v>2</v>
      </c>
      <c r="I763" s="8">
        <v>2</v>
      </c>
      <c r="J763" s="115">
        <f>Table224[[#This Row],[Qty]]-Table224[[#This Row],[Issue Qty]]</f>
        <v>0</v>
      </c>
      <c r="K763" s="195"/>
      <c r="L763" s="195" t="s">
        <v>3480</v>
      </c>
      <c r="M763" s="5">
        <v>1130</v>
      </c>
      <c r="N763" s="5">
        <f t="shared" si="40"/>
        <v>2260</v>
      </c>
      <c r="O763" s="82">
        <v>0.18</v>
      </c>
      <c r="P763" s="9">
        <f t="shared" si="41"/>
        <v>406.8</v>
      </c>
      <c r="Q763" s="5">
        <v>0</v>
      </c>
      <c r="R763" s="5">
        <v>0</v>
      </c>
      <c r="S763" s="5">
        <f t="shared" si="42"/>
        <v>2666.8</v>
      </c>
      <c r="T763" s="1" t="s">
        <v>2887</v>
      </c>
      <c r="U763" s="1" t="s">
        <v>633</v>
      </c>
      <c r="V763" s="1" t="s">
        <v>551</v>
      </c>
      <c r="W763" s="6" t="s">
        <v>2560</v>
      </c>
      <c r="X763" s="6"/>
      <c r="Y763" s="6"/>
      <c r="Z763" s="21" t="s">
        <v>3349</v>
      </c>
      <c r="AA763" s="8"/>
      <c r="AB763" s="8">
        <v>2</v>
      </c>
      <c r="AC763" s="57" t="s">
        <v>3392</v>
      </c>
      <c r="AD763" s="6"/>
      <c r="AE763" s="29"/>
      <c r="AF763" s="1"/>
      <c r="AG763" s="26"/>
    </row>
    <row r="764" spans="1:33" s="206" customFormat="1" x14ac:dyDescent="0.25">
      <c r="A764" s="4"/>
      <c r="B764" s="4">
        <v>45930</v>
      </c>
      <c r="C764" s="6" t="s">
        <v>1683</v>
      </c>
      <c r="D764" s="224" t="s">
        <v>3487</v>
      </c>
      <c r="E764" s="4" t="s">
        <v>2179</v>
      </c>
      <c r="F764" s="316" t="s">
        <v>972</v>
      </c>
      <c r="G764" s="1" t="s">
        <v>972</v>
      </c>
      <c r="H764" s="8">
        <v>9</v>
      </c>
      <c r="I764" s="8">
        <v>9</v>
      </c>
      <c r="J764" s="115">
        <f>Table224[[#This Row],[Qty]]-Table224[[#This Row],[Issue Qty]]</f>
        <v>0</v>
      </c>
      <c r="K764" s="195"/>
      <c r="L764" s="195" t="s">
        <v>3480</v>
      </c>
      <c r="M764" s="5">
        <v>94.48</v>
      </c>
      <c r="N764" s="5">
        <f t="shared" si="40"/>
        <v>850.32</v>
      </c>
      <c r="O764" s="82">
        <v>0.18</v>
      </c>
      <c r="P764" s="9">
        <f t="shared" si="41"/>
        <v>153.05760000000001</v>
      </c>
      <c r="Q764" s="5">
        <v>84.16</v>
      </c>
      <c r="R764" s="5">
        <v>0</v>
      </c>
      <c r="S764" s="5">
        <f t="shared" si="42"/>
        <v>1087.5376000000001</v>
      </c>
      <c r="T764" s="1" t="s">
        <v>2887</v>
      </c>
      <c r="U764" s="1" t="s">
        <v>633</v>
      </c>
      <c r="V764" s="1" t="s">
        <v>634</v>
      </c>
      <c r="W764" s="6" t="s">
        <v>2561</v>
      </c>
      <c r="X764" s="6"/>
      <c r="Y764" s="6"/>
      <c r="Z764" s="21" t="s">
        <v>650</v>
      </c>
      <c r="AA764" s="60"/>
      <c r="AB764" s="8">
        <v>6</v>
      </c>
      <c r="AC764" s="57" t="s">
        <v>3315</v>
      </c>
      <c r="AD764" s="6"/>
      <c r="AE764" s="29"/>
      <c r="AF764" s="1"/>
      <c r="AG764" s="26"/>
    </row>
    <row r="765" spans="1:33" s="206" customFormat="1" ht="30" x14ac:dyDescent="0.25">
      <c r="A765" s="4"/>
      <c r="B765" s="4">
        <v>45930</v>
      </c>
      <c r="C765" s="1" t="s">
        <v>54</v>
      </c>
      <c r="D765" s="224" t="s">
        <v>3587</v>
      </c>
      <c r="E765" s="4" t="s">
        <v>2562</v>
      </c>
      <c r="F765" s="102" t="s">
        <v>1470</v>
      </c>
      <c r="G765" s="1" t="s">
        <v>1470</v>
      </c>
      <c r="H765" s="8">
        <v>4</v>
      </c>
      <c r="I765" s="8">
        <v>4</v>
      </c>
      <c r="J765" s="115">
        <f>Table224[[#This Row],[Qty]]-Table224[[#This Row],[Issue Qty]]</f>
        <v>0</v>
      </c>
      <c r="K765" s="195"/>
      <c r="L765" s="195" t="s">
        <v>3480</v>
      </c>
      <c r="M765" s="5">
        <v>5145</v>
      </c>
      <c r="N765" s="5">
        <f t="shared" si="40"/>
        <v>20580</v>
      </c>
      <c r="O765" s="82">
        <v>0.18</v>
      </c>
      <c r="P765" s="9">
        <f t="shared" si="41"/>
        <v>3704.3999999999996</v>
      </c>
      <c r="Q765" s="5">
        <v>1062</v>
      </c>
      <c r="R765" s="5">
        <v>-1400.2</v>
      </c>
      <c r="S765" s="5">
        <f t="shared" si="42"/>
        <v>23946.2</v>
      </c>
      <c r="T765" s="1" t="s">
        <v>2887</v>
      </c>
      <c r="U765" s="1" t="s">
        <v>633</v>
      </c>
      <c r="V765" s="1" t="s">
        <v>551</v>
      </c>
      <c r="W765" s="6" t="s">
        <v>2560</v>
      </c>
      <c r="X765" s="6"/>
      <c r="Y765" s="6"/>
      <c r="Z765" s="21" t="s">
        <v>3349</v>
      </c>
      <c r="AA765" s="60"/>
      <c r="AB765" s="8">
        <v>4</v>
      </c>
      <c r="AC765" s="12" t="s">
        <v>3766</v>
      </c>
      <c r="AD765" s="6"/>
      <c r="AE765" s="29"/>
      <c r="AF765" s="1"/>
      <c r="AG765" s="2"/>
    </row>
    <row r="766" spans="1:33" s="206" customFormat="1" x14ac:dyDescent="0.25">
      <c r="A766" s="4"/>
      <c r="B766" s="4">
        <v>45930</v>
      </c>
      <c r="C766" s="1" t="s">
        <v>1991</v>
      </c>
      <c r="D766" s="224" t="s">
        <v>3464</v>
      </c>
      <c r="E766" s="4" t="s">
        <v>2557</v>
      </c>
      <c r="F766" s="236" t="s">
        <v>1466</v>
      </c>
      <c r="G766" s="1" t="s">
        <v>1467</v>
      </c>
      <c r="H766" s="8">
        <v>3</v>
      </c>
      <c r="I766" s="8">
        <v>3</v>
      </c>
      <c r="J766" s="115">
        <f>Table224[[#This Row],[Qty]]-Table224[[#This Row],[Issue Qty]]</f>
        <v>0</v>
      </c>
      <c r="K766" s="332">
        <v>2</v>
      </c>
      <c r="L766" s="195" t="s">
        <v>3480</v>
      </c>
      <c r="M766" s="5">
        <v>27500</v>
      </c>
      <c r="N766" s="5">
        <f t="shared" si="40"/>
        <v>82500</v>
      </c>
      <c r="O766" s="82">
        <v>0.05</v>
      </c>
      <c r="P766" s="9">
        <f t="shared" si="41"/>
        <v>4125</v>
      </c>
      <c r="Q766" s="5">
        <v>0</v>
      </c>
      <c r="R766" s="5">
        <v>0</v>
      </c>
      <c r="S766" s="5">
        <f t="shared" si="42"/>
        <v>86625</v>
      </c>
      <c r="T766" s="1" t="s">
        <v>2887</v>
      </c>
      <c r="U766" s="1" t="s">
        <v>633</v>
      </c>
      <c r="V766" s="1" t="s">
        <v>794</v>
      </c>
      <c r="W766" s="6" t="s">
        <v>2558</v>
      </c>
      <c r="X766" s="6"/>
      <c r="Y766" s="6"/>
      <c r="Z766" s="21" t="s">
        <v>3349</v>
      </c>
      <c r="AA766" s="60"/>
      <c r="AB766" s="8">
        <v>3</v>
      </c>
      <c r="AC766" s="57" t="s">
        <v>3467</v>
      </c>
      <c r="AD766" s="6"/>
      <c r="AE766" s="29"/>
      <c r="AF766" s="1"/>
      <c r="AG766" s="26"/>
    </row>
    <row r="767" spans="1:33" s="206" customFormat="1" x14ac:dyDescent="0.25">
      <c r="A767" s="4"/>
      <c r="B767" s="4">
        <v>45930</v>
      </c>
      <c r="C767" s="6" t="s">
        <v>1683</v>
      </c>
      <c r="D767" s="224" t="s">
        <v>3493</v>
      </c>
      <c r="E767" s="4" t="s">
        <v>2552</v>
      </c>
      <c r="F767" s="102" t="s">
        <v>1476</v>
      </c>
      <c r="G767" s="1" t="s">
        <v>1459</v>
      </c>
      <c r="H767" s="8">
        <v>14</v>
      </c>
      <c r="I767" s="8">
        <v>14</v>
      </c>
      <c r="J767" s="115">
        <f>Table224[[#This Row],[Qty]]-Table224[[#This Row],[Issue Qty]]</f>
        <v>0</v>
      </c>
      <c r="K767" s="195"/>
      <c r="L767" s="195" t="s">
        <v>3514</v>
      </c>
      <c r="M767" s="5">
        <v>14.24</v>
      </c>
      <c r="N767" s="5">
        <f t="shared" si="40"/>
        <v>199.36</v>
      </c>
      <c r="O767" s="82">
        <v>0.18</v>
      </c>
      <c r="P767" s="9">
        <f t="shared" si="41"/>
        <v>35.884799999999998</v>
      </c>
      <c r="Q767" s="5">
        <v>84.16</v>
      </c>
      <c r="R767" s="5">
        <v>0</v>
      </c>
      <c r="S767" s="5">
        <f t="shared" si="42"/>
        <v>319.40480000000002</v>
      </c>
      <c r="T767" s="1" t="s">
        <v>2887</v>
      </c>
      <c r="U767" s="1" t="s">
        <v>633</v>
      </c>
      <c r="V767" s="1" t="s">
        <v>634</v>
      </c>
      <c r="W767" s="6" t="s">
        <v>2561</v>
      </c>
      <c r="X767" s="6"/>
      <c r="Y767" s="6"/>
      <c r="Z767" s="21" t="s">
        <v>1345</v>
      </c>
      <c r="AA767" s="60"/>
      <c r="AB767" s="8">
        <v>15</v>
      </c>
      <c r="AC767" s="57" t="s">
        <v>1382</v>
      </c>
      <c r="AD767" s="6"/>
      <c r="AE767" s="29"/>
      <c r="AF767" s="1"/>
      <c r="AG767" s="26"/>
    </row>
    <row r="768" spans="1:33" s="24" customFormat="1" x14ac:dyDescent="0.25">
      <c r="A768" s="4"/>
      <c r="B768" s="4">
        <v>45930</v>
      </c>
      <c r="C768" s="6" t="s">
        <v>1683</v>
      </c>
      <c r="D768" s="224" t="s">
        <v>3493</v>
      </c>
      <c r="E768" s="4" t="s">
        <v>2568</v>
      </c>
      <c r="F768" s="102" t="s">
        <v>1476</v>
      </c>
      <c r="G768" s="1" t="s">
        <v>1476</v>
      </c>
      <c r="H768" s="8">
        <v>15</v>
      </c>
      <c r="I768" s="8">
        <v>15</v>
      </c>
      <c r="J768" s="115">
        <f>Table224[[#This Row],[Qty]]-Table224[[#This Row],[Issue Qty]]</f>
        <v>0</v>
      </c>
      <c r="K768" s="195"/>
      <c r="L768" s="195" t="s">
        <v>3514</v>
      </c>
      <c r="M768" s="5">
        <v>35.89</v>
      </c>
      <c r="N768" s="5">
        <f t="shared" si="40"/>
        <v>538.35</v>
      </c>
      <c r="O768" s="82">
        <v>0.18</v>
      </c>
      <c r="P768" s="9">
        <f t="shared" si="41"/>
        <v>96.903000000000006</v>
      </c>
      <c r="Q768" s="5">
        <v>84.16</v>
      </c>
      <c r="R768" s="5">
        <v>0</v>
      </c>
      <c r="S768" s="5">
        <f t="shared" si="42"/>
        <v>719.41300000000001</v>
      </c>
      <c r="T768" s="1" t="s">
        <v>2887</v>
      </c>
      <c r="U768" s="1" t="s">
        <v>633</v>
      </c>
      <c r="V768" s="1" t="s">
        <v>634</v>
      </c>
      <c r="W768" s="6" t="s">
        <v>2561</v>
      </c>
      <c r="X768" s="6"/>
      <c r="Y768" s="6"/>
      <c r="Z768" s="21" t="s">
        <v>1345</v>
      </c>
      <c r="AA768" s="60"/>
      <c r="AB768" s="8">
        <v>15</v>
      </c>
      <c r="AC768" s="57" t="s">
        <v>1382</v>
      </c>
      <c r="AD768" s="6"/>
      <c r="AE768" s="29"/>
      <c r="AF768" s="1"/>
      <c r="AG768" s="26"/>
    </row>
    <row r="769" spans="1:33" s="206" customFormat="1" x14ac:dyDescent="0.25">
      <c r="A769" s="4"/>
      <c r="B769" s="4">
        <v>45930</v>
      </c>
      <c r="C769" s="6" t="s">
        <v>1683</v>
      </c>
      <c r="D769" s="224" t="s">
        <v>3493</v>
      </c>
      <c r="E769" s="4" t="s">
        <v>2548</v>
      </c>
      <c r="F769" s="102" t="s">
        <v>1451</v>
      </c>
      <c r="G769" s="1" t="s">
        <v>1451</v>
      </c>
      <c r="H769" s="8">
        <v>14</v>
      </c>
      <c r="I769" s="8">
        <v>14</v>
      </c>
      <c r="J769" s="115">
        <f>Table224[[#This Row],[Qty]]-Table224[[#This Row],[Issue Qty]]</f>
        <v>0</v>
      </c>
      <c r="K769" s="195"/>
      <c r="L769" s="195" t="s">
        <v>3514</v>
      </c>
      <c r="M769" s="5">
        <v>35.880000000000003</v>
      </c>
      <c r="N769" s="5">
        <f t="shared" si="40"/>
        <v>502.32000000000005</v>
      </c>
      <c r="O769" s="82">
        <v>0.18</v>
      </c>
      <c r="P769" s="9">
        <f t="shared" si="41"/>
        <v>90.417600000000007</v>
      </c>
      <c r="Q769" s="5">
        <v>84.16</v>
      </c>
      <c r="R769" s="5">
        <v>0</v>
      </c>
      <c r="S769" s="5">
        <f t="shared" si="42"/>
        <v>676.89760000000001</v>
      </c>
      <c r="T769" s="1" t="s">
        <v>2887</v>
      </c>
      <c r="U769" s="1" t="s">
        <v>633</v>
      </c>
      <c r="V769" s="1" t="s">
        <v>634</v>
      </c>
      <c r="W769" s="6" t="s">
        <v>2561</v>
      </c>
      <c r="X769" s="6"/>
      <c r="Y769" s="6"/>
      <c r="Z769" s="21" t="s">
        <v>1345</v>
      </c>
      <c r="AA769" s="60"/>
      <c r="AB769" s="8">
        <v>15</v>
      </c>
      <c r="AC769" s="57" t="s">
        <v>1382</v>
      </c>
      <c r="AD769" s="6"/>
      <c r="AE769" s="29"/>
      <c r="AF769" s="1"/>
      <c r="AG769" s="26"/>
    </row>
    <row r="770" spans="1:33" s="206" customFormat="1" x14ac:dyDescent="0.25">
      <c r="A770" s="4"/>
      <c r="B770" s="4">
        <v>45930</v>
      </c>
      <c r="C770" s="1" t="s">
        <v>1991</v>
      </c>
      <c r="D770" s="224" t="s">
        <v>3443</v>
      </c>
      <c r="E770" s="4" t="s">
        <v>2567</v>
      </c>
      <c r="F770" s="102" t="s">
        <v>1475</v>
      </c>
      <c r="G770" s="1" t="s">
        <v>1475</v>
      </c>
      <c r="H770" s="8">
        <v>10</v>
      </c>
      <c r="I770" s="8">
        <v>4</v>
      </c>
      <c r="J770" s="115">
        <f>Table224[[#This Row],[Qty]]-Table224[[#This Row],[Issue Qty]]</f>
        <v>6</v>
      </c>
      <c r="K770" s="195"/>
      <c r="L770" s="195" t="s">
        <v>3480</v>
      </c>
      <c r="M770" s="5">
        <v>5900.45</v>
      </c>
      <c r="N770" s="5">
        <f t="shared" si="40"/>
        <v>59004.5</v>
      </c>
      <c r="O770" s="82">
        <v>0.05</v>
      </c>
      <c r="P770" s="9">
        <f t="shared" si="41"/>
        <v>2950.2250000000004</v>
      </c>
      <c r="Q770" s="5">
        <v>84.16</v>
      </c>
      <c r="R770" s="5">
        <v>0</v>
      </c>
      <c r="S770" s="5">
        <f t="shared" si="42"/>
        <v>62038.885000000002</v>
      </c>
      <c r="T770" s="1" t="s">
        <v>2887</v>
      </c>
      <c r="U770" s="1" t="s">
        <v>633</v>
      </c>
      <c r="V770" s="1" t="s">
        <v>634</v>
      </c>
      <c r="W770" s="6" t="s">
        <v>2561</v>
      </c>
      <c r="X770" s="6"/>
      <c r="Y770" s="6"/>
      <c r="Z770" s="21" t="s">
        <v>25</v>
      </c>
      <c r="AA770" s="60" t="s">
        <v>26</v>
      </c>
      <c r="AB770" s="8">
        <v>4</v>
      </c>
      <c r="AC770" s="57" t="s">
        <v>3447</v>
      </c>
      <c r="AD770" s="6"/>
      <c r="AE770" s="29"/>
      <c r="AF770" s="1"/>
      <c r="AG770" s="26"/>
    </row>
    <row r="771" spans="1:33" s="206" customFormat="1" x14ac:dyDescent="0.25">
      <c r="A771" s="4"/>
      <c r="B771" s="4">
        <v>45930</v>
      </c>
      <c r="C771" s="6" t="s">
        <v>1683</v>
      </c>
      <c r="D771" s="224" t="s">
        <v>3431</v>
      </c>
      <c r="E771" s="4" t="s">
        <v>2563</v>
      </c>
      <c r="F771" s="236" t="s">
        <v>1471</v>
      </c>
      <c r="G771" s="1" t="s">
        <v>1471</v>
      </c>
      <c r="H771" s="8">
        <v>10</v>
      </c>
      <c r="I771" s="8">
        <v>10</v>
      </c>
      <c r="J771" s="115">
        <f>Table224[[#This Row],[Qty]]-Table224[[#This Row],[Issue Qty]]</f>
        <v>0</v>
      </c>
      <c r="K771" s="332">
        <v>10</v>
      </c>
      <c r="L771" s="195" t="s">
        <v>3480</v>
      </c>
      <c r="M771" s="5">
        <v>18203</v>
      </c>
      <c r="N771" s="5">
        <f t="shared" si="40"/>
        <v>182030</v>
      </c>
      <c r="O771" s="82">
        <v>0.05</v>
      </c>
      <c r="P771" s="9">
        <f t="shared" si="41"/>
        <v>9101.5</v>
      </c>
      <c r="Q771" s="5">
        <v>767</v>
      </c>
      <c r="R771" s="5">
        <v>0</v>
      </c>
      <c r="S771" s="5">
        <f t="shared" si="42"/>
        <v>191898.5</v>
      </c>
      <c r="T771" s="1" t="s">
        <v>2887</v>
      </c>
      <c r="U771" s="1" t="s">
        <v>633</v>
      </c>
      <c r="V771" s="1" t="s">
        <v>1060</v>
      </c>
      <c r="W771" s="6" t="s">
        <v>2564</v>
      </c>
      <c r="X771" s="6"/>
      <c r="Y771" s="6"/>
      <c r="Z771" s="21" t="s">
        <v>64</v>
      </c>
      <c r="AA771" s="21"/>
      <c r="AB771" s="8">
        <f>8+2</f>
        <v>10</v>
      </c>
      <c r="AC771" s="57" t="s">
        <v>3465</v>
      </c>
      <c r="AD771" s="6"/>
      <c r="AE771" s="29"/>
      <c r="AF771" s="1"/>
      <c r="AG771" s="26"/>
    </row>
    <row r="772" spans="1:33" s="24" customFormat="1" x14ac:dyDescent="0.25">
      <c r="A772" s="4">
        <v>45926</v>
      </c>
      <c r="B772" s="4">
        <v>45930</v>
      </c>
      <c r="C772" s="1" t="s">
        <v>54</v>
      </c>
      <c r="D772" s="224" t="s">
        <v>3430</v>
      </c>
      <c r="E772" s="4" t="s">
        <v>2565</v>
      </c>
      <c r="F772" s="102" t="s">
        <v>1472</v>
      </c>
      <c r="G772" s="1" t="s">
        <v>1472</v>
      </c>
      <c r="H772" s="8">
        <v>4</v>
      </c>
      <c r="I772" s="8">
        <v>4</v>
      </c>
      <c r="J772" s="115">
        <f>Table224[[#This Row],[Qty]]-Table224[[#This Row],[Issue Qty]]</f>
        <v>0</v>
      </c>
      <c r="K772" s="195"/>
      <c r="L772" s="195" t="s">
        <v>3479</v>
      </c>
      <c r="M772" s="5">
        <v>20511</v>
      </c>
      <c r="N772" s="5">
        <f t="shared" si="40"/>
        <v>82044</v>
      </c>
      <c r="O772" s="82">
        <v>0.05</v>
      </c>
      <c r="P772" s="9">
        <f t="shared" si="41"/>
        <v>4102.2</v>
      </c>
      <c r="Q772" s="5">
        <v>767</v>
      </c>
      <c r="R772" s="5">
        <v>0</v>
      </c>
      <c r="S772" s="5">
        <f t="shared" si="42"/>
        <v>86913.2</v>
      </c>
      <c r="T772" s="1" t="s">
        <v>2887</v>
      </c>
      <c r="U772" s="1" t="s">
        <v>633</v>
      </c>
      <c r="V772" s="1" t="s">
        <v>1060</v>
      </c>
      <c r="W772" s="6" t="s">
        <v>2564</v>
      </c>
      <c r="X772" s="6"/>
      <c r="Y772" s="6"/>
      <c r="Z772" s="21"/>
      <c r="AA772" s="60"/>
      <c r="AB772" s="8">
        <v>4</v>
      </c>
      <c r="AC772" s="57" t="s">
        <v>3476</v>
      </c>
      <c r="AD772" s="6"/>
      <c r="AE772" s="29"/>
      <c r="AF772" s="1"/>
      <c r="AG772" s="2"/>
    </row>
    <row r="773" spans="1:33" s="24" customFormat="1" x14ac:dyDescent="0.25">
      <c r="A773" s="4"/>
      <c r="B773" s="4">
        <v>45936</v>
      </c>
      <c r="C773" s="1" t="s">
        <v>54</v>
      </c>
      <c r="D773" s="224" t="s">
        <v>3497</v>
      </c>
      <c r="E773" s="4" t="s">
        <v>2570</v>
      </c>
      <c r="F773" s="233" t="s">
        <v>1478</v>
      </c>
      <c r="G773" s="1" t="s">
        <v>1478</v>
      </c>
      <c r="H773" s="8">
        <v>2</v>
      </c>
      <c r="I773" s="8">
        <v>2</v>
      </c>
      <c r="J773" s="115">
        <f>Table224[[#This Row],[Qty]]-Table224[[#This Row],[Issue Qty]]</f>
        <v>0</v>
      </c>
      <c r="K773" s="195"/>
      <c r="L773" s="195" t="s">
        <v>3480</v>
      </c>
      <c r="M773" s="5">
        <v>628</v>
      </c>
      <c r="N773" s="5">
        <f t="shared" si="40"/>
        <v>1256</v>
      </c>
      <c r="O773" s="82">
        <v>0.18</v>
      </c>
      <c r="P773" s="9">
        <f t="shared" si="41"/>
        <v>226.07999999999998</v>
      </c>
      <c r="Q773" s="5">
        <v>0</v>
      </c>
      <c r="R773" s="5">
        <v>0</v>
      </c>
      <c r="S773" s="5">
        <f t="shared" si="42"/>
        <v>1482.08</v>
      </c>
      <c r="T773" s="1" t="s">
        <v>2887</v>
      </c>
      <c r="U773" s="1" t="s">
        <v>633</v>
      </c>
      <c r="V773" s="1" t="s">
        <v>601</v>
      </c>
      <c r="W773" s="1">
        <v>50556</v>
      </c>
      <c r="X773" s="1"/>
      <c r="Y773" s="1"/>
      <c r="Z773" s="21" t="s">
        <v>3732</v>
      </c>
      <c r="AA773" s="8"/>
      <c r="AB773" s="8"/>
      <c r="AC773" s="22"/>
      <c r="AD773" s="1"/>
      <c r="AE773" s="29"/>
      <c r="AF773" s="1"/>
      <c r="AG773" s="26"/>
    </row>
    <row r="774" spans="1:33" s="206" customFormat="1" x14ac:dyDescent="0.25">
      <c r="A774" s="4"/>
      <c r="B774" s="4">
        <v>45936</v>
      </c>
      <c r="C774" s="1" t="s">
        <v>54</v>
      </c>
      <c r="D774" s="224" t="s">
        <v>3497</v>
      </c>
      <c r="E774" s="4" t="s">
        <v>2573</v>
      </c>
      <c r="F774" s="233" t="s">
        <v>1482</v>
      </c>
      <c r="G774" s="1" t="s">
        <v>1482</v>
      </c>
      <c r="H774" s="8">
        <v>1</v>
      </c>
      <c r="I774" s="8">
        <v>1</v>
      </c>
      <c r="J774" s="115">
        <f>Table224[[#This Row],[Qty]]-Table224[[#This Row],[Issue Qty]]</f>
        <v>0</v>
      </c>
      <c r="K774" s="195"/>
      <c r="L774" s="195" t="s">
        <v>3480</v>
      </c>
      <c r="M774" s="5">
        <v>150</v>
      </c>
      <c r="N774" s="5">
        <f t="shared" si="40"/>
        <v>150</v>
      </c>
      <c r="O774" s="82">
        <v>0</v>
      </c>
      <c r="P774" s="9">
        <f t="shared" si="41"/>
        <v>0</v>
      </c>
      <c r="Q774" s="5">
        <v>0</v>
      </c>
      <c r="R774" s="5">
        <v>0</v>
      </c>
      <c r="S774" s="5">
        <f t="shared" si="42"/>
        <v>150</v>
      </c>
      <c r="T774" s="1" t="s">
        <v>2887</v>
      </c>
      <c r="U774" s="1" t="s">
        <v>633</v>
      </c>
      <c r="V774" s="1" t="s">
        <v>1481</v>
      </c>
      <c r="W774" s="1" t="s">
        <v>37</v>
      </c>
      <c r="X774" s="1"/>
      <c r="Y774" s="1"/>
      <c r="Z774" s="21" t="s">
        <v>3732</v>
      </c>
      <c r="AA774" s="8"/>
      <c r="AB774" s="8"/>
      <c r="AC774" s="22"/>
      <c r="AD774" s="1"/>
      <c r="AE774" s="29"/>
      <c r="AF774" s="1"/>
      <c r="AG774" s="26"/>
    </row>
    <row r="775" spans="1:33" s="206" customFormat="1" x14ac:dyDescent="0.25">
      <c r="A775" s="4"/>
      <c r="B775" s="4">
        <v>45936</v>
      </c>
      <c r="C775" s="1" t="s">
        <v>54</v>
      </c>
      <c r="D775" s="224" t="s">
        <v>3497</v>
      </c>
      <c r="E775" s="4" t="s">
        <v>2571</v>
      </c>
      <c r="F775" s="102" t="s">
        <v>1479</v>
      </c>
      <c r="G775" s="1" t="s">
        <v>1479</v>
      </c>
      <c r="H775" s="8">
        <v>8</v>
      </c>
      <c r="I775" s="8">
        <v>8</v>
      </c>
      <c r="J775" s="115">
        <f>Table224[[#This Row],[Qty]]-Table224[[#This Row],[Issue Qty]]</f>
        <v>0</v>
      </c>
      <c r="K775" s="195"/>
      <c r="L775" s="195" t="s">
        <v>3480</v>
      </c>
      <c r="M775" s="5">
        <v>119</v>
      </c>
      <c r="N775" s="5">
        <f t="shared" si="40"/>
        <v>952</v>
      </c>
      <c r="O775" s="82">
        <v>0.18</v>
      </c>
      <c r="P775" s="9">
        <f t="shared" si="41"/>
        <v>171.35999999999999</v>
      </c>
      <c r="Q775" s="5">
        <v>0</v>
      </c>
      <c r="R775" s="5">
        <v>-0.16</v>
      </c>
      <c r="S775" s="5">
        <f t="shared" si="42"/>
        <v>1123.1999999999998</v>
      </c>
      <c r="T775" s="1" t="s">
        <v>2887</v>
      </c>
      <c r="U775" s="1" t="s">
        <v>633</v>
      </c>
      <c r="V775" s="1" t="s">
        <v>601</v>
      </c>
      <c r="W775" s="1">
        <v>50556</v>
      </c>
      <c r="X775" s="1"/>
      <c r="Y775" s="1"/>
      <c r="Z775" s="21" t="s">
        <v>3349</v>
      </c>
      <c r="AA775" s="8"/>
      <c r="AB775" s="8">
        <v>8</v>
      </c>
      <c r="AC775" s="22" t="s">
        <v>3710</v>
      </c>
      <c r="AD775" s="1"/>
      <c r="AE775" s="29"/>
      <c r="AF775" s="1"/>
      <c r="AG775" s="26"/>
    </row>
    <row r="776" spans="1:33" s="206" customFormat="1" x14ac:dyDescent="0.25">
      <c r="A776" s="4"/>
      <c r="B776" s="4">
        <v>45936</v>
      </c>
      <c r="C776" s="1" t="s">
        <v>54</v>
      </c>
      <c r="D776" s="224" t="s">
        <v>3497</v>
      </c>
      <c r="E776" s="4" t="s">
        <v>2569</v>
      </c>
      <c r="F776" s="233" t="s">
        <v>1477</v>
      </c>
      <c r="G776" s="1" t="s">
        <v>1477</v>
      </c>
      <c r="H776" s="8">
        <v>2</v>
      </c>
      <c r="I776" s="8">
        <v>2</v>
      </c>
      <c r="J776" s="115">
        <f>Table224[[#This Row],[Qty]]-Table224[[#This Row],[Issue Qty]]</f>
        <v>0</v>
      </c>
      <c r="K776" s="195"/>
      <c r="L776" s="195" t="s">
        <v>3480</v>
      </c>
      <c r="M776" s="5">
        <v>452</v>
      </c>
      <c r="N776" s="5">
        <f t="shared" si="40"/>
        <v>904</v>
      </c>
      <c r="O776" s="82">
        <v>0.18</v>
      </c>
      <c r="P776" s="9">
        <f t="shared" si="41"/>
        <v>162.72</v>
      </c>
      <c r="Q776" s="5">
        <v>0</v>
      </c>
      <c r="R776" s="5">
        <v>0</v>
      </c>
      <c r="S776" s="5">
        <f t="shared" si="42"/>
        <v>1066.72</v>
      </c>
      <c r="T776" s="1" t="s">
        <v>2887</v>
      </c>
      <c r="U776" s="1" t="s">
        <v>633</v>
      </c>
      <c r="V776" s="1" t="s">
        <v>601</v>
      </c>
      <c r="W776" s="1">
        <v>50556</v>
      </c>
      <c r="X776" s="1"/>
      <c r="Y776" s="1"/>
      <c r="Z776" s="21" t="s">
        <v>3732</v>
      </c>
      <c r="AA776" s="8"/>
      <c r="AB776" s="8">
        <v>2</v>
      </c>
      <c r="AC776" s="22" t="s">
        <v>3711</v>
      </c>
      <c r="AD776" s="1"/>
      <c r="AE776" s="29"/>
      <c r="AF776" s="1"/>
      <c r="AG776" s="26"/>
    </row>
    <row r="777" spans="1:33" s="206" customFormat="1" x14ac:dyDescent="0.25">
      <c r="A777" s="110"/>
      <c r="B777" s="111">
        <v>45936</v>
      </c>
      <c r="C777" s="89" t="s">
        <v>54</v>
      </c>
      <c r="D777" s="224" t="s">
        <v>3497</v>
      </c>
      <c r="E777" s="111" t="s">
        <v>2572</v>
      </c>
      <c r="F777" s="285" t="s">
        <v>1480</v>
      </c>
      <c r="G777" s="89" t="s">
        <v>1480</v>
      </c>
      <c r="H777" s="92">
        <v>1</v>
      </c>
      <c r="I777" s="92">
        <v>1</v>
      </c>
      <c r="J777" s="115">
        <f>Table224[[#This Row],[Qty]]-Table224[[#This Row],[Issue Qty]]</f>
        <v>0</v>
      </c>
      <c r="K777" s="195"/>
      <c r="L777" s="195" t="s">
        <v>3480</v>
      </c>
      <c r="M777" s="93">
        <v>150</v>
      </c>
      <c r="N777" s="93">
        <f t="shared" si="40"/>
        <v>150</v>
      </c>
      <c r="O777" s="82">
        <v>0</v>
      </c>
      <c r="P777" s="9">
        <f t="shared" si="41"/>
        <v>0</v>
      </c>
      <c r="Q777" s="5">
        <v>0</v>
      </c>
      <c r="R777" s="5">
        <v>0</v>
      </c>
      <c r="S777" s="5">
        <f t="shared" si="42"/>
        <v>150</v>
      </c>
      <c r="T777" s="1" t="s">
        <v>2887</v>
      </c>
      <c r="U777" s="1" t="s">
        <v>633</v>
      </c>
      <c r="V777" s="29" t="s">
        <v>1481</v>
      </c>
      <c r="W777" s="89" t="s">
        <v>37</v>
      </c>
      <c r="X777" s="89"/>
      <c r="Y777" s="89"/>
      <c r="Z777" s="21" t="s">
        <v>3732</v>
      </c>
      <c r="AA777" s="92"/>
      <c r="AB777" s="109"/>
      <c r="AC777" s="22"/>
      <c r="AD777" s="1"/>
      <c r="AE777" s="29"/>
      <c r="AF777" s="1"/>
      <c r="AG777" s="26"/>
    </row>
    <row r="778" spans="1:33" s="206" customFormat="1" x14ac:dyDescent="0.25">
      <c r="A778" s="110"/>
      <c r="B778" s="111">
        <v>45936</v>
      </c>
      <c r="C778" s="99" t="s">
        <v>1730</v>
      </c>
      <c r="D778" s="99" t="s">
        <v>1730</v>
      </c>
      <c r="E778" s="111" t="s">
        <v>2574</v>
      </c>
      <c r="F778" s="103" t="s">
        <v>1483</v>
      </c>
      <c r="G778" s="89" t="s">
        <v>1483</v>
      </c>
      <c r="H778" s="92">
        <v>1</v>
      </c>
      <c r="I778" s="92"/>
      <c r="J778" s="115">
        <f>Table224[[#This Row],[Qty]]-Table224[[#This Row],[Issue Qty]]</f>
        <v>1</v>
      </c>
      <c r="K778" s="195"/>
      <c r="L778" s="195" t="s">
        <v>3480</v>
      </c>
      <c r="M778" s="93">
        <v>113.56</v>
      </c>
      <c r="N778" s="93">
        <f t="shared" si="40"/>
        <v>113.56</v>
      </c>
      <c r="O778" s="82">
        <v>0.18</v>
      </c>
      <c r="P778" s="9">
        <f t="shared" si="41"/>
        <v>20.440799999999999</v>
      </c>
      <c r="Q778" s="5">
        <v>99</v>
      </c>
      <c r="R778" s="5">
        <v>0</v>
      </c>
      <c r="S778" s="5">
        <f t="shared" si="42"/>
        <v>233.0008</v>
      </c>
      <c r="T778" s="1" t="s">
        <v>2887</v>
      </c>
      <c r="U778" s="1" t="s">
        <v>633</v>
      </c>
      <c r="V778" s="29" t="s">
        <v>634</v>
      </c>
      <c r="W778" s="89" t="s">
        <v>2575</v>
      </c>
      <c r="X778" s="89"/>
      <c r="Y778" s="89"/>
      <c r="Z778" s="21" t="s">
        <v>650</v>
      </c>
      <c r="AA778" s="92"/>
      <c r="AB778" s="109">
        <v>1</v>
      </c>
      <c r="AC778" s="22" t="s">
        <v>1469</v>
      </c>
      <c r="AD778" s="1"/>
      <c r="AE778" s="29"/>
      <c r="AF778" s="1"/>
      <c r="AG778" s="26"/>
    </row>
    <row r="779" spans="1:33" s="206" customFormat="1" x14ac:dyDescent="0.25">
      <c r="A779" s="110"/>
      <c r="B779" s="111">
        <v>45937</v>
      </c>
      <c r="C779" s="99" t="s">
        <v>1683</v>
      </c>
      <c r="D779" s="224" t="s">
        <v>3493</v>
      </c>
      <c r="E779" s="111" t="s">
        <v>2576</v>
      </c>
      <c r="F779" s="260" t="s">
        <v>1484</v>
      </c>
      <c r="G779" s="89" t="s">
        <v>1484</v>
      </c>
      <c r="H779" s="92">
        <v>2</v>
      </c>
      <c r="I779" s="92">
        <v>2</v>
      </c>
      <c r="J779" s="115">
        <f>Table224[[#This Row],[Qty]]-Table224[[#This Row],[Issue Qty]]</f>
        <v>0</v>
      </c>
      <c r="K779" s="195"/>
      <c r="L779" s="195" t="s">
        <v>3480</v>
      </c>
      <c r="M779" s="93">
        <v>38.14</v>
      </c>
      <c r="N779" s="93">
        <f t="shared" si="40"/>
        <v>76.28</v>
      </c>
      <c r="O779" s="82">
        <v>0.18</v>
      </c>
      <c r="P779" s="9">
        <f t="shared" si="41"/>
        <v>13.730399999999999</v>
      </c>
      <c r="Q779" s="5">
        <v>58.88</v>
      </c>
      <c r="R779" s="5">
        <v>0</v>
      </c>
      <c r="S779" s="5">
        <f t="shared" si="42"/>
        <v>148.8904</v>
      </c>
      <c r="T779" s="1" t="s">
        <v>980</v>
      </c>
      <c r="U779" s="1" t="s">
        <v>980</v>
      </c>
      <c r="V779" s="29" t="s">
        <v>788</v>
      </c>
      <c r="W779" s="89" t="s">
        <v>2577</v>
      </c>
      <c r="X779" s="89"/>
      <c r="Y779" s="89"/>
      <c r="Z779" s="21"/>
      <c r="AA779" s="92"/>
      <c r="AB779" s="109">
        <v>2</v>
      </c>
      <c r="AC779" s="22" t="s">
        <v>1125</v>
      </c>
      <c r="AD779" s="1"/>
      <c r="AE779" s="29"/>
      <c r="AF779" s="1"/>
      <c r="AG779" s="2"/>
    </row>
    <row r="780" spans="1:33" s="206" customFormat="1" ht="30" x14ac:dyDescent="0.25">
      <c r="A780" s="74"/>
      <c r="B780" s="111">
        <v>45938</v>
      </c>
      <c r="C780" s="99" t="s">
        <v>1695</v>
      </c>
      <c r="D780" s="224" t="s">
        <v>3457</v>
      </c>
      <c r="E780" s="111" t="s">
        <v>2578</v>
      </c>
      <c r="F780" s="103" t="s">
        <v>1485</v>
      </c>
      <c r="G780" s="89" t="s">
        <v>1485</v>
      </c>
      <c r="H780" s="92">
        <v>1</v>
      </c>
      <c r="I780" s="92">
        <v>1</v>
      </c>
      <c r="J780" s="115">
        <f>Table224[[#This Row],[Qty]]-Table224[[#This Row],[Issue Qty]]</f>
        <v>0</v>
      </c>
      <c r="K780" s="195"/>
      <c r="L780" s="195" t="s">
        <v>3480</v>
      </c>
      <c r="M780" s="93">
        <v>371400</v>
      </c>
      <c r="N780" s="93">
        <f t="shared" si="40"/>
        <v>371400</v>
      </c>
      <c r="O780" s="82">
        <v>0.05</v>
      </c>
      <c r="P780" s="61">
        <f t="shared" si="41"/>
        <v>18570</v>
      </c>
      <c r="Q780" s="76">
        <v>0</v>
      </c>
      <c r="R780" s="76">
        <v>0</v>
      </c>
      <c r="S780" s="76">
        <f t="shared" si="42"/>
        <v>389970</v>
      </c>
      <c r="T780" s="1" t="s">
        <v>2887</v>
      </c>
      <c r="U780" s="25" t="s">
        <v>633</v>
      </c>
      <c r="V780" s="25" t="s">
        <v>1420</v>
      </c>
      <c r="W780" s="89" t="s">
        <v>2579</v>
      </c>
      <c r="X780" s="89"/>
      <c r="Y780" s="89"/>
      <c r="Z780" s="21" t="s">
        <v>1046</v>
      </c>
      <c r="AA780" s="92"/>
      <c r="AB780" s="75">
        <v>1</v>
      </c>
      <c r="AC780" s="77" t="s">
        <v>3607</v>
      </c>
      <c r="AD780" s="25"/>
      <c r="AE780" s="25"/>
      <c r="AF780" s="1"/>
      <c r="AG780" s="26"/>
    </row>
    <row r="781" spans="1:33" s="206" customFormat="1" ht="45" x14ac:dyDescent="0.25">
      <c r="A781" s="110"/>
      <c r="B781" s="111">
        <v>45939</v>
      </c>
      <c r="C781" s="6" t="s">
        <v>1683</v>
      </c>
      <c r="D781" s="224" t="s">
        <v>3493</v>
      </c>
      <c r="E781" s="111" t="s">
        <v>2595</v>
      </c>
      <c r="F781" s="260" t="s">
        <v>1499</v>
      </c>
      <c r="G781" s="89" t="s">
        <v>1499</v>
      </c>
      <c r="H781" s="92">
        <v>10</v>
      </c>
      <c r="I781" s="92">
        <v>8</v>
      </c>
      <c r="J781" s="115">
        <f>Table224[[#This Row],[Qty]]-Table224[[#This Row],[Issue Qty]]</f>
        <v>2</v>
      </c>
      <c r="K781" s="195"/>
      <c r="L781" s="195" t="s">
        <v>3480</v>
      </c>
      <c r="M781" s="93">
        <v>2723.38</v>
      </c>
      <c r="N781" s="93">
        <f t="shared" si="40"/>
        <v>27233.800000000003</v>
      </c>
      <c r="O781" s="82">
        <v>0.18</v>
      </c>
      <c r="P781" s="9">
        <f t="shared" si="41"/>
        <v>4902.0840000000007</v>
      </c>
      <c r="Q781" s="5">
        <v>0</v>
      </c>
      <c r="R781" s="5">
        <v>0</v>
      </c>
      <c r="S781" s="5">
        <f t="shared" si="42"/>
        <v>32135.884000000005</v>
      </c>
      <c r="T781" s="1" t="s">
        <v>2887</v>
      </c>
      <c r="U781" s="1" t="s">
        <v>633</v>
      </c>
      <c r="V781" s="29" t="s">
        <v>312</v>
      </c>
      <c r="W781" s="89" t="s">
        <v>2580</v>
      </c>
      <c r="X781" s="89"/>
      <c r="Y781" s="89"/>
      <c r="Z781" s="21" t="s">
        <v>89</v>
      </c>
      <c r="AA781" s="92"/>
      <c r="AB781" s="109">
        <v>8</v>
      </c>
      <c r="AC781" s="22" t="s">
        <v>3683</v>
      </c>
      <c r="AD781" s="1"/>
      <c r="AE781" s="29"/>
      <c r="AF781" s="1"/>
      <c r="AG781" s="2"/>
    </row>
    <row r="782" spans="1:33" s="24" customFormat="1" x14ac:dyDescent="0.25">
      <c r="A782" s="110"/>
      <c r="B782" s="111">
        <v>45939</v>
      </c>
      <c r="C782" s="99" t="s">
        <v>1730</v>
      </c>
      <c r="D782" s="224" t="s">
        <v>3590</v>
      </c>
      <c r="E782" s="111" t="s">
        <v>2581</v>
      </c>
      <c r="F782" s="260" t="s">
        <v>1486</v>
      </c>
      <c r="G782" s="89" t="s">
        <v>1486</v>
      </c>
      <c r="H782" s="92">
        <v>1</v>
      </c>
      <c r="I782" s="92">
        <v>1</v>
      </c>
      <c r="J782" s="115">
        <f>Table224[[#This Row],[Qty]]-Table224[[#This Row],[Issue Qty]]</f>
        <v>0</v>
      </c>
      <c r="K782" s="195"/>
      <c r="L782" s="195" t="s">
        <v>3480</v>
      </c>
      <c r="M782" s="93">
        <v>4213.6000000000004</v>
      </c>
      <c r="N782" s="93">
        <f t="shared" si="40"/>
        <v>4213.6000000000004</v>
      </c>
      <c r="O782" s="82">
        <v>0.18</v>
      </c>
      <c r="P782" s="9">
        <f t="shared" si="41"/>
        <v>758.44800000000009</v>
      </c>
      <c r="Q782" s="5">
        <v>0</v>
      </c>
      <c r="R782" s="5">
        <v>0</v>
      </c>
      <c r="S782" s="5">
        <f t="shared" si="42"/>
        <v>4972.0480000000007</v>
      </c>
      <c r="T782" s="1" t="s">
        <v>2887</v>
      </c>
      <c r="U782" s="3" t="s">
        <v>3577</v>
      </c>
      <c r="V782" s="1" t="s">
        <v>1210</v>
      </c>
      <c r="W782" s="1" t="s">
        <v>2582</v>
      </c>
      <c r="X782" s="1"/>
      <c r="Y782" s="1"/>
      <c r="Z782" s="21" t="s">
        <v>3179</v>
      </c>
      <c r="AA782" s="8"/>
      <c r="AB782" s="8">
        <v>1</v>
      </c>
      <c r="AC782" s="22" t="s">
        <v>1469</v>
      </c>
      <c r="AD782" s="1"/>
      <c r="AE782" s="29"/>
      <c r="AF782" s="1"/>
      <c r="AG782" s="26"/>
    </row>
    <row r="783" spans="1:33" s="206" customFormat="1" x14ac:dyDescent="0.25">
      <c r="A783" s="110"/>
      <c r="B783" s="111">
        <v>45939</v>
      </c>
      <c r="C783" s="99" t="s">
        <v>1730</v>
      </c>
      <c r="D783" s="224" t="s">
        <v>3590</v>
      </c>
      <c r="E783" s="111" t="s">
        <v>2584</v>
      </c>
      <c r="F783" s="164" t="s">
        <v>1488</v>
      </c>
      <c r="G783" s="89" t="s">
        <v>1488</v>
      </c>
      <c r="H783" s="92">
        <v>2</v>
      </c>
      <c r="I783" s="92">
        <v>1</v>
      </c>
      <c r="J783" s="115">
        <f>Table224[[#This Row],[Qty]]-Table224[[#This Row],[Issue Qty]]</f>
        <v>1</v>
      </c>
      <c r="K783" s="195"/>
      <c r="L783" s="195" t="s">
        <v>3480</v>
      </c>
      <c r="M783" s="93">
        <v>4600</v>
      </c>
      <c r="N783" s="93">
        <f t="shared" si="40"/>
        <v>9200</v>
      </c>
      <c r="O783" s="82">
        <v>0.18</v>
      </c>
      <c r="P783" s="9">
        <f t="shared" si="41"/>
        <v>1656</v>
      </c>
      <c r="Q783" s="5">
        <v>0</v>
      </c>
      <c r="R783" s="5">
        <v>0</v>
      </c>
      <c r="S783" s="5">
        <f t="shared" si="42"/>
        <v>10856</v>
      </c>
      <c r="T783" s="1" t="s">
        <v>2887</v>
      </c>
      <c r="U783" s="1" t="s">
        <v>633</v>
      </c>
      <c r="V783" s="1" t="s">
        <v>1210</v>
      </c>
      <c r="W783" s="1" t="s">
        <v>2582</v>
      </c>
      <c r="X783" s="1"/>
      <c r="Y783" s="1"/>
      <c r="Z783" s="21" t="s">
        <v>3179</v>
      </c>
      <c r="AA783" s="8"/>
      <c r="AB783" s="8">
        <v>1</v>
      </c>
      <c r="AC783" s="22" t="s">
        <v>1469</v>
      </c>
      <c r="AD783" s="1"/>
      <c r="AE783" s="29"/>
      <c r="AF783" s="1"/>
      <c r="AG783" s="26"/>
    </row>
    <row r="784" spans="1:33" s="206" customFormat="1" x14ac:dyDescent="0.25">
      <c r="A784" s="110"/>
      <c r="B784" s="111">
        <v>45939</v>
      </c>
      <c r="C784" s="99" t="s">
        <v>1730</v>
      </c>
      <c r="D784" s="224" t="s">
        <v>3590</v>
      </c>
      <c r="E784" s="111" t="s">
        <v>2585</v>
      </c>
      <c r="F784" s="327" t="s">
        <v>1489</v>
      </c>
      <c r="G784" s="89" t="s">
        <v>1489</v>
      </c>
      <c r="H784" s="92">
        <v>2</v>
      </c>
      <c r="I784" s="92">
        <v>1</v>
      </c>
      <c r="J784" s="115">
        <f>Table224[[#This Row],[Qty]]-Table224[[#This Row],[Issue Qty]]</f>
        <v>1</v>
      </c>
      <c r="K784" s="195"/>
      <c r="L784" s="195" t="s">
        <v>3480</v>
      </c>
      <c r="M784" s="93">
        <v>1200</v>
      </c>
      <c r="N784" s="93">
        <f t="shared" si="40"/>
        <v>2400</v>
      </c>
      <c r="O784" s="82">
        <v>0.18</v>
      </c>
      <c r="P784" s="9">
        <f t="shared" si="41"/>
        <v>432</v>
      </c>
      <c r="Q784" s="5">
        <v>0</v>
      </c>
      <c r="R784" s="5">
        <v>0</v>
      </c>
      <c r="S784" s="5">
        <f t="shared" si="42"/>
        <v>2832</v>
      </c>
      <c r="T784" s="1" t="s">
        <v>2887</v>
      </c>
      <c r="U784" s="1" t="s">
        <v>633</v>
      </c>
      <c r="V784" s="1" t="s">
        <v>1210</v>
      </c>
      <c r="W784" s="1" t="s">
        <v>2582</v>
      </c>
      <c r="X784" s="1"/>
      <c r="Y784" s="1"/>
      <c r="Z784" s="21" t="s">
        <v>3179</v>
      </c>
      <c r="AA784" s="8"/>
      <c r="AB784" s="8">
        <v>1</v>
      </c>
      <c r="AC784" s="22" t="s">
        <v>1469</v>
      </c>
      <c r="AD784" s="1"/>
      <c r="AE784" s="29"/>
      <c r="AF784" s="1"/>
      <c r="AG784" s="26"/>
    </row>
    <row r="785" spans="1:33" s="206" customFormat="1" x14ac:dyDescent="0.25">
      <c r="A785" s="110"/>
      <c r="B785" s="111">
        <v>45939</v>
      </c>
      <c r="C785" s="99" t="s">
        <v>1730</v>
      </c>
      <c r="D785" s="224" t="s">
        <v>3590</v>
      </c>
      <c r="E785" s="111" t="s">
        <v>2586</v>
      </c>
      <c r="F785" s="164" t="s">
        <v>1490</v>
      </c>
      <c r="G785" s="89" t="s">
        <v>1490</v>
      </c>
      <c r="H785" s="92">
        <v>2</v>
      </c>
      <c r="I785" s="92">
        <v>1</v>
      </c>
      <c r="J785" s="115">
        <f>Table224[[#This Row],[Qty]]-Table224[[#This Row],[Issue Qty]]</f>
        <v>1</v>
      </c>
      <c r="K785" s="195"/>
      <c r="L785" s="195" t="s">
        <v>3480</v>
      </c>
      <c r="M785" s="93">
        <v>2100</v>
      </c>
      <c r="N785" s="93">
        <f t="shared" si="40"/>
        <v>4200</v>
      </c>
      <c r="O785" s="82">
        <v>0.18</v>
      </c>
      <c r="P785" s="9">
        <f t="shared" si="41"/>
        <v>756</v>
      </c>
      <c r="Q785" s="5">
        <v>0</v>
      </c>
      <c r="R785" s="5">
        <v>0</v>
      </c>
      <c r="S785" s="5">
        <f t="shared" si="42"/>
        <v>4956</v>
      </c>
      <c r="T785" s="1" t="s">
        <v>2887</v>
      </c>
      <c r="U785" s="1" t="s">
        <v>633</v>
      </c>
      <c r="V785" s="1" t="s">
        <v>1210</v>
      </c>
      <c r="W785" s="1" t="s">
        <v>2582</v>
      </c>
      <c r="X785" s="1"/>
      <c r="Y785" s="1"/>
      <c r="Z785" s="21" t="s">
        <v>3179</v>
      </c>
      <c r="AA785" s="8"/>
      <c r="AB785" s="8">
        <v>1</v>
      </c>
      <c r="AC785" s="22" t="s">
        <v>1469</v>
      </c>
      <c r="AD785" s="1"/>
      <c r="AE785" s="29"/>
      <c r="AF785" s="1"/>
      <c r="AG785" s="26"/>
    </row>
    <row r="786" spans="1:33" s="206" customFormat="1" x14ac:dyDescent="0.25">
      <c r="A786" s="110"/>
      <c r="B786" s="111">
        <v>45939</v>
      </c>
      <c r="C786" s="6" t="s">
        <v>1730</v>
      </c>
      <c r="D786" s="224" t="s">
        <v>3590</v>
      </c>
      <c r="E786" s="111" t="s">
        <v>2583</v>
      </c>
      <c r="F786" s="164" t="s">
        <v>1487</v>
      </c>
      <c r="G786" s="89" t="s">
        <v>1487</v>
      </c>
      <c r="H786" s="92">
        <v>1</v>
      </c>
      <c r="I786" s="92">
        <v>1</v>
      </c>
      <c r="J786" s="115">
        <f>Table224[[#This Row],[Qty]]-Table224[[#This Row],[Issue Qty]]</f>
        <v>0</v>
      </c>
      <c r="K786" s="195"/>
      <c r="L786" s="195" t="s">
        <v>3480</v>
      </c>
      <c r="M786" s="93">
        <v>1350</v>
      </c>
      <c r="N786" s="93">
        <f t="shared" si="40"/>
        <v>1350</v>
      </c>
      <c r="O786" s="82">
        <v>0.18</v>
      </c>
      <c r="P786" s="9">
        <f t="shared" si="41"/>
        <v>243</v>
      </c>
      <c r="Q786" s="5">
        <v>0</v>
      </c>
      <c r="R786" s="5">
        <v>0</v>
      </c>
      <c r="S786" s="5">
        <f t="shared" si="42"/>
        <v>1593</v>
      </c>
      <c r="T786" s="1" t="s">
        <v>2887</v>
      </c>
      <c r="U786" s="3" t="s">
        <v>3577</v>
      </c>
      <c r="V786" s="1" t="s">
        <v>1210</v>
      </c>
      <c r="W786" s="1" t="s">
        <v>2582</v>
      </c>
      <c r="X786" s="1"/>
      <c r="Y786" s="1"/>
      <c r="Z786" s="21" t="s">
        <v>3179</v>
      </c>
      <c r="AA786" s="8"/>
      <c r="AB786" s="8">
        <v>1</v>
      </c>
      <c r="AC786" s="22" t="s">
        <v>1469</v>
      </c>
      <c r="AD786" s="1"/>
      <c r="AE786" s="29"/>
      <c r="AF786" s="1"/>
      <c r="AG786" s="26"/>
    </row>
    <row r="787" spans="1:33" s="206" customFormat="1" ht="30" x14ac:dyDescent="0.25">
      <c r="A787" s="4"/>
      <c r="B787" s="4">
        <v>45939</v>
      </c>
      <c r="C787" s="1" t="s">
        <v>1991</v>
      </c>
      <c r="D787" s="224" t="s">
        <v>3455</v>
      </c>
      <c r="E787" s="4" t="s">
        <v>2587</v>
      </c>
      <c r="F787" s="232" t="s">
        <v>1491</v>
      </c>
      <c r="G787" s="1" t="s">
        <v>1491</v>
      </c>
      <c r="H787" s="8">
        <v>10</v>
      </c>
      <c r="I787" s="8">
        <v>8</v>
      </c>
      <c r="J787" s="115">
        <f>Table224[[#This Row],[Qty]]-Table224[[#This Row],[Issue Qty]]</f>
        <v>2</v>
      </c>
      <c r="K787" s="195"/>
      <c r="L787" s="195" t="s">
        <v>3480</v>
      </c>
      <c r="M787" s="5">
        <v>3559</v>
      </c>
      <c r="N787" s="5">
        <f t="shared" si="40"/>
        <v>35590</v>
      </c>
      <c r="O787" s="82">
        <v>0.18</v>
      </c>
      <c r="P787" s="9">
        <f t="shared" si="41"/>
        <v>6406.2</v>
      </c>
      <c r="Q787" s="5">
        <v>0</v>
      </c>
      <c r="R787" s="5">
        <v>0</v>
      </c>
      <c r="S787" s="5">
        <f t="shared" si="42"/>
        <v>41996.2</v>
      </c>
      <c r="T787" s="1" t="s">
        <v>2887</v>
      </c>
      <c r="U787" s="1" t="s">
        <v>633</v>
      </c>
      <c r="V787" s="1" t="s">
        <v>1298</v>
      </c>
      <c r="W787" s="1">
        <v>1006761</v>
      </c>
      <c r="X787" s="1"/>
      <c r="Y787" s="1"/>
      <c r="Z787" s="21" t="s">
        <v>3349</v>
      </c>
      <c r="AA787" s="8"/>
      <c r="AB787" s="8">
        <v>8</v>
      </c>
      <c r="AC787" s="22" t="s">
        <v>3742</v>
      </c>
      <c r="AD787" s="1"/>
      <c r="AE787" s="29"/>
      <c r="AF787" s="1"/>
      <c r="AG787" s="26"/>
    </row>
    <row r="788" spans="1:33" s="206" customFormat="1" x14ac:dyDescent="0.25">
      <c r="A788" s="4"/>
      <c r="B788" s="4">
        <v>45939</v>
      </c>
      <c r="C788" s="6" t="s">
        <v>1683</v>
      </c>
      <c r="D788" s="224" t="s">
        <v>3493</v>
      </c>
      <c r="E788" s="4" t="s">
        <v>2592</v>
      </c>
      <c r="F788" s="102" t="s">
        <v>1496</v>
      </c>
      <c r="G788" s="1" t="s">
        <v>1496</v>
      </c>
      <c r="H788" s="8">
        <v>20</v>
      </c>
      <c r="I788" s="8">
        <v>20</v>
      </c>
      <c r="J788" s="115">
        <f>Table224[[#This Row],[Qty]]-Table224[[#This Row],[Issue Qty]]</f>
        <v>0</v>
      </c>
      <c r="K788" s="195"/>
      <c r="L788" s="195" t="s">
        <v>3480</v>
      </c>
      <c r="M788" s="5">
        <v>117.18</v>
      </c>
      <c r="N788" s="5">
        <f t="shared" si="40"/>
        <v>2343.6000000000004</v>
      </c>
      <c r="O788" s="82">
        <v>0.18</v>
      </c>
      <c r="P788" s="9">
        <f t="shared" si="41"/>
        <v>421.84800000000007</v>
      </c>
      <c r="Q788" s="5">
        <v>0</v>
      </c>
      <c r="R788" s="5">
        <v>0</v>
      </c>
      <c r="S788" s="5">
        <f t="shared" si="42"/>
        <v>2765.4480000000003</v>
      </c>
      <c r="T788" s="1" t="s">
        <v>2887</v>
      </c>
      <c r="U788" s="1" t="s">
        <v>633</v>
      </c>
      <c r="V788" s="1" t="s">
        <v>312</v>
      </c>
      <c r="W788" s="1" t="s">
        <v>2580</v>
      </c>
      <c r="X788" s="1"/>
      <c r="Y788" s="1"/>
      <c r="Z788" s="21" t="s">
        <v>2777</v>
      </c>
      <c r="AA788" s="8"/>
      <c r="AB788" s="8">
        <v>20</v>
      </c>
      <c r="AC788" s="22" t="s">
        <v>2937</v>
      </c>
      <c r="AD788" s="1"/>
      <c r="AE788" s="29"/>
      <c r="AF788" s="1"/>
      <c r="AG788" s="26"/>
    </row>
    <row r="789" spans="1:33" s="206" customFormat="1" x14ac:dyDescent="0.25">
      <c r="A789" s="4"/>
      <c r="B789" s="4">
        <v>45939</v>
      </c>
      <c r="C789" s="6" t="s">
        <v>1683</v>
      </c>
      <c r="D789" s="224" t="s">
        <v>3487</v>
      </c>
      <c r="E789" s="4" t="s">
        <v>2591</v>
      </c>
      <c r="F789" s="102" t="s">
        <v>1495</v>
      </c>
      <c r="G789" s="1" t="s">
        <v>1495</v>
      </c>
      <c r="H789" s="8">
        <v>18</v>
      </c>
      <c r="I789" s="8">
        <v>18</v>
      </c>
      <c r="J789" s="115">
        <f>Table224[[#This Row],[Qty]]-Table224[[#This Row],[Issue Qty]]</f>
        <v>0</v>
      </c>
      <c r="K789" s="195"/>
      <c r="L789" s="195" t="s">
        <v>3480</v>
      </c>
      <c r="M789" s="5">
        <v>13.51</v>
      </c>
      <c r="N789" s="5">
        <f t="shared" si="40"/>
        <v>243.18</v>
      </c>
      <c r="O789" s="82">
        <v>0.18</v>
      </c>
      <c r="P789" s="9">
        <f t="shared" si="41"/>
        <v>43.772399999999998</v>
      </c>
      <c r="Q789" s="5">
        <v>0</v>
      </c>
      <c r="R789" s="5">
        <v>0</v>
      </c>
      <c r="S789" s="5">
        <f t="shared" si="42"/>
        <v>286.95240000000001</v>
      </c>
      <c r="T789" s="1" t="s">
        <v>2887</v>
      </c>
      <c r="U789" s="1" t="s">
        <v>633</v>
      </c>
      <c r="V789" s="1" t="s">
        <v>312</v>
      </c>
      <c r="W789" s="1" t="s">
        <v>2580</v>
      </c>
      <c r="X789" s="1"/>
      <c r="Y789" s="1"/>
      <c r="Z789" s="21" t="s">
        <v>638</v>
      </c>
      <c r="AA789" s="8" t="s">
        <v>1963</v>
      </c>
      <c r="AB789" s="8">
        <v>20</v>
      </c>
      <c r="AC789" s="22" t="s">
        <v>2931</v>
      </c>
      <c r="AD789" s="1"/>
      <c r="AE789" s="29"/>
      <c r="AF789" s="1"/>
      <c r="AG789" s="26"/>
    </row>
    <row r="790" spans="1:33" s="206" customFormat="1" x14ac:dyDescent="0.25">
      <c r="A790" s="4"/>
      <c r="B790" s="4">
        <v>45939</v>
      </c>
      <c r="C790" s="1" t="s">
        <v>54</v>
      </c>
      <c r="D790" s="224" t="s">
        <v>3596</v>
      </c>
      <c r="E790" s="4" t="s">
        <v>2596</v>
      </c>
      <c r="F790" s="236" t="s">
        <v>1500</v>
      </c>
      <c r="G790" s="1" t="s">
        <v>1500</v>
      </c>
      <c r="H790" s="8">
        <v>2</v>
      </c>
      <c r="I790" s="8">
        <v>2</v>
      </c>
      <c r="J790" s="115">
        <f>Table224[[#This Row],[Qty]]-Table224[[#This Row],[Issue Qty]]</f>
        <v>0</v>
      </c>
      <c r="K790" s="332">
        <v>2</v>
      </c>
      <c r="L790" s="195" t="s">
        <v>3480</v>
      </c>
      <c r="M790" s="5">
        <v>4850</v>
      </c>
      <c r="N790" s="5">
        <f t="shared" si="40"/>
        <v>9700</v>
      </c>
      <c r="O790" s="82">
        <v>0.18</v>
      </c>
      <c r="P790" s="9">
        <f t="shared" si="41"/>
        <v>1746</v>
      </c>
      <c r="Q790" s="5">
        <v>0</v>
      </c>
      <c r="R790" s="5">
        <v>0</v>
      </c>
      <c r="S790" s="5">
        <f t="shared" si="42"/>
        <v>11446</v>
      </c>
      <c r="T790" s="1" t="s">
        <v>2887</v>
      </c>
      <c r="U790" s="1" t="s">
        <v>633</v>
      </c>
      <c r="V790" s="1" t="s">
        <v>764</v>
      </c>
      <c r="W790" s="1" t="s">
        <v>2597</v>
      </c>
      <c r="X790" s="1"/>
      <c r="Y790" s="1"/>
      <c r="Z790" s="21" t="s">
        <v>268</v>
      </c>
      <c r="AA790" s="8"/>
      <c r="AB790" s="8"/>
      <c r="AC790" s="42" t="s">
        <v>3718</v>
      </c>
      <c r="AD790" s="1" t="s">
        <v>3721</v>
      </c>
      <c r="AE790" s="29"/>
      <c r="AF790" s="1"/>
      <c r="AG790" s="26"/>
    </row>
    <row r="791" spans="1:33" s="206" customFormat="1" x14ac:dyDescent="0.25">
      <c r="A791" s="4"/>
      <c r="B791" s="4">
        <v>45939</v>
      </c>
      <c r="C791" s="1" t="s">
        <v>54</v>
      </c>
      <c r="D791" s="224" t="s">
        <v>3596</v>
      </c>
      <c r="E791" s="4" t="s">
        <v>2598</v>
      </c>
      <c r="F791" s="236" t="s">
        <v>1501</v>
      </c>
      <c r="G791" s="1" t="s">
        <v>1501</v>
      </c>
      <c r="H791" s="8">
        <v>2</v>
      </c>
      <c r="I791" s="8">
        <v>2</v>
      </c>
      <c r="J791" s="115">
        <f>Table224[[#This Row],[Qty]]-Table224[[#This Row],[Issue Qty]]</f>
        <v>0</v>
      </c>
      <c r="K791" s="332">
        <v>2</v>
      </c>
      <c r="L791" s="195" t="s">
        <v>3480</v>
      </c>
      <c r="M791" s="5">
        <v>4700</v>
      </c>
      <c r="N791" s="5">
        <f t="shared" si="40"/>
        <v>9400</v>
      </c>
      <c r="O791" s="82">
        <v>0.18</v>
      </c>
      <c r="P791" s="9">
        <f t="shared" si="41"/>
        <v>1692</v>
      </c>
      <c r="Q791" s="5">
        <v>0</v>
      </c>
      <c r="R791" s="5">
        <v>0</v>
      </c>
      <c r="S791" s="5">
        <f t="shared" si="42"/>
        <v>11092</v>
      </c>
      <c r="T791" s="1" t="s">
        <v>2887</v>
      </c>
      <c r="U791" s="1" t="s">
        <v>633</v>
      </c>
      <c r="V791" s="1" t="s">
        <v>764</v>
      </c>
      <c r="W791" s="1" t="s">
        <v>2597</v>
      </c>
      <c r="X791" s="1"/>
      <c r="Y791" s="1"/>
      <c r="Z791" s="21" t="s">
        <v>268</v>
      </c>
      <c r="AA791" s="8"/>
      <c r="AB791" s="8"/>
      <c r="AC791" s="42" t="s">
        <v>3718</v>
      </c>
      <c r="AD791" s="1" t="s">
        <v>3721</v>
      </c>
      <c r="AE791" s="29"/>
      <c r="AF791" s="1"/>
      <c r="AG791" s="2"/>
    </row>
    <row r="792" spans="1:33" s="206" customFormat="1" x14ac:dyDescent="0.25">
      <c r="A792" s="4"/>
      <c r="B792" s="4">
        <v>45939</v>
      </c>
      <c r="C792" s="6" t="s">
        <v>1683</v>
      </c>
      <c r="D792" s="224" t="s">
        <v>3487</v>
      </c>
      <c r="E792" s="4" t="s">
        <v>2594</v>
      </c>
      <c r="F792" s="102" t="s">
        <v>1498</v>
      </c>
      <c r="G792" s="1" t="s">
        <v>1498</v>
      </c>
      <c r="H792" s="8">
        <v>20</v>
      </c>
      <c r="I792" s="8">
        <v>20</v>
      </c>
      <c r="J792" s="115">
        <f>Table224[[#This Row],[Qty]]-Table224[[#This Row],[Issue Qty]]</f>
        <v>0</v>
      </c>
      <c r="K792" s="195"/>
      <c r="L792" s="195" t="s">
        <v>3480</v>
      </c>
      <c r="M792" s="5">
        <v>7.25</v>
      </c>
      <c r="N792" s="5">
        <f t="shared" si="40"/>
        <v>145</v>
      </c>
      <c r="O792" s="82">
        <v>0.18</v>
      </c>
      <c r="P792" s="9">
        <f t="shared" si="41"/>
        <v>26.099999999999998</v>
      </c>
      <c r="Q792" s="5">
        <v>0</v>
      </c>
      <c r="R792" s="5">
        <v>0</v>
      </c>
      <c r="S792" s="5">
        <f t="shared" si="42"/>
        <v>171.1</v>
      </c>
      <c r="T792" s="1" t="s">
        <v>2887</v>
      </c>
      <c r="U792" s="1" t="s">
        <v>633</v>
      </c>
      <c r="V792" s="1" t="s">
        <v>312</v>
      </c>
      <c r="W792" s="1" t="s">
        <v>2580</v>
      </c>
      <c r="X792" s="1"/>
      <c r="Y792" s="1"/>
      <c r="Z792" s="21" t="s">
        <v>638</v>
      </c>
      <c r="AA792" s="8"/>
      <c r="AB792" s="8">
        <v>20</v>
      </c>
      <c r="AC792" s="22" t="s">
        <v>226</v>
      </c>
      <c r="AD792" s="1"/>
      <c r="AE792" s="29"/>
      <c r="AF792" s="1"/>
      <c r="AG792" s="26"/>
    </row>
    <row r="793" spans="1:33" s="206" customFormat="1" x14ac:dyDescent="0.25">
      <c r="A793" s="4"/>
      <c r="B793" s="4">
        <v>45939</v>
      </c>
      <c r="C793" s="6" t="s">
        <v>1683</v>
      </c>
      <c r="D793" s="224" t="s">
        <v>3487</v>
      </c>
      <c r="E793" s="4" t="s">
        <v>2589</v>
      </c>
      <c r="F793" s="102" t="s">
        <v>1493</v>
      </c>
      <c r="G793" s="1" t="s">
        <v>1493</v>
      </c>
      <c r="H793" s="8">
        <v>20</v>
      </c>
      <c r="I793" s="8">
        <v>20</v>
      </c>
      <c r="J793" s="115">
        <f>Table224[[#This Row],[Qty]]-Table224[[#This Row],[Issue Qty]]</f>
        <v>0</v>
      </c>
      <c r="K793" s="195"/>
      <c r="L793" s="195" t="s">
        <v>3480</v>
      </c>
      <c r="M793" s="5">
        <v>7.56</v>
      </c>
      <c r="N793" s="5">
        <f t="shared" si="40"/>
        <v>151.19999999999999</v>
      </c>
      <c r="O793" s="82">
        <v>0.18</v>
      </c>
      <c r="P793" s="9">
        <f t="shared" si="41"/>
        <v>27.215999999999998</v>
      </c>
      <c r="Q793" s="5">
        <v>0</v>
      </c>
      <c r="R793" s="5">
        <v>0</v>
      </c>
      <c r="S793" s="5">
        <f t="shared" si="42"/>
        <v>178.416</v>
      </c>
      <c r="T793" s="1" t="s">
        <v>2887</v>
      </c>
      <c r="U793" s="1" t="s">
        <v>633</v>
      </c>
      <c r="V793" s="1" t="s">
        <v>312</v>
      </c>
      <c r="W793" s="1" t="s">
        <v>2580</v>
      </c>
      <c r="X793" s="1"/>
      <c r="Y793" s="1"/>
      <c r="Z793" s="21"/>
      <c r="AA793" s="8"/>
      <c r="AB793" s="8">
        <v>20</v>
      </c>
      <c r="AC793" s="22" t="s">
        <v>3352</v>
      </c>
      <c r="AD793" s="1"/>
      <c r="AE793" s="29"/>
      <c r="AF793" s="1"/>
      <c r="AG793" s="26"/>
    </row>
    <row r="794" spans="1:33" s="206" customFormat="1" x14ac:dyDescent="0.25">
      <c r="A794" s="4"/>
      <c r="B794" s="4">
        <v>45939</v>
      </c>
      <c r="C794" s="6" t="s">
        <v>1683</v>
      </c>
      <c r="D794" s="224" t="s">
        <v>3487</v>
      </c>
      <c r="E794" s="4" t="s">
        <v>2195</v>
      </c>
      <c r="F794" s="236" t="s">
        <v>988</v>
      </c>
      <c r="G794" s="1" t="s">
        <v>988</v>
      </c>
      <c r="H794" s="8">
        <v>20</v>
      </c>
      <c r="I794" s="8">
        <v>20</v>
      </c>
      <c r="J794" s="115">
        <f>Table224[[#This Row],[Qty]]-Table224[[#This Row],[Issue Qty]]</f>
        <v>0</v>
      </c>
      <c r="K794" s="332">
        <v>4</v>
      </c>
      <c r="L794" s="195" t="s">
        <v>3480</v>
      </c>
      <c r="M794" s="5">
        <v>11.97</v>
      </c>
      <c r="N794" s="5">
        <f t="shared" si="40"/>
        <v>239.4</v>
      </c>
      <c r="O794" s="82">
        <v>0.18</v>
      </c>
      <c r="P794" s="9">
        <f t="shared" si="41"/>
        <v>43.091999999999999</v>
      </c>
      <c r="Q794" s="5">
        <v>0</v>
      </c>
      <c r="R794" s="5">
        <v>0.39</v>
      </c>
      <c r="S794" s="5">
        <f t="shared" si="42"/>
        <v>282.88200000000001</v>
      </c>
      <c r="T794" s="1" t="s">
        <v>2887</v>
      </c>
      <c r="U794" s="1" t="s">
        <v>633</v>
      </c>
      <c r="V794" s="1" t="s">
        <v>312</v>
      </c>
      <c r="W794" s="1" t="s">
        <v>2580</v>
      </c>
      <c r="X794" s="1"/>
      <c r="Y794" s="1"/>
      <c r="Z794" s="21" t="s">
        <v>638</v>
      </c>
      <c r="AA794" s="8"/>
      <c r="AB794" s="8">
        <v>20</v>
      </c>
      <c r="AC794" s="12" t="s">
        <v>3830</v>
      </c>
      <c r="AD794" s="1"/>
      <c r="AE794" s="29"/>
      <c r="AF794" s="1"/>
      <c r="AG794" s="26"/>
    </row>
    <row r="795" spans="1:33" s="206" customFormat="1" x14ac:dyDescent="0.25">
      <c r="A795" s="4"/>
      <c r="B795" s="4">
        <v>45939</v>
      </c>
      <c r="C795" s="6" t="s">
        <v>1683</v>
      </c>
      <c r="D795" s="224" t="s">
        <v>3487</v>
      </c>
      <c r="E795" s="4" t="s">
        <v>2588</v>
      </c>
      <c r="F795" s="102" t="s">
        <v>1492</v>
      </c>
      <c r="G795" s="1" t="s">
        <v>1492</v>
      </c>
      <c r="H795" s="8">
        <v>20</v>
      </c>
      <c r="I795" s="8">
        <v>20</v>
      </c>
      <c r="J795" s="115">
        <f>Table224[[#This Row],[Qty]]-Table224[[#This Row],[Issue Qty]]</f>
        <v>0</v>
      </c>
      <c r="K795" s="195"/>
      <c r="L795" s="195" t="s">
        <v>3480</v>
      </c>
      <c r="M795" s="5">
        <v>12.18</v>
      </c>
      <c r="N795" s="5">
        <f t="shared" si="40"/>
        <v>243.6</v>
      </c>
      <c r="O795" s="82">
        <v>0.18</v>
      </c>
      <c r="P795" s="9">
        <f t="shared" si="41"/>
        <v>43.847999999999999</v>
      </c>
      <c r="Q795" s="5">
        <v>0</v>
      </c>
      <c r="R795" s="5">
        <v>0</v>
      </c>
      <c r="S795" s="5">
        <f t="shared" si="42"/>
        <v>287.44799999999998</v>
      </c>
      <c r="T795" s="1" t="s">
        <v>2887</v>
      </c>
      <c r="U795" s="1" t="s">
        <v>633</v>
      </c>
      <c r="V795" s="1" t="s">
        <v>312</v>
      </c>
      <c r="W795" s="1" t="s">
        <v>2580</v>
      </c>
      <c r="X795" s="1"/>
      <c r="Y795" s="1"/>
      <c r="Z795" s="21" t="s">
        <v>638</v>
      </c>
      <c r="AA795" s="8"/>
      <c r="AB795" s="8">
        <v>6</v>
      </c>
      <c r="AC795" s="22" t="s">
        <v>2931</v>
      </c>
      <c r="AD795" s="1"/>
      <c r="AE795" s="29"/>
      <c r="AF795" s="1"/>
      <c r="AG795" s="26"/>
    </row>
    <row r="796" spans="1:33" s="206" customFormat="1" x14ac:dyDescent="0.25">
      <c r="A796" s="4"/>
      <c r="B796" s="4">
        <v>45939</v>
      </c>
      <c r="C796" s="6" t="s">
        <v>1683</v>
      </c>
      <c r="D796" s="224" t="s">
        <v>3487</v>
      </c>
      <c r="E796" s="4" t="s">
        <v>2590</v>
      </c>
      <c r="F796" s="236" t="s">
        <v>1494</v>
      </c>
      <c r="G796" s="1" t="s">
        <v>1494</v>
      </c>
      <c r="H796" s="8">
        <v>20</v>
      </c>
      <c r="I796" s="8">
        <v>20</v>
      </c>
      <c r="J796" s="115">
        <f>Table224[[#This Row],[Qty]]-Table224[[#This Row],[Issue Qty]]</f>
        <v>0</v>
      </c>
      <c r="K796" s="332">
        <v>5</v>
      </c>
      <c r="L796" s="195" t="s">
        <v>3480</v>
      </c>
      <c r="M796" s="5">
        <v>12.29</v>
      </c>
      <c r="N796" s="5">
        <f t="shared" si="40"/>
        <v>245.79999999999998</v>
      </c>
      <c r="O796" s="82">
        <v>0.18</v>
      </c>
      <c r="P796" s="9">
        <f t="shared" si="41"/>
        <v>44.243999999999993</v>
      </c>
      <c r="Q796" s="5">
        <v>0</v>
      </c>
      <c r="R796" s="5">
        <v>0</v>
      </c>
      <c r="S796" s="5">
        <f t="shared" si="42"/>
        <v>290.04399999999998</v>
      </c>
      <c r="T796" s="1" t="s">
        <v>2887</v>
      </c>
      <c r="U796" s="1" t="s">
        <v>633</v>
      </c>
      <c r="V796" s="1" t="s">
        <v>312</v>
      </c>
      <c r="W796" s="1" t="s">
        <v>2580</v>
      </c>
      <c r="X796" s="1"/>
      <c r="Y796" s="1"/>
      <c r="Z796" s="21" t="s">
        <v>638</v>
      </c>
      <c r="AA796" s="8"/>
      <c r="AB796" s="8">
        <v>20</v>
      </c>
      <c r="AC796" s="12" t="s">
        <v>3830</v>
      </c>
      <c r="AD796" s="1"/>
      <c r="AE796" s="29"/>
      <c r="AF796" s="1"/>
      <c r="AG796" s="26"/>
    </row>
    <row r="797" spans="1:33" s="206" customFormat="1" x14ac:dyDescent="0.25">
      <c r="A797" s="4"/>
      <c r="B797" s="4">
        <v>45939</v>
      </c>
      <c r="C797" s="6" t="s">
        <v>1683</v>
      </c>
      <c r="D797" s="224" t="s">
        <v>3493</v>
      </c>
      <c r="E797" s="4" t="s">
        <v>2198</v>
      </c>
      <c r="F797" s="102" t="s">
        <v>991</v>
      </c>
      <c r="G797" s="1" t="s">
        <v>991</v>
      </c>
      <c r="H797" s="8">
        <v>17</v>
      </c>
      <c r="I797" s="8">
        <v>0</v>
      </c>
      <c r="J797" s="115">
        <f>Table224[[#This Row],[Qty]]-Table224[[#This Row],[Issue Qty]]</f>
        <v>17</v>
      </c>
      <c r="K797" s="195"/>
      <c r="L797" s="195" t="s">
        <v>3480</v>
      </c>
      <c r="M797" s="5">
        <v>38.950000000000003</v>
      </c>
      <c r="N797" s="5">
        <f t="shared" si="40"/>
        <v>662.15000000000009</v>
      </c>
      <c r="O797" s="82">
        <v>0.18</v>
      </c>
      <c r="P797" s="9">
        <f t="shared" si="41"/>
        <v>119.18700000000001</v>
      </c>
      <c r="Q797" s="5">
        <v>0</v>
      </c>
      <c r="R797" s="5">
        <v>0</v>
      </c>
      <c r="S797" s="5">
        <f t="shared" si="42"/>
        <v>781.3370000000001</v>
      </c>
      <c r="T797" s="1" t="s">
        <v>2887</v>
      </c>
      <c r="U797" s="1" t="s">
        <v>633</v>
      </c>
      <c r="V797" s="1" t="s">
        <v>312</v>
      </c>
      <c r="W797" s="1" t="s">
        <v>2580</v>
      </c>
      <c r="X797" s="1"/>
      <c r="Y797" s="1"/>
      <c r="Z797" s="21" t="s">
        <v>638</v>
      </c>
      <c r="AA797" s="8" t="s">
        <v>1963</v>
      </c>
      <c r="AB797" s="8"/>
      <c r="AC797" s="22"/>
      <c r="AD797" s="1"/>
      <c r="AE797" s="29"/>
      <c r="AF797" s="1"/>
      <c r="AG797" s="26"/>
    </row>
    <row r="798" spans="1:33" s="206" customFormat="1" x14ac:dyDescent="0.25">
      <c r="A798" s="4"/>
      <c r="B798" s="4">
        <v>45939</v>
      </c>
      <c r="C798" s="6" t="s">
        <v>1683</v>
      </c>
      <c r="D798" s="224" t="s">
        <v>3493</v>
      </c>
      <c r="E798" s="4" t="s">
        <v>2593</v>
      </c>
      <c r="F798" s="102" t="s">
        <v>1497</v>
      </c>
      <c r="G798" s="1" t="s">
        <v>1497</v>
      </c>
      <c r="H798" s="8">
        <v>20</v>
      </c>
      <c r="I798" s="8">
        <v>20</v>
      </c>
      <c r="J798" s="115">
        <f>Table224[[#This Row],[Qty]]-Table224[[#This Row],[Issue Qty]]</f>
        <v>0</v>
      </c>
      <c r="K798" s="195"/>
      <c r="L798" s="195" t="s">
        <v>3480</v>
      </c>
      <c r="M798" s="5">
        <v>46.09</v>
      </c>
      <c r="N798" s="5">
        <f t="shared" si="40"/>
        <v>921.80000000000007</v>
      </c>
      <c r="O798" s="82">
        <v>0.18</v>
      </c>
      <c r="P798" s="9">
        <f t="shared" si="41"/>
        <v>165.92400000000001</v>
      </c>
      <c r="Q798" s="5">
        <v>0</v>
      </c>
      <c r="R798" s="5">
        <v>0</v>
      </c>
      <c r="S798" s="5">
        <f t="shared" si="42"/>
        <v>1087.7240000000002</v>
      </c>
      <c r="T798" s="1" t="s">
        <v>2887</v>
      </c>
      <c r="U798" s="1" t="s">
        <v>633</v>
      </c>
      <c r="V798" s="1" t="s">
        <v>312</v>
      </c>
      <c r="W798" s="1" t="s">
        <v>2580</v>
      </c>
      <c r="X798" s="1"/>
      <c r="Y798" s="1"/>
      <c r="Z798" s="21" t="s">
        <v>3349</v>
      </c>
      <c r="AA798" s="8"/>
      <c r="AB798" s="8">
        <v>20</v>
      </c>
      <c r="AC798" s="12" t="s">
        <v>2887</v>
      </c>
      <c r="AD798" s="1"/>
      <c r="AE798" s="29"/>
      <c r="AF798" s="1"/>
      <c r="AG798" s="26"/>
    </row>
    <row r="799" spans="1:33" s="24" customFormat="1" x14ac:dyDescent="0.25">
      <c r="A799" s="4"/>
      <c r="B799" s="4">
        <v>45940</v>
      </c>
      <c r="C799" s="1" t="s">
        <v>54</v>
      </c>
      <c r="D799" s="224" t="s">
        <v>3596</v>
      </c>
      <c r="E799" s="4" t="s">
        <v>2607</v>
      </c>
      <c r="F799" s="102" t="s">
        <v>1510</v>
      </c>
      <c r="G799" s="1" t="s">
        <v>1510</v>
      </c>
      <c r="H799" s="8">
        <v>4</v>
      </c>
      <c r="I799" s="8">
        <v>4</v>
      </c>
      <c r="J799" s="115">
        <f>Table224[[#This Row],[Qty]]-Table224[[#This Row],[Issue Qty]]</f>
        <v>0</v>
      </c>
      <c r="K799" s="195"/>
      <c r="L799" s="195" t="s">
        <v>3480</v>
      </c>
      <c r="M799" s="5">
        <v>3000</v>
      </c>
      <c r="N799" s="5">
        <f t="shared" si="40"/>
        <v>12000</v>
      </c>
      <c r="O799" s="82">
        <v>0.18</v>
      </c>
      <c r="P799" s="9">
        <f t="shared" si="41"/>
        <v>2160</v>
      </c>
      <c r="Q799" s="5">
        <v>0</v>
      </c>
      <c r="R799" s="5">
        <v>0</v>
      </c>
      <c r="S799" s="5">
        <f t="shared" si="42"/>
        <v>14160</v>
      </c>
      <c r="T799" s="1" t="s">
        <v>2887</v>
      </c>
      <c r="U799" s="1" t="s">
        <v>633</v>
      </c>
      <c r="V799" s="1" t="s">
        <v>1511</v>
      </c>
      <c r="W799" s="1">
        <v>5660000093</v>
      </c>
      <c r="X799" s="1"/>
      <c r="Y799" s="1"/>
      <c r="Z799" s="21" t="s">
        <v>3349</v>
      </c>
      <c r="AA799" s="8"/>
      <c r="AB799" s="8">
        <v>4</v>
      </c>
      <c r="AC799" s="22" t="s">
        <v>3357</v>
      </c>
      <c r="AD799" s="1"/>
      <c r="AE799" s="29"/>
      <c r="AF799" s="1"/>
      <c r="AG799" s="2"/>
    </row>
    <row r="800" spans="1:33" s="206" customFormat="1" x14ac:dyDescent="0.25">
      <c r="A800" s="4"/>
      <c r="B800" s="4">
        <v>45940</v>
      </c>
      <c r="C800" s="6" t="s">
        <v>1683</v>
      </c>
      <c r="D800" s="224" t="s">
        <v>1663</v>
      </c>
      <c r="E800" s="4" t="s">
        <v>2608</v>
      </c>
      <c r="F800" s="102" t="s">
        <v>1512</v>
      </c>
      <c r="G800" s="1" t="s">
        <v>1512</v>
      </c>
      <c r="H800" s="8">
        <v>1</v>
      </c>
      <c r="I800" s="8">
        <v>1</v>
      </c>
      <c r="J800" s="115">
        <f>Table224[[#This Row],[Qty]]-Table224[[#This Row],[Issue Qty]]</f>
        <v>0</v>
      </c>
      <c r="K800" s="195"/>
      <c r="L800" s="195" t="s">
        <v>3480</v>
      </c>
      <c r="M800" s="5">
        <v>27000</v>
      </c>
      <c r="N800" s="5">
        <f t="shared" si="40"/>
        <v>27000</v>
      </c>
      <c r="O800" s="82">
        <v>0.18</v>
      </c>
      <c r="P800" s="9">
        <f t="shared" si="41"/>
        <v>4860</v>
      </c>
      <c r="Q800" s="5">
        <v>0</v>
      </c>
      <c r="R800" s="5">
        <v>0</v>
      </c>
      <c r="S800" s="5">
        <f t="shared" si="42"/>
        <v>31860</v>
      </c>
      <c r="T800" s="1" t="s">
        <v>2887</v>
      </c>
      <c r="U800" s="1" t="s">
        <v>633</v>
      </c>
      <c r="V800" s="1" t="s">
        <v>896</v>
      </c>
      <c r="W800" s="1" t="s">
        <v>2609</v>
      </c>
      <c r="X800" s="1"/>
      <c r="Y800" s="2"/>
      <c r="Z800" s="21" t="s">
        <v>398</v>
      </c>
      <c r="AA800" s="21"/>
      <c r="AB800" s="21"/>
      <c r="AC800" s="12"/>
      <c r="AD800" s="2"/>
      <c r="AE800" s="29"/>
      <c r="AF800" s="2"/>
      <c r="AG800" s="26"/>
    </row>
    <row r="801" spans="1:33" s="24" customFormat="1" x14ac:dyDescent="0.25">
      <c r="A801" s="4"/>
      <c r="B801" s="4">
        <v>45940</v>
      </c>
      <c r="C801" s="1" t="s">
        <v>54</v>
      </c>
      <c r="D801" s="224" t="s">
        <v>3596</v>
      </c>
      <c r="E801" s="4" t="s">
        <v>2596</v>
      </c>
      <c r="F801" s="102" t="s">
        <v>1500</v>
      </c>
      <c r="G801" s="1" t="s">
        <v>1500</v>
      </c>
      <c r="H801" s="8">
        <v>1</v>
      </c>
      <c r="I801" s="8">
        <v>1</v>
      </c>
      <c r="J801" s="115">
        <f>Table224[[#This Row],[Qty]]-Table224[[#This Row],[Issue Qty]]</f>
        <v>0</v>
      </c>
      <c r="K801" s="195"/>
      <c r="L801" s="195" t="s">
        <v>3480</v>
      </c>
      <c r="M801" s="5">
        <v>4850</v>
      </c>
      <c r="N801" s="5">
        <f t="shared" si="40"/>
        <v>4850</v>
      </c>
      <c r="O801" s="82">
        <v>0.18</v>
      </c>
      <c r="P801" s="9">
        <f t="shared" si="41"/>
        <v>873</v>
      </c>
      <c r="Q801" s="5">
        <v>0</v>
      </c>
      <c r="R801" s="5">
        <v>0</v>
      </c>
      <c r="S801" s="5">
        <f t="shared" si="42"/>
        <v>5723</v>
      </c>
      <c r="T801" s="1" t="s">
        <v>2887</v>
      </c>
      <c r="U801" s="1" t="s">
        <v>633</v>
      </c>
      <c r="V801" s="1" t="s">
        <v>764</v>
      </c>
      <c r="W801" s="1" t="s">
        <v>2597</v>
      </c>
      <c r="X801" s="1"/>
      <c r="Y801" s="1"/>
      <c r="Z801" s="21" t="s">
        <v>268</v>
      </c>
      <c r="AA801" s="8"/>
      <c r="AB801" s="8"/>
      <c r="AC801" s="22" t="s">
        <v>3719</v>
      </c>
      <c r="AD801" s="1" t="s">
        <v>3721</v>
      </c>
      <c r="AE801" s="29"/>
      <c r="AF801" s="1"/>
      <c r="AG801" s="2"/>
    </row>
    <row r="802" spans="1:33" s="206" customFormat="1" x14ac:dyDescent="0.25">
      <c r="A802" s="4"/>
      <c r="B802" s="4">
        <v>45940</v>
      </c>
      <c r="C802" s="1" t="s">
        <v>54</v>
      </c>
      <c r="D802" s="224" t="s">
        <v>3596</v>
      </c>
      <c r="E802" s="4" t="s">
        <v>2598</v>
      </c>
      <c r="F802" s="236" t="s">
        <v>1501</v>
      </c>
      <c r="G802" s="1" t="s">
        <v>1501</v>
      </c>
      <c r="H802" s="8">
        <v>1</v>
      </c>
      <c r="I802" s="8">
        <v>1</v>
      </c>
      <c r="J802" s="115">
        <f>Table224[[#This Row],[Qty]]-Table224[[#This Row],[Issue Qty]]</f>
        <v>0</v>
      </c>
      <c r="K802" s="332">
        <v>1</v>
      </c>
      <c r="L802" s="195" t="s">
        <v>3480</v>
      </c>
      <c r="M802" s="5">
        <v>4700</v>
      </c>
      <c r="N802" s="5">
        <f t="shared" si="40"/>
        <v>4700</v>
      </c>
      <c r="O802" s="82">
        <v>0.18</v>
      </c>
      <c r="P802" s="9">
        <f t="shared" si="41"/>
        <v>846</v>
      </c>
      <c r="Q802" s="5">
        <v>0</v>
      </c>
      <c r="R802" s="5">
        <v>0</v>
      </c>
      <c r="S802" s="5">
        <f t="shared" si="42"/>
        <v>5546</v>
      </c>
      <c r="T802" s="1" t="s">
        <v>2887</v>
      </c>
      <c r="U802" s="1" t="s">
        <v>633</v>
      </c>
      <c r="V802" s="1" t="s">
        <v>764</v>
      </c>
      <c r="W802" s="1" t="s">
        <v>2597</v>
      </c>
      <c r="X802" s="1"/>
      <c r="Y802" s="1"/>
      <c r="Z802" s="21" t="s">
        <v>268</v>
      </c>
      <c r="AA802" s="8"/>
      <c r="AB802" s="8"/>
      <c r="AC802" s="342" t="s">
        <v>3719</v>
      </c>
      <c r="AD802" s="1" t="s">
        <v>3721</v>
      </c>
      <c r="AE802" s="29"/>
      <c r="AF802" s="1"/>
      <c r="AG802" s="2"/>
    </row>
    <row r="803" spans="1:33" s="206" customFormat="1" ht="30" x14ac:dyDescent="0.25">
      <c r="A803" s="4"/>
      <c r="B803" s="4">
        <v>45940</v>
      </c>
      <c r="C803" s="6" t="s">
        <v>1730</v>
      </c>
      <c r="D803" s="224" t="s">
        <v>3589</v>
      </c>
      <c r="E803" s="4" t="s">
        <v>2600</v>
      </c>
      <c r="F803" s="316" t="s">
        <v>1504</v>
      </c>
      <c r="G803" s="1" t="s">
        <v>1504</v>
      </c>
      <c r="H803" s="8">
        <v>3</v>
      </c>
      <c r="I803" s="8">
        <v>2</v>
      </c>
      <c r="J803" s="115">
        <f>Table224[[#This Row],[Qty]]-Table224[[#This Row],[Issue Qty]]</f>
        <v>1</v>
      </c>
      <c r="K803" s="195"/>
      <c r="L803" s="195" t="s">
        <v>3486</v>
      </c>
      <c r="M803" s="5">
        <v>393.75</v>
      </c>
      <c r="N803" s="5">
        <f t="shared" si="40"/>
        <v>1181.25</v>
      </c>
      <c r="O803" s="82">
        <v>0</v>
      </c>
      <c r="P803" s="9">
        <f t="shared" si="41"/>
        <v>0</v>
      </c>
      <c r="Q803" s="5">
        <v>0</v>
      </c>
      <c r="R803" s="5">
        <v>0</v>
      </c>
      <c r="S803" s="5">
        <f t="shared" si="42"/>
        <v>1181.25</v>
      </c>
      <c r="T803" s="1" t="s">
        <v>2887</v>
      </c>
      <c r="U803" s="1" t="s">
        <v>633</v>
      </c>
      <c r="V803" s="1" t="s">
        <v>1503</v>
      </c>
      <c r="W803" s="1">
        <v>116829160</v>
      </c>
      <c r="X803" s="1"/>
      <c r="Y803" s="1"/>
      <c r="Z803" s="21" t="s">
        <v>650</v>
      </c>
      <c r="AA803" s="8"/>
      <c r="AB803" s="8">
        <v>1</v>
      </c>
      <c r="AC803" s="22" t="s">
        <v>1382</v>
      </c>
      <c r="AD803" s="1"/>
      <c r="AE803" s="29"/>
      <c r="AF803" s="1"/>
      <c r="AG803" s="26"/>
    </row>
    <row r="804" spans="1:33" s="206" customFormat="1" x14ac:dyDescent="0.25">
      <c r="A804" s="4"/>
      <c r="B804" s="4">
        <v>45940</v>
      </c>
      <c r="C804" s="1" t="s">
        <v>1991</v>
      </c>
      <c r="D804" s="224" t="s">
        <v>3502</v>
      </c>
      <c r="E804" s="4" t="s">
        <v>2610</v>
      </c>
      <c r="F804" s="102" t="s">
        <v>1513</v>
      </c>
      <c r="G804" s="1" t="s">
        <v>1513</v>
      </c>
      <c r="H804" s="8">
        <v>2</v>
      </c>
      <c r="I804" s="8">
        <v>2</v>
      </c>
      <c r="J804" s="115">
        <f>Table224[[#This Row],[Qty]]-Table224[[#This Row],[Issue Qty]]</f>
        <v>0</v>
      </c>
      <c r="K804" s="195"/>
      <c r="L804" s="195" t="s">
        <v>3480</v>
      </c>
      <c r="M804" s="5">
        <v>17433.23</v>
      </c>
      <c r="N804" s="5">
        <f t="shared" si="40"/>
        <v>34866.46</v>
      </c>
      <c r="O804" s="82">
        <v>0.18</v>
      </c>
      <c r="P804" s="9">
        <f t="shared" si="41"/>
        <v>6275.9627999999993</v>
      </c>
      <c r="Q804" s="5">
        <v>0</v>
      </c>
      <c r="R804" s="5">
        <v>-0.42</v>
      </c>
      <c r="S804" s="5">
        <f t="shared" si="42"/>
        <v>41142.002800000002</v>
      </c>
      <c r="T804" s="1" t="s">
        <v>2887</v>
      </c>
      <c r="U804" s="1" t="s">
        <v>633</v>
      </c>
      <c r="V804" s="1" t="s">
        <v>893</v>
      </c>
      <c r="W804" s="1" t="s">
        <v>2611</v>
      </c>
      <c r="X804" s="1"/>
      <c r="Y804" s="1"/>
      <c r="Z804" s="21"/>
      <c r="AA804" s="8"/>
      <c r="AB804" s="8">
        <v>2</v>
      </c>
      <c r="AC804" s="22" t="s">
        <v>3352</v>
      </c>
      <c r="AD804" s="1"/>
      <c r="AE804" s="29"/>
      <c r="AF804" s="1"/>
      <c r="AG804" s="26"/>
    </row>
    <row r="805" spans="1:33" s="24" customFormat="1" x14ac:dyDescent="0.25">
      <c r="A805" s="4"/>
      <c r="B805" s="4">
        <v>45940</v>
      </c>
      <c r="C805" s="1" t="s">
        <v>54</v>
      </c>
      <c r="D805" s="224" t="s">
        <v>3494</v>
      </c>
      <c r="E805" s="4" t="s">
        <v>2603</v>
      </c>
      <c r="F805" s="102" t="s">
        <v>1506</v>
      </c>
      <c r="G805" s="1" t="s">
        <v>1506</v>
      </c>
      <c r="H805" s="8">
        <v>1</v>
      </c>
      <c r="I805" s="8">
        <v>1</v>
      </c>
      <c r="J805" s="115">
        <f>Table224[[#This Row],[Qty]]-Table224[[#This Row],[Issue Qty]]</f>
        <v>0</v>
      </c>
      <c r="K805" s="195"/>
      <c r="L805" s="195" t="s">
        <v>3480</v>
      </c>
      <c r="M805" s="5">
        <v>5882.72</v>
      </c>
      <c r="N805" s="5">
        <f t="shared" si="40"/>
        <v>5882.72</v>
      </c>
      <c r="O805" s="82">
        <v>0.18</v>
      </c>
      <c r="P805" s="9">
        <f t="shared" si="41"/>
        <v>1058.8896</v>
      </c>
      <c r="Q805" s="5">
        <v>0</v>
      </c>
      <c r="R805" s="5">
        <v>0</v>
      </c>
      <c r="S805" s="5">
        <f t="shared" si="42"/>
        <v>6941.6095999999998</v>
      </c>
      <c r="T805" s="1" t="s">
        <v>2887</v>
      </c>
      <c r="U805" s="1" t="s">
        <v>633</v>
      </c>
      <c r="V805" s="1" t="s">
        <v>358</v>
      </c>
      <c r="W805" s="1" t="s">
        <v>2602</v>
      </c>
      <c r="X805" s="1"/>
      <c r="Y805" s="1"/>
      <c r="Z805" s="21"/>
      <c r="AA805" s="8"/>
      <c r="AB805" s="8">
        <v>1</v>
      </c>
      <c r="AC805" s="22" t="s">
        <v>3352</v>
      </c>
      <c r="AD805" s="1"/>
      <c r="AE805" s="29"/>
      <c r="AF805" s="1"/>
      <c r="AG805" s="2"/>
    </row>
    <row r="806" spans="1:33" s="206" customFormat="1" x14ac:dyDescent="0.25">
      <c r="A806" s="4"/>
      <c r="B806" s="4">
        <v>45940</v>
      </c>
      <c r="C806" s="1" t="s">
        <v>54</v>
      </c>
      <c r="D806" s="224" t="s">
        <v>3494</v>
      </c>
      <c r="E806" s="4" t="s">
        <v>2605</v>
      </c>
      <c r="F806" s="102" t="s">
        <v>1508</v>
      </c>
      <c r="G806" s="1" t="s">
        <v>1508</v>
      </c>
      <c r="H806" s="8">
        <v>1</v>
      </c>
      <c r="I806" s="8">
        <v>1</v>
      </c>
      <c r="J806" s="115">
        <f>Table224[[#This Row],[Qty]]-Table224[[#This Row],[Issue Qty]]</f>
        <v>0</v>
      </c>
      <c r="K806" s="195"/>
      <c r="L806" s="195" t="s">
        <v>3480</v>
      </c>
      <c r="M806" s="5">
        <v>238.36</v>
      </c>
      <c r="N806" s="5">
        <f t="shared" si="40"/>
        <v>238.36</v>
      </c>
      <c r="O806" s="82">
        <v>0.18</v>
      </c>
      <c r="P806" s="9">
        <f t="shared" si="41"/>
        <v>42.904800000000002</v>
      </c>
      <c r="Q806" s="5">
        <v>0</v>
      </c>
      <c r="R806" s="5">
        <v>0</v>
      </c>
      <c r="S806" s="5">
        <f t="shared" si="42"/>
        <v>281.26480000000004</v>
      </c>
      <c r="T806" s="1" t="s">
        <v>2887</v>
      </c>
      <c r="U806" s="1" t="s">
        <v>633</v>
      </c>
      <c r="V806" s="1" t="s">
        <v>358</v>
      </c>
      <c r="W806" s="1" t="s">
        <v>2602</v>
      </c>
      <c r="X806" s="1"/>
      <c r="Y806" s="1"/>
      <c r="Z806" s="21" t="s">
        <v>3165</v>
      </c>
      <c r="AA806" s="8"/>
      <c r="AB806" s="8"/>
      <c r="AC806" s="22"/>
      <c r="AD806" s="1"/>
      <c r="AE806" s="29"/>
      <c r="AF806" s="1"/>
      <c r="AG806" s="26"/>
    </row>
    <row r="807" spans="1:33" s="206" customFormat="1" x14ac:dyDescent="0.25">
      <c r="A807" s="4"/>
      <c r="B807" s="4">
        <v>45940</v>
      </c>
      <c r="C807" s="1" t="s">
        <v>54</v>
      </c>
      <c r="D807" s="224" t="s">
        <v>3494</v>
      </c>
      <c r="E807" s="4" t="s">
        <v>2601</v>
      </c>
      <c r="F807" s="102" t="s">
        <v>1505</v>
      </c>
      <c r="G807" s="1" t="s">
        <v>1505</v>
      </c>
      <c r="H807" s="8">
        <v>7</v>
      </c>
      <c r="I807" s="8">
        <v>7</v>
      </c>
      <c r="J807" s="115">
        <f>Table224[[#This Row],[Qty]]-Table224[[#This Row],[Issue Qty]]</f>
        <v>0</v>
      </c>
      <c r="K807" s="195"/>
      <c r="L807" s="195" t="s">
        <v>3480</v>
      </c>
      <c r="M807" s="5">
        <v>167.29</v>
      </c>
      <c r="N807" s="5">
        <f t="shared" si="40"/>
        <v>1171.03</v>
      </c>
      <c r="O807" s="82">
        <v>0.18</v>
      </c>
      <c r="P807" s="9">
        <f t="shared" si="41"/>
        <v>210.78539999999998</v>
      </c>
      <c r="Q807" s="5">
        <v>0</v>
      </c>
      <c r="R807" s="5">
        <v>0</v>
      </c>
      <c r="S807" s="5">
        <f t="shared" si="42"/>
        <v>1381.8154</v>
      </c>
      <c r="T807" s="1" t="s">
        <v>2887</v>
      </c>
      <c r="U807" s="1" t="s">
        <v>633</v>
      </c>
      <c r="V807" s="1" t="s">
        <v>358</v>
      </c>
      <c r="W807" s="1" t="s">
        <v>2602</v>
      </c>
      <c r="X807" s="1"/>
      <c r="Y807" s="1"/>
      <c r="Z807" s="21" t="s">
        <v>3011</v>
      </c>
      <c r="AA807" s="8"/>
      <c r="AB807" s="8"/>
      <c r="AC807" s="22"/>
      <c r="AD807" s="1"/>
      <c r="AE807" s="29"/>
      <c r="AF807" s="1"/>
      <c r="AG807" s="26"/>
    </row>
    <row r="808" spans="1:33" s="206" customFormat="1" x14ac:dyDescent="0.25">
      <c r="A808" s="4"/>
      <c r="B808" s="4">
        <v>45940</v>
      </c>
      <c r="C808" s="1" t="s">
        <v>54</v>
      </c>
      <c r="D808" s="224" t="s">
        <v>3494</v>
      </c>
      <c r="E808" s="4" t="s">
        <v>2606</v>
      </c>
      <c r="F808" s="102" t="s">
        <v>1509</v>
      </c>
      <c r="G808" s="1" t="s">
        <v>1509</v>
      </c>
      <c r="H808" s="8">
        <v>2</v>
      </c>
      <c r="I808" s="8">
        <v>2</v>
      </c>
      <c r="J808" s="115">
        <f>Table224[[#This Row],[Qty]]-Table224[[#This Row],[Issue Qty]]</f>
        <v>0</v>
      </c>
      <c r="K808" s="195"/>
      <c r="L808" s="195" t="s">
        <v>3480</v>
      </c>
      <c r="M808" s="5">
        <v>421.31</v>
      </c>
      <c r="N808" s="5">
        <f t="shared" si="40"/>
        <v>842.62</v>
      </c>
      <c r="O808" s="82">
        <v>0.18</v>
      </c>
      <c r="P808" s="9">
        <f t="shared" si="41"/>
        <v>151.67159999999998</v>
      </c>
      <c r="Q808" s="5">
        <v>0</v>
      </c>
      <c r="R808" s="5">
        <v>0</v>
      </c>
      <c r="S808" s="5">
        <f t="shared" si="42"/>
        <v>994.29160000000002</v>
      </c>
      <c r="T808" s="1" t="s">
        <v>2887</v>
      </c>
      <c r="U808" s="1" t="s">
        <v>633</v>
      </c>
      <c r="V808" s="1" t="s">
        <v>358</v>
      </c>
      <c r="W808" s="1" t="s">
        <v>2602</v>
      </c>
      <c r="X808" s="1"/>
      <c r="Y808" s="1"/>
      <c r="Z808" s="21" t="s">
        <v>3349</v>
      </c>
      <c r="AA808" s="8"/>
      <c r="AB808" s="8">
        <v>2</v>
      </c>
      <c r="AC808" s="22" t="s">
        <v>3712</v>
      </c>
      <c r="AD808" s="1"/>
      <c r="AE808" s="29"/>
      <c r="AF808" s="1"/>
      <c r="AG808" s="26"/>
    </row>
    <row r="809" spans="1:33" s="24" customFormat="1" x14ac:dyDescent="0.25">
      <c r="A809" s="4"/>
      <c r="B809" s="4">
        <v>45940</v>
      </c>
      <c r="C809" s="1" t="s">
        <v>54</v>
      </c>
      <c r="D809" s="224" t="s">
        <v>3494</v>
      </c>
      <c r="E809" s="4" t="s">
        <v>2604</v>
      </c>
      <c r="F809" s="102" t="s">
        <v>1507</v>
      </c>
      <c r="G809" s="1" t="s">
        <v>1507</v>
      </c>
      <c r="H809" s="8">
        <v>1</v>
      </c>
      <c r="I809" s="8">
        <v>1</v>
      </c>
      <c r="J809" s="115">
        <f>Table224[[#This Row],[Qty]]-Table224[[#This Row],[Issue Qty]]</f>
        <v>0</v>
      </c>
      <c r="K809" s="195"/>
      <c r="L809" s="195" t="s">
        <v>3480</v>
      </c>
      <c r="M809" s="5">
        <v>11206.37</v>
      </c>
      <c r="N809" s="5">
        <f t="shared" si="40"/>
        <v>11206.37</v>
      </c>
      <c r="O809" s="82">
        <v>0.18</v>
      </c>
      <c r="P809" s="9">
        <f t="shared" si="41"/>
        <v>2017.1466</v>
      </c>
      <c r="Q809" s="5">
        <v>0</v>
      </c>
      <c r="R809" s="5">
        <v>0</v>
      </c>
      <c r="S809" s="5">
        <f t="shared" si="42"/>
        <v>13223.516600000001</v>
      </c>
      <c r="T809" s="1" t="s">
        <v>2887</v>
      </c>
      <c r="U809" s="1" t="s">
        <v>633</v>
      </c>
      <c r="V809" s="1" t="s">
        <v>358</v>
      </c>
      <c r="W809" s="1" t="s">
        <v>2602</v>
      </c>
      <c r="X809" s="1"/>
      <c r="Y809" s="1"/>
      <c r="Z809" s="21" t="s">
        <v>3165</v>
      </c>
      <c r="AA809" s="8" t="s">
        <v>3161</v>
      </c>
      <c r="AB809" s="8"/>
      <c r="AC809" s="22" t="s">
        <v>3586</v>
      </c>
      <c r="AD809" s="1"/>
      <c r="AE809" s="29"/>
      <c r="AF809" s="1"/>
      <c r="AG809" s="26"/>
    </row>
    <row r="810" spans="1:33" s="206" customFormat="1" ht="30" x14ac:dyDescent="0.25">
      <c r="A810" s="4"/>
      <c r="B810" s="4">
        <v>45940</v>
      </c>
      <c r="C810" s="6" t="s">
        <v>1730</v>
      </c>
      <c r="D810" s="224" t="s">
        <v>3495</v>
      </c>
      <c r="E810" s="4" t="s">
        <v>2599</v>
      </c>
      <c r="F810" s="102" t="s">
        <v>1502</v>
      </c>
      <c r="G810" s="1" t="s">
        <v>1502</v>
      </c>
      <c r="H810" s="8">
        <v>2</v>
      </c>
      <c r="I810" s="8"/>
      <c r="J810" s="115">
        <f>Table224[[#This Row],[Qty]]-Table224[[#This Row],[Issue Qty]]</f>
        <v>2</v>
      </c>
      <c r="K810" s="195"/>
      <c r="L810" s="195" t="s">
        <v>3486</v>
      </c>
      <c r="M810" s="5">
        <v>95.97</v>
      </c>
      <c r="N810" s="5">
        <f t="shared" si="40"/>
        <v>191.94</v>
      </c>
      <c r="O810" s="82">
        <v>0</v>
      </c>
      <c r="P810" s="9">
        <f t="shared" si="41"/>
        <v>0</v>
      </c>
      <c r="Q810" s="5">
        <v>1200</v>
      </c>
      <c r="R810" s="5">
        <v>0</v>
      </c>
      <c r="S810" s="5">
        <f t="shared" si="42"/>
        <v>1391.94</v>
      </c>
      <c r="T810" s="1" t="s">
        <v>2887</v>
      </c>
      <c r="U810" s="1" t="s">
        <v>633</v>
      </c>
      <c r="V810" s="1" t="s">
        <v>1503</v>
      </c>
      <c r="W810" s="1">
        <v>116829160</v>
      </c>
      <c r="X810" s="1"/>
      <c r="Y810" s="1"/>
      <c r="Z810" s="21" t="s">
        <v>650</v>
      </c>
      <c r="AA810" s="8"/>
      <c r="AB810" s="8">
        <v>1</v>
      </c>
      <c r="AC810" s="22" t="s">
        <v>1382</v>
      </c>
      <c r="AD810" s="1"/>
      <c r="AE810" s="29"/>
      <c r="AF810" s="1"/>
      <c r="AG810" s="26"/>
    </row>
    <row r="811" spans="1:33" s="206" customFormat="1" x14ac:dyDescent="0.25">
      <c r="A811" s="4"/>
      <c r="B811" s="4">
        <v>45941</v>
      </c>
      <c r="C811" s="1" t="s">
        <v>54</v>
      </c>
      <c r="D811" s="224" t="s">
        <v>3494</v>
      </c>
      <c r="E811" s="4" t="s">
        <v>2605</v>
      </c>
      <c r="F811" s="102" t="s">
        <v>1508</v>
      </c>
      <c r="G811" s="1" t="s">
        <v>1508</v>
      </c>
      <c r="H811" s="8">
        <v>1</v>
      </c>
      <c r="I811" s="8">
        <v>1</v>
      </c>
      <c r="J811" s="115">
        <f>Table224[[#This Row],[Qty]]-Table224[[#This Row],[Issue Qty]]</f>
        <v>0</v>
      </c>
      <c r="K811" s="195"/>
      <c r="L811" s="195" t="s">
        <v>3480</v>
      </c>
      <c r="M811" s="5">
        <v>105.5</v>
      </c>
      <c r="N811" s="5">
        <f t="shared" si="40"/>
        <v>105.5</v>
      </c>
      <c r="O811" s="82">
        <v>0.18</v>
      </c>
      <c r="P811" s="9">
        <f t="shared" si="41"/>
        <v>18.989999999999998</v>
      </c>
      <c r="Q811" s="5">
        <v>0</v>
      </c>
      <c r="R811" s="5">
        <v>0</v>
      </c>
      <c r="S811" s="5">
        <f t="shared" si="42"/>
        <v>124.49</v>
      </c>
      <c r="T811" s="1" t="s">
        <v>2887</v>
      </c>
      <c r="U811" s="1" t="s">
        <v>633</v>
      </c>
      <c r="V811" s="1" t="s">
        <v>358</v>
      </c>
      <c r="W811" s="1" t="s">
        <v>2602</v>
      </c>
      <c r="X811" s="1"/>
      <c r="Y811" s="1"/>
      <c r="Z811" s="21" t="s">
        <v>3165</v>
      </c>
      <c r="AA811" s="8"/>
      <c r="AB811" s="8"/>
      <c r="AC811" s="22"/>
      <c r="AD811" s="1"/>
      <c r="AE811" s="29"/>
      <c r="AF811" s="1"/>
      <c r="AG811" s="2"/>
    </row>
    <row r="812" spans="1:33" s="24" customFormat="1" x14ac:dyDescent="0.25">
      <c r="A812" s="4"/>
      <c r="B812" s="4">
        <v>45941</v>
      </c>
      <c r="C812" s="1" t="s">
        <v>54</v>
      </c>
      <c r="D812" s="224" t="s">
        <v>3494</v>
      </c>
      <c r="E812" s="4" t="s">
        <v>2601</v>
      </c>
      <c r="F812" s="102" t="s">
        <v>1505</v>
      </c>
      <c r="G812" s="1" t="s">
        <v>1505</v>
      </c>
      <c r="H812" s="8">
        <v>1</v>
      </c>
      <c r="I812" s="8">
        <v>1</v>
      </c>
      <c r="J812" s="115">
        <f>Table224[[#This Row],[Qty]]-Table224[[#This Row],[Issue Qty]]</f>
        <v>0</v>
      </c>
      <c r="K812" s="195"/>
      <c r="L812" s="195" t="s">
        <v>3480</v>
      </c>
      <c r="M812" s="5">
        <v>154</v>
      </c>
      <c r="N812" s="5">
        <f t="shared" si="40"/>
        <v>154</v>
      </c>
      <c r="O812" s="82">
        <v>0.18</v>
      </c>
      <c r="P812" s="9">
        <f t="shared" si="41"/>
        <v>27.72</v>
      </c>
      <c r="Q812" s="5">
        <v>0</v>
      </c>
      <c r="R812" s="5">
        <v>0</v>
      </c>
      <c r="S812" s="5">
        <f t="shared" si="42"/>
        <v>181.72</v>
      </c>
      <c r="T812" s="1" t="s">
        <v>2887</v>
      </c>
      <c r="U812" s="1" t="s">
        <v>633</v>
      </c>
      <c r="V812" s="1" t="s">
        <v>358</v>
      </c>
      <c r="W812" s="1" t="s">
        <v>2602</v>
      </c>
      <c r="X812" s="1"/>
      <c r="Y812" s="1"/>
      <c r="Z812" s="21" t="s">
        <v>3011</v>
      </c>
      <c r="AA812" s="8"/>
      <c r="AB812" s="8"/>
      <c r="AC812" s="22"/>
      <c r="AD812" s="1"/>
      <c r="AE812" s="29"/>
      <c r="AF812" s="1"/>
      <c r="AG812" s="26"/>
    </row>
    <row r="813" spans="1:33" s="24" customFormat="1" x14ac:dyDescent="0.25">
      <c r="A813" s="4"/>
      <c r="B813" s="4">
        <v>45941</v>
      </c>
      <c r="C813" s="1" t="s">
        <v>54</v>
      </c>
      <c r="D813" s="224" t="s">
        <v>3494</v>
      </c>
      <c r="E813" s="4" t="s">
        <v>2606</v>
      </c>
      <c r="F813" s="102" t="s">
        <v>1509</v>
      </c>
      <c r="G813" s="1" t="s">
        <v>1509</v>
      </c>
      <c r="H813" s="8">
        <v>2</v>
      </c>
      <c r="I813" s="8">
        <v>2</v>
      </c>
      <c r="J813" s="115">
        <f>Table224[[#This Row],[Qty]]-Table224[[#This Row],[Issue Qty]]</f>
        <v>0</v>
      </c>
      <c r="K813" s="195"/>
      <c r="L813" s="195" t="s">
        <v>3480</v>
      </c>
      <c r="M813" s="5">
        <v>265.7</v>
      </c>
      <c r="N813" s="5">
        <f t="shared" si="40"/>
        <v>531.4</v>
      </c>
      <c r="O813" s="82">
        <v>0.18</v>
      </c>
      <c r="P813" s="9">
        <f t="shared" si="41"/>
        <v>95.651999999999987</v>
      </c>
      <c r="Q813" s="5">
        <v>0</v>
      </c>
      <c r="R813" s="5">
        <v>0</v>
      </c>
      <c r="S813" s="5">
        <f t="shared" si="42"/>
        <v>627.05199999999991</v>
      </c>
      <c r="T813" s="1" t="s">
        <v>2887</v>
      </c>
      <c r="U813" s="1" t="s">
        <v>633</v>
      </c>
      <c r="V813" s="1" t="s">
        <v>358</v>
      </c>
      <c r="W813" s="1" t="s">
        <v>2602</v>
      </c>
      <c r="X813" s="1"/>
      <c r="Y813" s="1"/>
      <c r="Z813" s="21" t="s">
        <v>3011</v>
      </c>
      <c r="AA813" s="8"/>
      <c r="AB813" s="8"/>
      <c r="AC813" s="22"/>
      <c r="AD813" s="1"/>
      <c r="AE813" s="29"/>
      <c r="AF813" s="1"/>
      <c r="AG813" s="26"/>
    </row>
    <row r="814" spans="1:33" s="206" customFormat="1" ht="45" x14ac:dyDescent="0.25">
      <c r="A814" s="4"/>
      <c r="B814" s="4">
        <v>45943</v>
      </c>
      <c r="C814" s="1" t="s">
        <v>1695</v>
      </c>
      <c r="D814" s="224" t="s">
        <v>3499</v>
      </c>
      <c r="E814" s="4" t="s">
        <v>2613</v>
      </c>
      <c r="F814" s="102" t="s">
        <v>1515</v>
      </c>
      <c r="G814" s="1" t="s">
        <v>1515</v>
      </c>
      <c r="H814" s="8">
        <v>1</v>
      </c>
      <c r="I814" s="8">
        <v>1</v>
      </c>
      <c r="J814" s="115">
        <f>Table224[[#This Row],[Qty]]-Table224[[#This Row],[Issue Qty]]</f>
        <v>0</v>
      </c>
      <c r="K814" s="195"/>
      <c r="L814" s="195" t="s">
        <v>3480</v>
      </c>
      <c r="M814" s="5">
        <v>49350</v>
      </c>
      <c r="N814" s="5">
        <f t="shared" si="40"/>
        <v>49350</v>
      </c>
      <c r="O814" s="82">
        <v>0.05</v>
      </c>
      <c r="P814" s="9">
        <f t="shared" si="41"/>
        <v>2467.5</v>
      </c>
      <c r="Q814" s="5">
        <v>0</v>
      </c>
      <c r="R814" s="5">
        <v>0</v>
      </c>
      <c r="S814" s="5">
        <f t="shared" si="42"/>
        <v>51817.5</v>
      </c>
      <c r="T814" s="1" t="s">
        <v>606</v>
      </c>
      <c r="U814" s="1" t="s">
        <v>606</v>
      </c>
      <c r="V814" s="1" t="s">
        <v>444</v>
      </c>
      <c r="W814" s="1" t="s">
        <v>2612</v>
      </c>
      <c r="X814" s="1"/>
      <c r="Y814" s="1"/>
      <c r="Z814" s="21" t="s">
        <v>3349</v>
      </c>
      <c r="AA814" s="8"/>
      <c r="AB814" s="8">
        <v>1</v>
      </c>
      <c r="AC814" s="22" t="s">
        <v>2896</v>
      </c>
      <c r="AD814" s="1"/>
      <c r="AE814" s="29"/>
      <c r="AF814" s="1"/>
      <c r="AG814" s="2"/>
    </row>
    <row r="815" spans="1:33" s="24" customFormat="1" x14ac:dyDescent="0.25">
      <c r="A815" s="4"/>
      <c r="B815" s="4">
        <v>45943</v>
      </c>
      <c r="C815" s="6" t="s">
        <v>1730</v>
      </c>
      <c r="D815" s="224" t="s">
        <v>3495</v>
      </c>
      <c r="E815" s="4" t="s">
        <v>2166</v>
      </c>
      <c r="F815" s="102" t="s">
        <v>957</v>
      </c>
      <c r="G815" s="1" t="s">
        <v>957</v>
      </c>
      <c r="H815" s="8">
        <v>2</v>
      </c>
      <c r="I815" s="8">
        <v>1</v>
      </c>
      <c r="J815" s="115">
        <f>Table224[[#This Row],[Qty]]-Table224[[#This Row],[Issue Qty]]</f>
        <v>1</v>
      </c>
      <c r="K815" s="195"/>
      <c r="L815" s="195" t="s">
        <v>3486</v>
      </c>
      <c r="M815" s="5">
        <v>283</v>
      </c>
      <c r="N815" s="5">
        <f t="shared" si="40"/>
        <v>566</v>
      </c>
      <c r="O815" s="82">
        <v>0.05</v>
      </c>
      <c r="P815" s="9">
        <f t="shared" si="41"/>
        <v>28.3</v>
      </c>
      <c r="Q815" s="5">
        <v>0</v>
      </c>
      <c r="R815" s="5">
        <v>0.2</v>
      </c>
      <c r="S815" s="5">
        <f t="shared" si="42"/>
        <v>594.5</v>
      </c>
      <c r="T815" s="1" t="s">
        <v>606</v>
      </c>
      <c r="U815" s="1" t="s">
        <v>606</v>
      </c>
      <c r="V815" s="1" t="s">
        <v>444</v>
      </c>
      <c r="W815" s="1" t="s">
        <v>2612</v>
      </c>
      <c r="X815" s="1"/>
      <c r="Y815" s="26"/>
      <c r="Z815" s="21" t="s">
        <v>445</v>
      </c>
      <c r="AA815" s="204"/>
      <c r="AB815" s="21">
        <v>1</v>
      </c>
      <c r="AC815" s="12" t="s">
        <v>1514</v>
      </c>
      <c r="AD815" s="26"/>
      <c r="AE815" s="29"/>
      <c r="AF815" s="26"/>
      <c r="AG815" s="26"/>
    </row>
    <row r="816" spans="1:33" s="206" customFormat="1" x14ac:dyDescent="0.25">
      <c r="A816" s="4"/>
      <c r="B816" s="4">
        <v>45945</v>
      </c>
      <c r="C816" s="6" t="s">
        <v>1730</v>
      </c>
      <c r="D816" s="224" t="s">
        <v>3590</v>
      </c>
      <c r="E816" s="4" t="s">
        <v>2581</v>
      </c>
      <c r="F816" s="327" t="s">
        <v>1486</v>
      </c>
      <c r="G816" s="1" t="s">
        <v>1486</v>
      </c>
      <c r="H816" s="8">
        <v>1</v>
      </c>
      <c r="I816" s="8">
        <v>1</v>
      </c>
      <c r="J816" s="115">
        <f>Table224[[#This Row],[Qty]]-Table224[[#This Row],[Issue Qty]]</f>
        <v>0</v>
      </c>
      <c r="K816" s="195"/>
      <c r="L816" s="195" t="s">
        <v>3480</v>
      </c>
      <c r="M816" s="5">
        <v>9600</v>
      </c>
      <c r="N816" s="5">
        <f t="shared" si="40"/>
        <v>9600</v>
      </c>
      <c r="O816" s="82">
        <v>0.18</v>
      </c>
      <c r="P816" s="9">
        <f t="shared" si="41"/>
        <v>1728</v>
      </c>
      <c r="Q816" s="5">
        <f>5900/2</f>
        <v>2950</v>
      </c>
      <c r="R816" s="5"/>
      <c r="S816" s="5">
        <f t="shared" si="42"/>
        <v>14278</v>
      </c>
      <c r="T816" s="1" t="s">
        <v>2887</v>
      </c>
      <c r="U816" s="1" t="s">
        <v>633</v>
      </c>
      <c r="V816" s="1" t="s">
        <v>1210</v>
      </c>
      <c r="W816" s="1" t="s">
        <v>2614</v>
      </c>
      <c r="X816" s="1"/>
      <c r="Y816" s="1"/>
      <c r="Z816" s="21" t="s">
        <v>3179</v>
      </c>
      <c r="AA816" s="8"/>
      <c r="AB816" s="8">
        <v>1</v>
      </c>
      <c r="AC816" s="22" t="s">
        <v>1382</v>
      </c>
      <c r="AD816" s="1"/>
      <c r="AE816" s="29"/>
      <c r="AF816" s="1"/>
      <c r="AG816" s="2"/>
    </row>
    <row r="817" spans="1:33" s="206" customFormat="1" x14ac:dyDescent="0.25">
      <c r="A817" s="4"/>
      <c r="B817" s="4">
        <v>45945</v>
      </c>
      <c r="C817" s="6" t="s">
        <v>1730</v>
      </c>
      <c r="D817" s="224" t="s">
        <v>3590</v>
      </c>
      <c r="E817" s="4" t="s">
        <v>2583</v>
      </c>
      <c r="F817" s="327" t="s">
        <v>1487</v>
      </c>
      <c r="G817" s="1" t="s">
        <v>1487</v>
      </c>
      <c r="H817" s="8">
        <v>1</v>
      </c>
      <c r="I817" s="8">
        <v>1</v>
      </c>
      <c r="J817" s="115">
        <f>Table224[[#This Row],[Qty]]-Table224[[#This Row],[Issue Qty]]</f>
        <v>0</v>
      </c>
      <c r="K817" s="195"/>
      <c r="L817" s="195" t="s">
        <v>3480</v>
      </c>
      <c r="M817" s="5">
        <v>3700</v>
      </c>
      <c r="N817" s="5">
        <f t="shared" si="40"/>
        <v>3700</v>
      </c>
      <c r="O817" s="82">
        <v>0.18</v>
      </c>
      <c r="P817" s="9">
        <f t="shared" si="41"/>
        <v>666</v>
      </c>
      <c r="Q817" s="5">
        <v>2950</v>
      </c>
      <c r="R817" s="5"/>
      <c r="S817" s="5">
        <f t="shared" si="42"/>
        <v>7316</v>
      </c>
      <c r="T817" s="1" t="s">
        <v>2887</v>
      </c>
      <c r="U817" s="1" t="s">
        <v>633</v>
      </c>
      <c r="V817" s="1" t="s">
        <v>1210</v>
      </c>
      <c r="W817" s="1" t="s">
        <v>2614</v>
      </c>
      <c r="X817" s="1"/>
      <c r="Y817" s="1"/>
      <c r="Z817" s="21" t="s">
        <v>3179</v>
      </c>
      <c r="AA817" s="8"/>
      <c r="AB817" s="8">
        <v>1</v>
      </c>
      <c r="AC817" s="22" t="s">
        <v>1382</v>
      </c>
      <c r="AD817" s="1"/>
      <c r="AE817" s="29"/>
      <c r="AF817" s="1"/>
      <c r="AG817" s="26"/>
    </row>
    <row r="818" spans="1:33" s="24" customFormat="1" x14ac:dyDescent="0.25">
      <c r="A818" s="4"/>
      <c r="B818" s="4">
        <v>45945</v>
      </c>
      <c r="C818" s="6" t="s">
        <v>1730</v>
      </c>
      <c r="D818" s="224" t="s">
        <v>3506</v>
      </c>
      <c r="E818" s="4" t="s">
        <v>2615</v>
      </c>
      <c r="F818" s="327" t="s">
        <v>1516</v>
      </c>
      <c r="G818" s="1" t="s">
        <v>1516</v>
      </c>
      <c r="H818" s="8">
        <v>1</v>
      </c>
      <c r="I818" s="8">
        <v>1</v>
      </c>
      <c r="J818" s="115">
        <f>Table224[[#This Row],[Qty]]-Table224[[#This Row],[Issue Qty]]</f>
        <v>0</v>
      </c>
      <c r="K818" s="195"/>
      <c r="L818" s="195" t="s">
        <v>3480</v>
      </c>
      <c r="M818" s="5">
        <v>3559</v>
      </c>
      <c r="N818" s="5">
        <f t="shared" si="40"/>
        <v>3559</v>
      </c>
      <c r="O818" s="82">
        <v>0.18</v>
      </c>
      <c r="P818" s="9">
        <f t="shared" si="41"/>
        <v>640.62</v>
      </c>
      <c r="Q818" s="5"/>
      <c r="R818" s="5"/>
      <c r="S818" s="5">
        <f t="shared" si="42"/>
        <v>4199.62</v>
      </c>
      <c r="T818" s="1" t="s">
        <v>2887</v>
      </c>
      <c r="U818" s="1" t="s">
        <v>633</v>
      </c>
      <c r="V818" s="1" t="s">
        <v>1517</v>
      </c>
      <c r="W818" s="1">
        <v>197</v>
      </c>
      <c r="X818" s="1"/>
      <c r="Y818" s="1"/>
      <c r="Z818" s="21" t="s">
        <v>3179</v>
      </c>
      <c r="AA818" s="8"/>
      <c r="AB818" s="8">
        <v>1</v>
      </c>
      <c r="AC818" s="22" t="s">
        <v>1382</v>
      </c>
      <c r="AD818" s="1"/>
      <c r="AE818" s="29"/>
      <c r="AF818" s="1"/>
      <c r="AG818" s="26"/>
    </row>
    <row r="819" spans="1:33" s="24" customFormat="1" x14ac:dyDescent="0.25">
      <c r="A819" s="4"/>
      <c r="B819" s="4">
        <v>45946</v>
      </c>
      <c r="C819" s="1" t="s">
        <v>54</v>
      </c>
      <c r="D819" s="224" t="s">
        <v>3430</v>
      </c>
      <c r="E819" s="4" t="s">
        <v>2617</v>
      </c>
      <c r="F819" s="102" t="s">
        <v>1520</v>
      </c>
      <c r="G819" s="1" t="s">
        <v>1520</v>
      </c>
      <c r="H819" s="8">
        <v>4</v>
      </c>
      <c r="I819" s="8"/>
      <c r="J819" s="115">
        <f>Table224[[#This Row],[Qty]]-Table224[[#This Row],[Issue Qty]]</f>
        <v>4</v>
      </c>
      <c r="K819" s="195"/>
      <c r="L819" s="195" t="s">
        <v>3479</v>
      </c>
      <c r="M819" s="5">
        <v>1141.9000000000001</v>
      </c>
      <c r="N819" s="5">
        <f t="shared" ref="N819:N882" si="43">H819*M819</f>
        <v>4567.6000000000004</v>
      </c>
      <c r="O819" s="82">
        <v>0.05</v>
      </c>
      <c r="P819" s="9">
        <f t="shared" ref="P819:P882" si="44">N819*O819</f>
        <v>228.38000000000002</v>
      </c>
      <c r="Q819" s="5">
        <v>78.84</v>
      </c>
      <c r="R819" s="5"/>
      <c r="S819" s="5">
        <f t="shared" ref="S819:S882" si="45">N819+P819+Q819+R819</f>
        <v>4874.8200000000006</v>
      </c>
      <c r="T819" s="1" t="s">
        <v>2887</v>
      </c>
      <c r="U819" s="1" t="s">
        <v>536</v>
      </c>
      <c r="V819" s="1" t="s">
        <v>788</v>
      </c>
      <c r="W819" s="1"/>
      <c r="X819" s="1"/>
      <c r="Y819" s="1"/>
      <c r="Z819" s="21" t="s">
        <v>3199</v>
      </c>
      <c r="AA819" s="8"/>
      <c r="AB819" s="8"/>
      <c r="AC819" s="22"/>
      <c r="AD819" s="1"/>
      <c r="AE819" s="29"/>
      <c r="AF819" s="1"/>
      <c r="AG819" s="2"/>
    </row>
    <row r="820" spans="1:33" s="206" customFormat="1" x14ac:dyDescent="0.25">
      <c r="A820" s="4"/>
      <c r="B820" s="4">
        <v>45946</v>
      </c>
      <c r="C820" s="1" t="s">
        <v>54</v>
      </c>
      <c r="D820" s="224" t="s">
        <v>3596</v>
      </c>
      <c r="E820" s="1" t="s">
        <v>2596</v>
      </c>
      <c r="F820" s="102" t="s">
        <v>1500</v>
      </c>
      <c r="G820" s="1" t="s">
        <v>1500</v>
      </c>
      <c r="H820" s="8">
        <v>3</v>
      </c>
      <c r="I820" s="8">
        <v>3</v>
      </c>
      <c r="J820" s="115">
        <f>Table224[[#This Row],[Qty]]-Table224[[#This Row],[Issue Qty]]</f>
        <v>0</v>
      </c>
      <c r="K820" s="195"/>
      <c r="L820" s="195" t="s">
        <v>3480</v>
      </c>
      <c r="M820" s="5">
        <v>4850</v>
      </c>
      <c r="N820" s="5">
        <f t="shared" si="43"/>
        <v>14550</v>
      </c>
      <c r="O820" s="82">
        <v>0.18</v>
      </c>
      <c r="P820" s="9">
        <f t="shared" si="44"/>
        <v>2619</v>
      </c>
      <c r="Q820" s="5"/>
      <c r="R820" s="5"/>
      <c r="S820" s="5">
        <f t="shared" si="45"/>
        <v>17169</v>
      </c>
      <c r="T820" s="1" t="s">
        <v>2887</v>
      </c>
      <c r="U820" s="1" t="s">
        <v>633</v>
      </c>
      <c r="V820" s="1" t="s">
        <v>764</v>
      </c>
      <c r="W820" s="1" t="s">
        <v>2597</v>
      </c>
      <c r="X820" s="1"/>
      <c r="Y820" s="1"/>
      <c r="Z820" s="21" t="s">
        <v>268</v>
      </c>
      <c r="AA820" s="8"/>
      <c r="AB820" s="8"/>
      <c r="AC820" s="22" t="s">
        <v>3719</v>
      </c>
      <c r="AD820" s="1" t="s">
        <v>3721</v>
      </c>
      <c r="AE820" s="29"/>
      <c r="AF820" s="1"/>
      <c r="AG820" s="2"/>
    </row>
    <row r="821" spans="1:33" s="206" customFormat="1" x14ac:dyDescent="0.25">
      <c r="A821" s="4"/>
      <c r="B821" s="4">
        <v>45946</v>
      </c>
      <c r="C821" s="1" t="s">
        <v>54</v>
      </c>
      <c r="D821" s="224" t="s">
        <v>3596</v>
      </c>
      <c r="E821" s="1" t="s">
        <v>2598</v>
      </c>
      <c r="F821" s="236" t="s">
        <v>1501</v>
      </c>
      <c r="G821" s="1" t="s">
        <v>1501</v>
      </c>
      <c r="H821" s="8">
        <v>3</v>
      </c>
      <c r="I821" s="8">
        <v>3</v>
      </c>
      <c r="J821" s="115">
        <f>Table224[[#This Row],[Qty]]-Table224[[#This Row],[Issue Qty]]</f>
        <v>0</v>
      </c>
      <c r="K821" s="332">
        <v>3</v>
      </c>
      <c r="L821" s="195" t="s">
        <v>3480</v>
      </c>
      <c r="M821" s="5">
        <v>4700</v>
      </c>
      <c r="N821" s="5">
        <f t="shared" si="43"/>
        <v>14100</v>
      </c>
      <c r="O821" s="82">
        <v>0.18</v>
      </c>
      <c r="P821" s="9">
        <f t="shared" si="44"/>
        <v>2538</v>
      </c>
      <c r="Q821" s="5"/>
      <c r="R821" s="5"/>
      <c r="S821" s="5">
        <f t="shared" si="45"/>
        <v>16638</v>
      </c>
      <c r="T821" s="1" t="s">
        <v>2887</v>
      </c>
      <c r="U821" s="1" t="s">
        <v>633</v>
      </c>
      <c r="V821" s="1" t="s">
        <v>764</v>
      </c>
      <c r="W821" s="1" t="s">
        <v>2597</v>
      </c>
      <c r="X821" s="1"/>
      <c r="Y821" s="1"/>
      <c r="Z821" s="21" t="s">
        <v>268</v>
      </c>
      <c r="AA821" s="8"/>
      <c r="AB821" s="8"/>
      <c r="AC821" s="342" t="s">
        <v>3719</v>
      </c>
      <c r="AD821" s="1" t="s">
        <v>3721</v>
      </c>
      <c r="AE821" s="29"/>
      <c r="AF821" s="1"/>
      <c r="AG821" s="2"/>
    </row>
    <row r="822" spans="1:33" s="24" customFormat="1" x14ac:dyDescent="0.25">
      <c r="A822" s="4"/>
      <c r="B822" s="4">
        <v>45946</v>
      </c>
      <c r="C822" s="1" t="s">
        <v>54</v>
      </c>
      <c r="D822" s="224" t="s">
        <v>3489</v>
      </c>
      <c r="E822" s="4" t="s">
        <v>2616</v>
      </c>
      <c r="F822" s="102" t="s">
        <v>1518</v>
      </c>
      <c r="G822" s="1" t="s">
        <v>1518</v>
      </c>
      <c r="H822" s="8">
        <v>2</v>
      </c>
      <c r="I822" s="8">
        <v>2</v>
      </c>
      <c r="J822" s="115">
        <f>Table224[[#This Row],[Qty]]-Table224[[#This Row],[Issue Qty]]</f>
        <v>0</v>
      </c>
      <c r="K822" s="195"/>
      <c r="L822" s="195" t="s">
        <v>3480</v>
      </c>
      <c r="M822" s="5">
        <v>4900</v>
      </c>
      <c r="N822" s="5">
        <f t="shared" si="43"/>
        <v>9800</v>
      </c>
      <c r="O822" s="82">
        <v>0.18</v>
      </c>
      <c r="P822" s="9">
        <f t="shared" si="44"/>
        <v>1764</v>
      </c>
      <c r="Q822" s="5"/>
      <c r="R822" s="5"/>
      <c r="S822" s="5">
        <f t="shared" si="45"/>
        <v>11564</v>
      </c>
      <c r="T822" s="1" t="s">
        <v>2887</v>
      </c>
      <c r="U822" s="1" t="s">
        <v>633</v>
      </c>
      <c r="V822" s="1" t="s">
        <v>1519</v>
      </c>
      <c r="W822" s="1">
        <v>170</v>
      </c>
      <c r="X822" s="1"/>
      <c r="Y822" s="1"/>
      <c r="Z822" s="21"/>
      <c r="AA822" s="8"/>
      <c r="AB822" s="8">
        <v>2</v>
      </c>
      <c r="AC822" s="22" t="s">
        <v>3650</v>
      </c>
      <c r="AD822" s="1"/>
      <c r="AE822" s="29"/>
      <c r="AF822" s="1"/>
      <c r="AG822" s="26"/>
    </row>
    <row r="823" spans="1:33" s="24" customFormat="1" x14ac:dyDescent="0.25">
      <c r="A823" s="4"/>
      <c r="B823" s="4">
        <v>45946</v>
      </c>
      <c r="C823" s="6" t="s">
        <v>1730</v>
      </c>
      <c r="D823" s="224" t="s">
        <v>3495</v>
      </c>
      <c r="E823" s="4" t="s">
        <v>2618</v>
      </c>
      <c r="F823" s="102" t="s">
        <v>1521</v>
      </c>
      <c r="G823" s="1" t="s">
        <v>1522</v>
      </c>
      <c r="H823" s="8">
        <v>4</v>
      </c>
      <c r="I823" s="8">
        <v>4</v>
      </c>
      <c r="J823" s="115">
        <f>Table224[[#This Row],[Qty]]-Table224[[#This Row],[Issue Qty]]</f>
        <v>0</v>
      </c>
      <c r="K823" s="195"/>
      <c r="L823" s="195" t="s">
        <v>3480</v>
      </c>
      <c r="M823" s="5">
        <f>2240/4</f>
        <v>560</v>
      </c>
      <c r="N823" s="5">
        <f t="shared" si="43"/>
        <v>2240</v>
      </c>
      <c r="O823" s="82">
        <v>0.18</v>
      </c>
      <c r="P823" s="9">
        <f t="shared" si="44"/>
        <v>403.2</v>
      </c>
      <c r="Q823" s="5"/>
      <c r="R823" s="5"/>
      <c r="S823" s="5">
        <f t="shared" si="45"/>
        <v>2643.2</v>
      </c>
      <c r="T823" s="1" t="s">
        <v>2887</v>
      </c>
      <c r="U823" s="1" t="s">
        <v>633</v>
      </c>
      <c r="V823" s="1" t="s">
        <v>1519</v>
      </c>
      <c r="W823" s="1">
        <v>170</v>
      </c>
      <c r="X823" s="1"/>
      <c r="Y823" s="1"/>
      <c r="Z823" s="21"/>
      <c r="AA823" s="8"/>
      <c r="AB823" s="8"/>
      <c r="AC823" s="22"/>
      <c r="AD823" s="1"/>
      <c r="AE823" s="29"/>
      <c r="AF823" s="1"/>
      <c r="AG823" s="26"/>
    </row>
    <row r="824" spans="1:33" s="206" customFormat="1" x14ac:dyDescent="0.25">
      <c r="A824" s="4"/>
      <c r="B824" s="4">
        <v>45946</v>
      </c>
      <c r="C824" s="6" t="s">
        <v>1730</v>
      </c>
      <c r="D824" s="224" t="s">
        <v>3495</v>
      </c>
      <c r="E824" s="4" t="s">
        <v>2619</v>
      </c>
      <c r="F824" s="102" t="s">
        <v>1523</v>
      </c>
      <c r="G824" s="1" t="s">
        <v>1524</v>
      </c>
      <c r="H824" s="8">
        <v>20</v>
      </c>
      <c r="I824" s="8">
        <v>20</v>
      </c>
      <c r="J824" s="115">
        <f>Table224[[#This Row],[Qty]]-Table224[[#This Row],[Issue Qty]]</f>
        <v>0</v>
      </c>
      <c r="K824" s="195"/>
      <c r="L824" s="195" t="s">
        <v>3480</v>
      </c>
      <c r="M824" s="5">
        <f>8200/20</f>
        <v>410</v>
      </c>
      <c r="N824" s="5">
        <f t="shared" si="43"/>
        <v>8200</v>
      </c>
      <c r="O824" s="82">
        <v>0.18</v>
      </c>
      <c r="P824" s="9">
        <f t="shared" si="44"/>
        <v>1476</v>
      </c>
      <c r="Q824" s="5"/>
      <c r="R824" s="5"/>
      <c r="S824" s="5">
        <f t="shared" si="45"/>
        <v>9676</v>
      </c>
      <c r="T824" s="1" t="s">
        <v>2887</v>
      </c>
      <c r="U824" s="1" t="s">
        <v>633</v>
      </c>
      <c r="V824" s="1" t="s">
        <v>1519</v>
      </c>
      <c r="W824" s="1">
        <v>170</v>
      </c>
      <c r="X824" s="1"/>
      <c r="Y824" s="1"/>
      <c r="Z824" s="21" t="s">
        <v>1358</v>
      </c>
      <c r="AA824" s="8"/>
      <c r="AB824" s="8">
        <v>20</v>
      </c>
      <c r="AC824" s="22" t="s">
        <v>3863</v>
      </c>
      <c r="AD824" s="1"/>
      <c r="AE824" s="29"/>
      <c r="AF824" s="1"/>
      <c r="AG824" s="26"/>
    </row>
    <row r="825" spans="1:33" s="24" customFormat="1" x14ac:dyDescent="0.25">
      <c r="A825" s="4"/>
      <c r="B825" s="4">
        <v>45947</v>
      </c>
      <c r="C825" s="6" t="s">
        <v>1683</v>
      </c>
      <c r="D825" s="224" t="s">
        <v>1663</v>
      </c>
      <c r="E825" s="4" t="s">
        <v>2608</v>
      </c>
      <c r="F825" s="102" t="s">
        <v>1512</v>
      </c>
      <c r="G825" s="1" t="s">
        <v>1512</v>
      </c>
      <c r="H825" s="8">
        <v>6</v>
      </c>
      <c r="I825" s="8">
        <v>0</v>
      </c>
      <c r="J825" s="115">
        <f>Table224[[#This Row],[Qty]]-Table224[[#This Row],[Issue Qty]]</f>
        <v>6</v>
      </c>
      <c r="K825" s="195"/>
      <c r="L825" s="195" t="s">
        <v>3480</v>
      </c>
      <c r="M825" s="5">
        <v>27000</v>
      </c>
      <c r="N825" s="5">
        <f t="shared" si="43"/>
        <v>162000</v>
      </c>
      <c r="O825" s="82">
        <v>0.18</v>
      </c>
      <c r="P825" s="9">
        <f t="shared" si="44"/>
        <v>29160</v>
      </c>
      <c r="Q825" s="5"/>
      <c r="R825" s="5"/>
      <c r="S825" s="5">
        <f t="shared" si="45"/>
        <v>191160</v>
      </c>
      <c r="T825" s="1" t="s">
        <v>2887</v>
      </c>
      <c r="U825" s="1" t="s">
        <v>633</v>
      </c>
      <c r="V825" s="1" t="s">
        <v>896</v>
      </c>
      <c r="W825" s="1" t="s">
        <v>2621</v>
      </c>
      <c r="X825" s="1"/>
      <c r="Y825" s="2"/>
      <c r="Z825" s="21" t="s">
        <v>398</v>
      </c>
      <c r="AA825" s="21"/>
      <c r="AB825" s="21"/>
      <c r="AC825" s="12" t="s">
        <v>3368</v>
      </c>
      <c r="AD825" s="2"/>
      <c r="AE825" s="29"/>
      <c r="AF825" s="2"/>
      <c r="AG825" s="26"/>
    </row>
    <row r="826" spans="1:33" s="206" customFormat="1" x14ac:dyDescent="0.25">
      <c r="A826" s="4"/>
      <c r="B826" s="4">
        <v>45947</v>
      </c>
      <c r="C826" s="6" t="s">
        <v>1730</v>
      </c>
      <c r="D826" s="224" t="s">
        <v>3506</v>
      </c>
      <c r="E826" s="4" t="s">
        <v>2623</v>
      </c>
      <c r="F826" s="102" t="s">
        <v>1527</v>
      </c>
      <c r="G826" s="1" t="s">
        <v>1527</v>
      </c>
      <c r="H826" s="8">
        <v>1</v>
      </c>
      <c r="I826" s="8">
        <v>1</v>
      </c>
      <c r="J826" s="115">
        <f>Table224[[#This Row],[Qty]]-Table224[[#This Row],[Issue Qty]]</f>
        <v>0</v>
      </c>
      <c r="K826" s="195"/>
      <c r="L826" s="195" t="s">
        <v>3480</v>
      </c>
      <c r="M826" s="5">
        <v>8500</v>
      </c>
      <c r="N826" s="5">
        <f t="shared" si="43"/>
        <v>8500</v>
      </c>
      <c r="O826" s="82">
        <v>0.18</v>
      </c>
      <c r="P826" s="9">
        <f t="shared" si="44"/>
        <v>1530</v>
      </c>
      <c r="Q826" s="5"/>
      <c r="R826" s="5"/>
      <c r="S826" s="5">
        <f t="shared" si="45"/>
        <v>10030</v>
      </c>
      <c r="T826" s="1" t="s">
        <v>2887</v>
      </c>
      <c r="U826" s="1" t="s">
        <v>633</v>
      </c>
      <c r="V826" s="1" t="s">
        <v>1526</v>
      </c>
      <c r="W826" s="1">
        <v>3399</v>
      </c>
      <c r="X826" s="1"/>
      <c r="Y826" s="1"/>
      <c r="Z826" s="21" t="s">
        <v>3179</v>
      </c>
      <c r="AA826" s="8"/>
      <c r="AB826" s="8"/>
      <c r="AC826" s="22"/>
      <c r="AD826" s="1"/>
      <c r="AE826" s="29"/>
      <c r="AF826" s="1"/>
      <c r="AG826" s="2"/>
    </row>
    <row r="827" spans="1:33" s="206" customFormat="1" x14ac:dyDescent="0.25">
      <c r="A827" s="4"/>
      <c r="B827" s="4">
        <v>45947</v>
      </c>
      <c r="C827" s="6" t="s">
        <v>1730</v>
      </c>
      <c r="D827" s="224" t="s">
        <v>3506</v>
      </c>
      <c r="E827" s="4" t="s">
        <v>2622</v>
      </c>
      <c r="F827" s="232" t="s">
        <v>1525</v>
      </c>
      <c r="G827" s="1" t="s">
        <v>1525</v>
      </c>
      <c r="H827" s="8">
        <v>1</v>
      </c>
      <c r="I827" s="8">
        <v>1</v>
      </c>
      <c r="J827" s="115">
        <f>Table224[[#This Row],[Qty]]-Table224[[#This Row],[Issue Qty]]</f>
        <v>0</v>
      </c>
      <c r="K827" s="195"/>
      <c r="L827" s="195" t="s">
        <v>3480</v>
      </c>
      <c r="M827" s="5">
        <v>8500</v>
      </c>
      <c r="N827" s="5">
        <f t="shared" si="43"/>
        <v>8500</v>
      </c>
      <c r="O827" s="82">
        <v>0.18</v>
      </c>
      <c r="P827" s="9">
        <f t="shared" si="44"/>
        <v>1530</v>
      </c>
      <c r="Q827" s="5"/>
      <c r="R827" s="5"/>
      <c r="S827" s="5">
        <f t="shared" si="45"/>
        <v>10030</v>
      </c>
      <c r="T827" s="1" t="s">
        <v>2887</v>
      </c>
      <c r="U827" s="1" t="s">
        <v>633</v>
      </c>
      <c r="V827" s="1" t="s">
        <v>1526</v>
      </c>
      <c r="W827" s="1">
        <v>3399</v>
      </c>
      <c r="X827" s="1"/>
      <c r="Y827" s="1"/>
      <c r="Z827" s="21" t="s">
        <v>3179</v>
      </c>
      <c r="AA827" s="8"/>
      <c r="AB827" s="8">
        <v>1</v>
      </c>
      <c r="AC827" s="22" t="s">
        <v>1469</v>
      </c>
      <c r="AD827" s="1"/>
      <c r="AE827" s="29"/>
      <c r="AF827" s="1"/>
      <c r="AG827" s="2"/>
    </row>
    <row r="828" spans="1:33" s="206" customFormat="1" x14ac:dyDescent="0.25">
      <c r="A828" s="4"/>
      <c r="B828" s="4">
        <v>45947</v>
      </c>
      <c r="C828" s="1" t="s">
        <v>54</v>
      </c>
      <c r="D828" s="224" t="s">
        <v>3494</v>
      </c>
      <c r="E828" s="4" t="s">
        <v>2603</v>
      </c>
      <c r="F828" s="236" t="s">
        <v>1506</v>
      </c>
      <c r="G828" s="1" t="s">
        <v>1506</v>
      </c>
      <c r="H828" s="8">
        <v>1</v>
      </c>
      <c r="I828" s="8">
        <v>1</v>
      </c>
      <c r="J828" s="115">
        <f>Table224[[#This Row],[Qty]]-Table224[[#This Row],[Issue Qty]]</f>
        <v>0</v>
      </c>
      <c r="K828" s="332">
        <v>1</v>
      </c>
      <c r="L828" s="195" t="s">
        <v>3480</v>
      </c>
      <c r="M828" s="5">
        <v>3332.5</v>
      </c>
      <c r="N828" s="5">
        <f t="shared" si="43"/>
        <v>3332.5</v>
      </c>
      <c r="O828" s="82">
        <v>0.18</v>
      </c>
      <c r="P828" s="9">
        <f t="shared" si="44"/>
        <v>599.85</v>
      </c>
      <c r="Q828" s="5"/>
      <c r="R828" s="5"/>
      <c r="S828" s="5">
        <f t="shared" si="45"/>
        <v>3932.35</v>
      </c>
      <c r="T828" s="1" t="s">
        <v>2887</v>
      </c>
      <c r="U828" s="1" t="s">
        <v>633</v>
      </c>
      <c r="V828" s="1" t="s">
        <v>358</v>
      </c>
      <c r="W828" s="1" t="s">
        <v>2620</v>
      </c>
      <c r="X828" s="1"/>
      <c r="Y828" s="1"/>
      <c r="Z828" s="21"/>
      <c r="AA828" s="8"/>
      <c r="AB828" s="8">
        <v>1</v>
      </c>
      <c r="AC828" s="22" t="s">
        <v>736</v>
      </c>
      <c r="AD828" s="1"/>
      <c r="AE828" s="29"/>
      <c r="AF828" s="1"/>
      <c r="AG828" s="26"/>
    </row>
    <row r="829" spans="1:33" s="206" customFormat="1" x14ac:dyDescent="0.25">
      <c r="A829" s="4"/>
      <c r="B829" s="4">
        <v>45947</v>
      </c>
      <c r="C829" s="1" t="s">
        <v>54</v>
      </c>
      <c r="D829" s="224" t="s">
        <v>3494</v>
      </c>
      <c r="E829" s="4" t="s">
        <v>2604</v>
      </c>
      <c r="F829" s="236" t="s">
        <v>1507</v>
      </c>
      <c r="G829" s="1" t="s">
        <v>1507</v>
      </c>
      <c r="H829" s="35">
        <v>1</v>
      </c>
      <c r="I829" s="8">
        <v>1</v>
      </c>
      <c r="J829" s="115">
        <f>Table224[[#This Row],[Qty]]-Table224[[#This Row],[Issue Qty]]</f>
        <v>0</v>
      </c>
      <c r="K829" s="332">
        <v>1</v>
      </c>
      <c r="L829" s="195" t="s">
        <v>3480</v>
      </c>
      <c r="M829" s="5">
        <v>6398.4</v>
      </c>
      <c r="N829" s="5">
        <f t="shared" si="43"/>
        <v>6398.4</v>
      </c>
      <c r="O829" s="82">
        <v>0.18</v>
      </c>
      <c r="P829" s="9">
        <f t="shared" si="44"/>
        <v>1151.712</v>
      </c>
      <c r="Q829" s="5"/>
      <c r="R829" s="5"/>
      <c r="S829" s="5">
        <f t="shared" si="45"/>
        <v>7550.1119999999992</v>
      </c>
      <c r="T829" s="1" t="s">
        <v>2887</v>
      </c>
      <c r="U829" s="1" t="s">
        <v>633</v>
      </c>
      <c r="V829" s="1" t="s">
        <v>358</v>
      </c>
      <c r="W829" s="1" t="s">
        <v>2620</v>
      </c>
      <c r="X829" s="1"/>
      <c r="Y829" s="1"/>
      <c r="Z829" s="21"/>
      <c r="AA829" s="8"/>
      <c r="AB829" s="35">
        <v>1</v>
      </c>
      <c r="AC829" s="42" t="s">
        <v>3586</v>
      </c>
      <c r="AD829" s="1"/>
      <c r="AE829" s="29"/>
      <c r="AF829" s="1"/>
      <c r="AG829" s="26"/>
    </row>
    <row r="830" spans="1:33" s="206" customFormat="1" x14ac:dyDescent="0.25">
      <c r="A830" s="4"/>
      <c r="B830" s="4">
        <v>45955</v>
      </c>
      <c r="C830" s="1" t="s">
        <v>54</v>
      </c>
      <c r="D830" s="224" t="s">
        <v>3596</v>
      </c>
      <c r="E830" s="4" t="s">
        <v>2559</v>
      </c>
      <c r="F830" s="236" t="s">
        <v>3015</v>
      </c>
      <c r="G830" s="1" t="s">
        <v>1528</v>
      </c>
      <c r="H830" s="8">
        <v>4</v>
      </c>
      <c r="I830" s="8">
        <v>3</v>
      </c>
      <c r="J830" s="115">
        <f>Table224[[#This Row],[Qty]]-Table224[[#This Row],[Issue Qty]]</f>
        <v>1</v>
      </c>
      <c r="K830" s="332">
        <v>1</v>
      </c>
      <c r="L830" s="195" t="s">
        <v>3480</v>
      </c>
      <c r="M830" s="5">
        <v>150</v>
      </c>
      <c r="N830" s="5">
        <f t="shared" si="43"/>
        <v>600</v>
      </c>
      <c r="O830" s="82">
        <v>0.18</v>
      </c>
      <c r="P830" s="9">
        <f t="shared" si="44"/>
        <v>108</v>
      </c>
      <c r="Q830" s="5"/>
      <c r="R830" s="5"/>
      <c r="S830" s="5">
        <f t="shared" si="45"/>
        <v>708</v>
      </c>
      <c r="T830" s="1" t="s">
        <v>2887</v>
      </c>
      <c r="U830" s="1" t="s">
        <v>633</v>
      </c>
      <c r="V830" s="1" t="s">
        <v>764</v>
      </c>
      <c r="W830" s="1" t="s">
        <v>2624</v>
      </c>
      <c r="X830" s="1"/>
      <c r="Y830" s="1"/>
      <c r="Z830" s="21" t="s">
        <v>3349</v>
      </c>
      <c r="AA830" s="8"/>
      <c r="AB830" s="8">
        <v>4</v>
      </c>
      <c r="AC830" s="22" t="s">
        <v>3777</v>
      </c>
      <c r="AD830" s="1"/>
      <c r="AE830" s="29"/>
      <c r="AF830" s="1" t="s">
        <v>1637</v>
      </c>
      <c r="AG830" s="2"/>
    </row>
    <row r="831" spans="1:33" s="24" customFormat="1" x14ac:dyDescent="0.25">
      <c r="A831" s="4"/>
      <c r="B831" s="4">
        <v>45955</v>
      </c>
      <c r="C831" s="1" t="s">
        <v>54</v>
      </c>
      <c r="D831" s="224" t="s">
        <v>3596</v>
      </c>
      <c r="E831" s="4" t="s">
        <v>2628</v>
      </c>
      <c r="F831" s="236" t="s">
        <v>1531</v>
      </c>
      <c r="G831" s="1" t="s">
        <v>1532</v>
      </c>
      <c r="H831" s="8">
        <v>4</v>
      </c>
      <c r="I831" s="8">
        <v>4</v>
      </c>
      <c r="J831" s="115">
        <f>Table224[[#This Row],[Qty]]-Table224[[#This Row],[Issue Qty]]</f>
        <v>0</v>
      </c>
      <c r="K831" s="332">
        <v>4</v>
      </c>
      <c r="L831" s="195" t="s">
        <v>3480</v>
      </c>
      <c r="M831" s="5">
        <v>3700</v>
      </c>
      <c r="N831" s="5">
        <f t="shared" si="43"/>
        <v>14800</v>
      </c>
      <c r="O831" s="82">
        <v>0.18</v>
      </c>
      <c r="P831" s="9">
        <f t="shared" si="44"/>
        <v>2664</v>
      </c>
      <c r="Q831" s="5"/>
      <c r="R831" s="5"/>
      <c r="S831" s="5">
        <f t="shared" si="45"/>
        <v>17464</v>
      </c>
      <c r="T831" s="1" t="s">
        <v>2887</v>
      </c>
      <c r="U831" s="1" t="s">
        <v>633</v>
      </c>
      <c r="V831" s="1" t="s">
        <v>764</v>
      </c>
      <c r="W831" s="1" t="s">
        <v>2625</v>
      </c>
      <c r="X831" s="1"/>
      <c r="Y831" s="1"/>
      <c r="Z831" s="21"/>
      <c r="AA831" s="8"/>
      <c r="AB831" s="8">
        <v>4</v>
      </c>
      <c r="AC831" s="22" t="s">
        <v>3389</v>
      </c>
      <c r="AD831" s="1"/>
      <c r="AE831" s="29"/>
      <c r="AF831" s="1"/>
      <c r="AG831" s="2"/>
    </row>
    <row r="832" spans="1:33" s="24" customFormat="1" x14ac:dyDescent="0.25">
      <c r="A832" s="4"/>
      <c r="B832" s="4">
        <v>45955</v>
      </c>
      <c r="C832" s="1" t="s">
        <v>54</v>
      </c>
      <c r="D832" s="224" t="s">
        <v>3596</v>
      </c>
      <c r="E832" s="4" t="s">
        <v>2629</v>
      </c>
      <c r="F832" s="236" t="s">
        <v>1533</v>
      </c>
      <c r="G832" s="1" t="s">
        <v>1534</v>
      </c>
      <c r="H832" s="8">
        <v>4</v>
      </c>
      <c r="I832" s="8">
        <v>4</v>
      </c>
      <c r="J832" s="115">
        <f>Table224[[#This Row],[Qty]]-Table224[[#This Row],[Issue Qty]]</f>
        <v>0</v>
      </c>
      <c r="K832" s="332">
        <v>4</v>
      </c>
      <c r="L832" s="195" t="s">
        <v>3480</v>
      </c>
      <c r="M832" s="5">
        <v>3700</v>
      </c>
      <c r="N832" s="5">
        <f t="shared" si="43"/>
        <v>14800</v>
      </c>
      <c r="O832" s="82">
        <v>0.18</v>
      </c>
      <c r="P832" s="9">
        <f t="shared" si="44"/>
        <v>2664</v>
      </c>
      <c r="Q832" s="5"/>
      <c r="R832" s="5"/>
      <c r="S832" s="5">
        <f t="shared" si="45"/>
        <v>17464</v>
      </c>
      <c r="T832" s="1" t="s">
        <v>2887</v>
      </c>
      <c r="U832" s="1" t="s">
        <v>633</v>
      </c>
      <c r="V832" s="1" t="s">
        <v>764</v>
      </c>
      <c r="W832" s="1" t="s">
        <v>2625</v>
      </c>
      <c r="X832" s="1"/>
      <c r="Y832" s="1"/>
      <c r="Z832" s="21"/>
      <c r="AA832" s="8"/>
      <c r="AB832" s="8">
        <v>4</v>
      </c>
      <c r="AC832" s="22" t="s">
        <v>3390</v>
      </c>
      <c r="AD832" s="1"/>
      <c r="AE832" s="29"/>
      <c r="AF832" s="1"/>
      <c r="AG832" s="2"/>
    </row>
    <row r="833" spans="1:33" s="24" customFormat="1" x14ac:dyDescent="0.25">
      <c r="A833" s="4"/>
      <c r="B833" s="4">
        <v>45955</v>
      </c>
      <c r="C833" s="6" t="s">
        <v>1730</v>
      </c>
      <c r="D833" s="224" t="s">
        <v>3506</v>
      </c>
      <c r="E833" s="4" t="s">
        <v>2631</v>
      </c>
      <c r="F833" s="102" t="s">
        <v>1536</v>
      </c>
      <c r="G833" s="1" t="s">
        <v>1536</v>
      </c>
      <c r="H833" s="8">
        <v>1</v>
      </c>
      <c r="I833" s="8">
        <v>1</v>
      </c>
      <c r="J833" s="115">
        <f>Table224[[#This Row],[Qty]]-Table224[[#This Row],[Issue Qty]]</f>
        <v>0</v>
      </c>
      <c r="K833" s="195"/>
      <c r="L833" s="195" t="s">
        <v>3480</v>
      </c>
      <c r="M833" s="5">
        <v>9500</v>
      </c>
      <c r="N833" s="5">
        <f t="shared" si="43"/>
        <v>9500</v>
      </c>
      <c r="O833" s="82">
        <v>0.18</v>
      </c>
      <c r="P833" s="9">
        <f t="shared" si="44"/>
        <v>1710</v>
      </c>
      <c r="Q833" s="5"/>
      <c r="R833" s="5"/>
      <c r="S833" s="5">
        <f t="shared" si="45"/>
        <v>11210</v>
      </c>
      <c r="T833" s="1" t="s">
        <v>2887</v>
      </c>
      <c r="U833" s="1" t="s">
        <v>633</v>
      </c>
      <c r="V833" s="1" t="s">
        <v>1526</v>
      </c>
      <c r="W833" s="1">
        <v>3404</v>
      </c>
      <c r="X833" s="1"/>
      <c r="Y833" s="1"/>
      <c r="Z833" s="21" t="s">
        <v>3179</v>
      </c>
      <c r="AA833" s="8"/>
      <c r="AB833" s="8"/>
      <c r="AC833" s="22"/>
      <c r="AD833" s="1"/>
      <c r="AE833" s="29"/>
      <c r="AF833" s="1"/>
      <c r="AG833" s="2"/>
    </row>
    <row r="834" spans="1:33" s="24" customFormat="1" x14ac:dyDescent="0.25">
      <c r="A834" s="4"/>
      <c r="B834" s="4">
        <v>45955</v>
      </c>
      <c r="C834" s="6" t="s">
        <v>1730</v>
      </c>
      <c r="D834" s="224" t="s">
        <v>3506</v>
      </c>
      <c r="E834" s="4" t="s">
        <v>2630</v>
      </c>
      <c r="F834" s="102" t="s">
        <v>1535</v>
      </c>
      <c r="G834" s="1" t="s">
        <v>1535</v>
      </c>
      <c r="H834" s="8">
        <v>1</v>
      </c>
      <c r="I834" s="8">
        <v>1</v>
      </c>
      <c r="J834" s="115">
        <f>Table224[[#This Row],[Qty]]-Table224[[#This Row],[Issue Qty]]</f>
        <v>0</v>
      </c>
      <c r="K834" s="195"/>
      <c r="L834" s="195" t="s">
        <v>3480</v>
      </c>
      <c r="M834" s="5">
        <v>9500</v>
      </c>
      <c r="N834" s="5">
        <f t="shared" si="43"/>
        <v>9500</v>
      </c>
      <c r="O834" s="82">
        <v>0.18</v>
      </c>
      <c r="P834" s="9">
        <f t="shared" si="44"/>
        <v>1710</v>
      </c>
      <c r="Q834" s="5"/>
      <c r="R834" s="5"/>
      <c r="S834" s="5">
        <f t="shared" si="45"/>
        <v>11210</v>
      </c>
      <c r="T834" s="1" t="s">
        <v>2887</v>
      </c>
      <c r="U834" s="1" t="s">
        <v>633</v>
      </c>
      <c r="V834" s="1" t="s">
        <v>1526</v>
      </c>
      <c r="W834" s="1">
        <v>3404</v>
      </c>
      <c r="X834" s="1"/>
      <c r="Y834" s="1"/>
      <c r="Z834" s="21" t="s">
        <v>3179</v>
      </c>
      <c r="AA834" s="8"/>
      <c r="AB834" s="8"/>
      <c r="AC834" s="22"/>
      <c r="AD834" s="1"/>
      <c r="AE834" s="29"/>
      <c r="AF834" s="1"/>
      <c r="AG834" s="2"/>
    </row>
    <row r="835" spans="1:33" s="24" customFormat="1" x14ac:dyDescent="0.25">
      <c r="A835" s="4"/>
      <c r="B835" s="4">
        <v>45955</v>
      </c>
      <c r="C835" s="1" t="s">
        <v>54</v>
      </c>
      <c r="D835" s="224" t="s">
        <v>3596</v>
      </c>
      <c r="E835" s="4" t="s">
        <v>2596</v>
      </c>
      <c r="F835" s="236" t="s">
        <v>1500</v>
      </c>
      <c r="G835" s="1" t="s">
        <v>1500</v>
      </c>
      <c r="H835" s="8">
        <v>4</v>
      </c>
      <c r="I835" s="8">
        <v>3</v>
      </c>
      <c r="J835" s="115">
        <f>Table224[[#This Row],[Qty]]-Table224[[#This Row],[Issue Qty]]</f>
        <v>1</v>
      </c>
      <c r="K835" s="332">
        <v>1</v>
      </c>
      <c r="L835" s="195" t="s">
        <v>3480</v>
      </c>
      <c r="M835" s="5">
        <v>4400</v>
      </c>
      <c r="N835" s="5">
        <f t="shared" si="43"/>
        <v>17600</v>
      </c>
      <c r="O835" s="82">
        <v>0.18</v>
      </c>
      <c r="P835" s="9">
        <f t="shared" si="44"/>
        <v>3168</v>
      </c>
      <c r="Q835" s="5"/>
      <c r="R835" s="5"/>
      <c r="S835" s="5">
        <f t="shared" si="45"/>
        <v>20768</v>
      </c>
      <c r="T835" s="1" t="s">
        <v>2887</v>
      </c>
      <c r="U835" s="1" t="s">
        <v>633</v>
      </c>
      <c r="V835" s="1" t="s">
        <v>764</v>
      </c>
      <c r="W835" s="1" t="s">
        <v>2627</v>
      </c>
      <c r="X835" s="1"/>
      <c r="Y835" s="1"/>
      <c r="Z835" s="21" t="s">
        <v>268</v>
      </c>
      <c r="AA835" s="8"/>
      <c r="AB835" s="8"/>
      <c r="AC835" s="22" t="s">
        <v>3720</v>
      </c>
      <c r="AD835" s="1" t="s">
        <v>3721</v>
      </c>
      <c r="AE835" s="29"/>
      <c r="AF835" s="1"/>
      <c r="AG835" s="2"/>
    </row>
    <row r="836" spans="1:33" s="206" customFormat="1" x14ac:dyDescent="0.25">
      <c r="A836" s="4"/>
      <c r="B836" s="4">
        <v>45955</v>
      </c>
      <c r="C836" s="1" t="s">
        <v>54</v>
      </c>
      <c r="D836" s="224" t="s">
        <v>3596</v>
      </c>
      <c r="E836" s="4" t="s">
        <v>2598</v>
      </c>
      <c r="F836" s="236" t="s">
        <v>1501</v>
      </c>
      <c r="G836" s="1" t="s">
        <v>1501</v>
      </c>
      <c r="H836" s="8">
        <v>4</v>
      </c>
      <c r="I836" s="8">
        <v>4</v>
      </c>
      <c r="J836" s="115">
        <f>Table224[[#This Row],[Qty]]-Table224[[#This Row],[Issue Qty]]</f>
        <v>0</v>
      </c>
      <c r="K836" s="332">
        <v>4</v>
      </c>
      <c r="L836" s="195" t="s">
        <v>3480</v>
      </c>
      <c r="M836" s="5">
        <v>4250</v>
      </c>
      <c r="N836" s="5">
        <f t="shared" si="43"/>
        <v>17000</v>
      </c>
      <c r="O836" s="82">
        <v>0.18</v>
      </c>
      <c r="P836" s="9">
        <f t="shared" si="44"/>
        <v>3060</v>
      </c>
      <c r="Q836" s="5"/>
      <c r="R836" s="5"/>
      <c r="S836" s="5">
        <f t="shared" si="45"/>
        <v>20060</v>
      </c>
      <c r="T836" s="1" t="s">
        <v>2887</v>
      </c>
      <c r="U836" s="1" t="s">
        <v>633</v>
      </c>
      <c r="V836" s="1" t="s">
        <v>764</v>
      </c>
      <c r="W836" s="1" t="s">
        <v>2627</v>
      </c>
      <c r="X836" s="1"/>
      <c r="Y836" s="1"/>
      <c r="Z836" s="21" t="s">
        <v>268</v>
      </c>
      <c r="AA836" s="8"/>
      <c r="AB836" s="8"/>
      <c r="AC836" s="342" t="s">
        <v>3720</v>
      </c>
      <c r="AD836" s="1" t="s">
        <v>3721</v>
      </c>
      <c r="AE836" s="29"/>
      <c r="AF836" s="1"/>
      <c r="AG836" s="2"/>
    </row>
    <row r="837" spans="1:33" s="24" customFormat="1" x14ac:dyDescent="0.25">
      <c r="A837" s="4"/>
      <c r="B837" s="4">
        <v>45955</v>
      </c>
      <c r="C837" s="1" t="s">
        <v>54</v>
      </c>
      <c r="D837" s="224" t="s">
        <v>3489</v>
      </c>
      <c r="E837" s="4" t="s">
        <v>2616</v>
      </c>
      <c r="F837" s="236" t="s">
        <v>1518</v>
      </c>
      <c r="G837" s="1" t="s">
        <v>1518</v>
      </c>
      <c r="H837" s="8">
        <v>2</v>
      </c>
      <c r="I837" s="8">
        <v>2</v>
      </c>
      <c r="J837" s="115">
        <f>Table224[[#This Row],[Qty]]-Table224[[#This Row],[Issue Qty]]</f>
        <v>0</v>
      </c>
      <c r="K837" s="332">
        <v>2</v>
      </c>
      <c r="L837" s="195" t="s">
        <v>3480</v>
      </c>
      <c r="M837" s="5">
        <v>4500</v>
      </c>
      <c r="N837" s="5">
        <f t="shared" si="43"/>
        <v>9000</v>
      </c>
      <c r="O837" s="82">
        <v>0.18</v>
      </c>
      <c r="P837" s="9">
        <f t="shared" si="44"/>
        <v>1620</v>
      </c>
      <c r="Q837" s="5"/>
      <c r="R837" s="5"/>
      <c r="S837" s="5">
        <f t="shared" si="45"/>
        <v>10620</v>
      </c>
      <c r="T837" s="1" t="s">
        <v>2887</v>
      </c>
      <c r="U837" s="1" t="s">
        <v>633</v>
      </c>
      <c r="V837" s="1" t="s">
        <v>764</v>
      </c>
      <c r="W837" s="1" t="s">
        <v>2627</v>
      </c>
      <c r="X837" s="1"/>
      <c r="Y837" s="1"/>
      <c r="Z837" s="21"/>
      <c r="AA837" s="8"/>
      <c r="AB837" s="8">
        <v>2</v>
      </c>
      <c r="AC837" s="22" t="s">
        <v>3649</v>
      </c>
      <c r="AD837" s="1"/>
      <c r="AE837" s="29"/>
      <c r="AF837" s="1"/>
      <c r="AG837" s="2"/>
    </row>
    <row r="838" spans="1:33" s="24" customFormat="1" x14ac:dyDescent="0.25">
      <c r="A838" s="4"/>
      <c r="B838" s="4">
        <v>45955</v>
      </c>
      <c r="C838" s="1" t="s">
        <v>54</v>
      </c>
      <c r="D838" s="224" t="s">
        <v>3494</v>
      </c>
      <c r="E838" s="4" t="s">
        <v>2603</v>
      </c>
      <c r="F838" s="236" t="s">
        <v>1506</v>
      </c>
      <c r="G838" s="1" t="s">
        <v>1506</v>
      </c>
      <c r="H838" s="8">
        <v>1</v>
      </c>
      <c r="I838" s="8">
        <v>1</v>
      </c>
      <c r="J838" s="115">
        <f>Table224[[#This Row],[Qty]]-Table224[[#This Row],[Issue Qty]]</f>
        <v>0</v>
      </c>
      <c r="K838" s="332">
        <v>1</v>
      </c>
      <c r="L838" s="195" t="s">
        <v>3480</v>
      </c>
      <c r="M838" s="5">
        <v>3423</v>
      </c>
      <c r="N838" s="5">
        <f t="shared" si="43"/>
        <v>3423</v>
      </c>
      <c r="O838" s="82">
        <v>0.18</v>
      </c>
      <c r="P838" s="9">
        <f t="shared" si="44"/>
        <v>616.14</v>
      </c>
      <c r="Q838" s="5"/>
      <c r="R838" s="5"/>
      <c r="S838" s="5">
        <f t="shared" si="45"/>
        <v>4039.14</v>
      </c>
      <c r="T838" s="1" t="s">
        <v>2887</v>
      </c>
      <c r="U838" s="1" t="s">
        <v>633</v>
      </c>
      <c r="V838" s="1" t="s">
        <v>358</v>
      </c>
      <c r="W838" s="1" t="s">
        <v>2626</v>
      </c>
      <c r="X838" s="1"/>
      <c r="Y838" s="1"/>
      <c r="Z838" s="21"/>
      <c r="AA838" s="8"/>
      <c r="AB838" s="8">
        <v>1</v>
      </c>
      <c r="AC838" s="22" t="s">
        <v>736</v>
      </c>
      <c r="AD838" s="1"/>
      <c r="AE838" s="29"/>
      <c r="AF838" s="1"/>
      <c r="AG838" s="26"/>
    </row>
    <row r="839" spans="1:33" s="24" customFormat="1" x14ac:dyDescent="0.25">
      <c r="A839" s="4"/>
      <c r="B839" s="4">
        <v>45955</v>
      </c>
      <c r="C839" s="1" t="s">
        <v>54</v>
      </c>
      <c r="D839" s="224" t="s">
        <v>3494</v>
      </c>
      <c r="E839" s="4" t="s">
        <v>2632</v>
      </c>
      <c r="F839" s="102" t="s">
        <v>1537</v>
      </c>
      <c r="G839" s="1" t="s">
        <v>1537</v>
      </c>
      <c r="H839" s="8">
        <v>1</v>
      </c>
      <c r="I839" s="8"/>
      <c r="J839" s="115">
        <f>Table224[[#This Row],[Qty]]-Table224[[#This Row],[Issue Qty]]</f>
        <v>1</v>
      </c>
      <c r="K839" s="195"/>
      <c r="L839" s="195" t="s">
        <v>3480</v>
      </c>
      <c r="M839" s="5">
        <v>524</v>
      </c>
      <c r="N839" s="5">
        <f t="shared" si="43"/>
        <v>524</v>
      </c>
      <c r="O839" s="82">
        <v>0.18</v>
      </c>
      <c r="P839" s="9">
        <f t="shared" si="44"/>
        <v>94.32</v>
      </c>
      <c r="Q839" s="5"/>
      <c r="R839" s="5"/>
      <c r="S839" s="5">
        <f t="shared" si="45"/>
        <v>618.31999999999994</v>
      </c>
      <c r="T839" s="1" t="s">
        <v>2887</v>
      </c>
      <c r="U839" s="1" t="s">
        <v>633</v>
      </c>
      <c r="V839" s="1" t="s">
        <v>358</v>
      </c>
      <c r="W839" s="1" t="s">
        <v>2626</v>
      </c>
      <c r="X839" s="1"/>
      <c r="Y839" s="1"/>
      <c r="Z839" s="21"/>
      <c r="AA839" s="8"/>
      <c r="AB839" s="8">
        <v>1</v>
      </c>
      <c r="AC839" s="22" t="s">
        <v>736</v>
      </c>
      <c r="AD839" s="1"/>
      <c r="AE839" s="29"/>
      <c r="AF839" s="1"/>
      <c r="AG839" s="2"/>
    </row>
    <row r="840" spans="1:33" s="24" customFormat="1" x14ac:dyDescent="0.25">
      <c r="A840" s="4"/>
      <c r="B840" s="4">
        <v>45955</v>
      </c>
      <c r="C840" s="1" t="s">
        <v>54</v>
      </c>
      <c r="D840" s="224" t="s">
        <v>3494</v>
      </c>
      <c r="E840" s="4" t="s">
        <v>2605</v>
      </c>
      <c r="F840" s="102" t="s">
        <v>1508</v>
      </c>
      <c r="G840" s="1" t="s">
        <v>1508</v>
      </c>
      <c r="H840" s="8">
        <v>2</v>
      </c>
      <c r="I840" s="8">
        <v>2</v>
      </c>
      <c r="J840" s="115">
        <f>Table224[[#This Row],[Qty]]-Table224[[#This Row],[Issue Qty]]</f>
        <v>0</v>
      </c>
      <c r="K840" s="195"/>
      <c r="L840" s="195" t="s">
        <v>3480</v>
      </c>
      <c r="M840" s="5">
        <v>144</v>
      </c>
      <c r="N840" s="5">
        <f t="shared" si="43"/>
        <v>288</v>
      </c>
      <c r="O840" s="82">
        <v>0.18</v>
      </c>
      <c r="P840" s="9">
        <f t="shared" si="44"/>
        <v>51.839999999999996</v>
      </c>
      <c r="Q840" s="5"/>
      <c r="R840" s="5"/>
      <c r="S840" s="5">
        <f t="shared" si="45"/>
        <v>339.84</v>
      </c>
      <c r="T840" s="1" t="s">
        <v>2887</v>
      </c>
      <c r="U840" s="1" t="s">
        <v>633</v>
      </c>
      <c r="V840" s="1" t="s">
        <v>358</v>
      </c>
      <c r="W840" s="1" t="s">
        <v>2626</v>
      </c>
      <c r="X840" s="1"/>
      <c r="Y840" s="1"/>
      <c r="Z840" s="21" t="s">
        <v>3349</v>
      </c>
      <c r="AA840" s="8"/>
      <c r="AB840" s="8">
        <v>2</v>
      </c>
      <c r="AC840" s="22" t="s">
        <v>3712</v>
      </c>
      <c r="AD840" s="1"/>
      <c r="AE840" s="29"/>
      <c r="AF840" s="1"/>
      <c r="AG840" s="2"/>
    </row>
    <row r="841" spans="1:33" s="24" customFormat="1" x14ac:dyDescent="0.25">
      <c r="A841" s="4"/>
      <c r="B841" s="4">
        <v>45955</v>
      </c>
      <c r="C841" s="1" t="s">
        <v>54</v>
      </c>
      <c r="D841" s="224" t="s">
        <v>3494</v>
      </c>
      <c r="E841" s="4" t="s">
        <v>2601</v>
      </c>
      <c r="F841" s="102" t="s">
        <v>1505</v>
      </c>
      <c r="G841" s="1" t="s">
        <v>1505</v>
      </c>
      <c r="H841" s="8">
        <v>4</v>
      </c>
      <c r="I841" s="8">
        <v>4</v>
      </c>
      <c r="J841" s="115">
        <f>Table224[[#This Row],[Qty]]-Table224[[#This Row],[Issue Qty]]</f>
        <v>0</v>
      </c>
      <c r="K841" s="195"/>
      <c r="L841" s="195" t="s">
        <v>3480</v>
      </c>
      <c r="M841" s="5">
        <v>100</v>
      </c>
      <c r="N841" s="5">
        <f t="shared" si="43"/>
        <v>400</v>
      </c>
      <c r="O841" s="82">
        <v>0.18</v>
      </c>
      <c r="P841" s="9">
        <f t="shared" si="44"/>
        <v>72</v>
      </c>
      <c r="Q841" s="5"/>
      <c r="R841" s="5"/>
      <c r="S841" s="5">
        <f t="shared" si="45"/>
        <v>472</v>
      </c>
      <c r="T841" s="1" t="s">
        <v>2887</v>
      </c>
      <c r="U841" s="1" t="s">
        <v>633</v>
      </c>
      <c r="V841" s="1" t="s">
        <v>358</v>
      </c>
      <c r="W841" s="1" t="s">
        <v>2626</v>
      </c>
      <c r="X841" s="1"/>
      <c r="Y841" s="1"/>
      <c r="Z841" s="21" t="s">
        <v>3349</v>
      </c>
      <c r="AA841" s="8"/>
      <c r="AB841" s="8">
        <v>4</v>
      </c>
      <c r="AC841" s="22" t="s">
        <v>3712</v>
      </c>
      <c r="AD841" s="1"/>
      <c r="AE841" s="29"/>
      <c r="AF841" s="1"/>
      <c r="AG841" s="2"/>
    </row>
    <row r="842" spans="1:33" s="24" customFormat="1" x14ac:dyDescent="0.25">
      <c r="A842" s="4"/>
      <c r="B842" s="4">
        <v>45955</v>
      </c>
      <c r="C842" s="1" t="s">
        <v>54</v>
      </c>
      <c r="D842" s="224" t="s">
        <v>3494</v>
      </c>
      <c r="E842" s="4" t="s">
        <v>2606</v>
      </c>
      <c r="F842" s="102" t="s">
        <v>1509</v>
      </c>
      <c r="G842" s="1" t="s">
        <v>1509</v>
      </c>
      <c r="H842" s="8">
        <v>2</v>
      </c>
      <c r="I842" s="8">
        <v>2</v>
      </c>
      <c r="J842" s="115">
        <f>Table224[[#This Row],[Qty]]-Table224[[#This Row],[Issue Qty]]</f>
        <v>0</v>
      </c>
      <c r="K842" s="195"/>
      <c r="L842" s="195" t="s">
        <v>3480</v>
      </c>
      <c r="M842" s="5">
        <v>260</v>
      </c>
      <c r="N842" s="5">
        <f t="shared" si="43"/>
        <v>520</v>
      </c>
      <c r="O842" s="82">
        <v>0.18</v>
      </c>
      <c r="P842" s="9">
        <f t="shared" si="44"/>
        <v>93.6</v>
      </c>
      <c r="Q842" s="5"/>
      <c r="R842" s="5"/>
      <c r="S842" s="5">
        <f t="shared" si="45"/>
        <v>613.6</v>
      </c>
      <c r="T842" s="1" t="s">
        <v>2887</v>
      </c>
      <c r="U842" s="1" t="s">
        <v>633</v>
      </c>
      <c r="V842" s="1" t="s">
        <v>358</v>
      </c>
      <c r="W842" s="1" t="s">
        <v>2626</v>
      </c>
      <c r="X842" s="1"/>
      <c r="Y842" s="1"/>
      <c r="Z842" s="21" t="s">
        <v>3011</v>
      </c>
      <c r="AA842" s="8"/>
      <c r="AB842" s="8"/>
      <c r="AC842" s="22"/>
      <c r="AD842" s="1"/>
      <c r="AE842" s="29"/>
      <c r="AF842" s="1"/>
      <c r="AG842" s="2"/>
    </row>
    <row r="843" spans="1:33" s="24" customFormat="1" x14ac:dyDescent="0.25">
      <c r="A843" s="4"/>
      <c r="B843" s="4">
        <v>45955</v>
      </c>
      <c r="C843" s="1" t="s">
        <v>54</v>
      </c>
      <c r="D843" s="224" t="s">
        <v>3494</v>
      </c>
      <c r="E843" s="4" t="s">
        <v>2604</v>
      </c>
      <c r="F843" s="236" t="s">
        <v>1507</v>
      </c>
      <c r="G843" s="1" t="s">
        <v>1507</v>
      </c>
      <c r="H843" s="35">
        <v>1</v>
      </c>
      <c r="I843" s="8">
        <v>1</v>
      </c>
      <c r="J843" s="115">
        <f>Table224[[#This Row],[Qty]]-Table224[[#This Row],[Issue Qty]]</f>
        <v>0</v>
      </c>
      <c r="K843" s="332">
        <v>1</v>
      </c>
      <c r="L843" s="195" t="s">
        <v>3480</v>
      </c>
      <c r="M843" s="5">
        <v>5518.8</v>
      </c>
      <c r="N843" s="5">
        <f t="shared" si="43"/>
        <v>5518.8</v>
      </c>
      <c r="O843" s="82">
        <v>0.18</v>
      </c>
      <c r="P843" s="9">
        <f t="shared" si="44"/>
        <v>993.38400000000001</v>
      </c>
      <c r="Q843" s="5"/>
      <c r="R843" s="5"/>
      <c r="S843" s="5">
        <f t="shared" si="45"/>
        <v>6512.1840000000002</v>
      </c>
      <c r="T843" s="1" t="s">
        <v>2887</v>
      </c>
      <c r="U843" s="1" t="s">
        <v>633</v>
      </c>
      <c r="V843" s="1" t="s">
        <v>358</v>
      </c>
      <c r="W843" s="1" t="s">
        <v>2626</v>
      </c>
      <c r="X843" s="1"/>
      <c r="Y843" s="1"/>
      <c r="Z843" s="21"/>
      <c r="AA843" s="8"/>
      <c r="AB843" s="35">
        <v>1</v>
      </c>
      <c r="AC843" s="42" t="s">
        <v>2887</v>
      </c>
      <c r="AD843" s="1"/>
      <c r="AE843" s="29"/>
      <c r="AF843" s="1"/>
      <c r="AG843" s="2"/>
    </row>
    <row r="844" spans="1:33" s="24" customFormat="1" x14ac:dyDescent="0.25">
      <c r="A844" s="4"/>
      <c r="B844" s="4">
        <v>45955</v>
      </c>
      <c r="C844" s="1" t="s">
        <v>54</v>
      </c>
      <c r="D844" s="224" t="s">
        <v>3497</v>
      </c>
      <c r="E844" s="4" t="s">
        <v>2572</v>
      </c>
      <c r="F844" s="233" t="s">
        <v>1480</v>
      </c>
      <c r="G844" s="1" t="s">
        <v>1480</v>
      </c>
      <c r="H844" s="8">
        <v>1</v>
      </c>
      <c r="I844" s="8">
        <v>1</v>
      </c>
      <c r="J844" s="115">
        <f>Table224[[#This Row],[Qty]]-Table224[[#This Row],[Issue Qty]]</f>
        <v>0</v>
      </c>
      <c r="K844" s="195"/>
      <c r="L844" s="195" t="s">
        <v>3480</v>
      </c>
      <c r="M844" s="5">
        <v>730</v>
      </c>
      <c r="N844" s="5">
        <f t="shared" si="43"/>
        <v>730</v>
      </c>
      <c r="O844" s="82">
        <v>0.18</v>
      </c>
      <c r="P844" s="9">
        <f t="shared" si="44"/>
        <v>131.4</v>
      </c>
      <c r="Q844" s="5"/>
      <c r="R844" s="5"/>
      <c r="S844" s="5">
        <f t="shared" si="45"/>
        <v>861.4</v>
      </c>
      <c r="T844" s="1" t="s">
        <v>2887</v>
      </c>
      <c r="U844" s="1" t="s">
        <v>633</v>
      </c>
      <c r="V844" s="1" t="s">
        <v>764</v>
      </c>
      <c r="W844" s="1" t="s">
        <v>2625</v>
      </c>
      <c r="X844" s="1"/>
      <c r="Y844" s="1"/>
      <c r="Z844" s="21" t="s">
        <v>3732</v>
      </c>
      <c r="AA844" s="8"/>
      <c r="AB844" s="8">
        <v>1</v>
      </c>
      <c r="AC844" s="22" t="s">
        <v>481</v>
      </c>
      <c r="AD844" s="1"/>
      <c r="AE844" s="29"/>
      <c r="AF844" s="1"/>
      <c r="AG844" s="2"/>
    </row>
    <row r="845" spans="1:33" s="24" customFormat="1" x14ac:dyDescent="0.25">
      <c r="A845" s="4"/>
      <c r="B845" s="4">
        <v>45955</v>
      </c>
      <c r="C845" s="1" t="s">
        <v>54</v>
      </c>
      <c r="D845" s="186" t="s">
        <v>3497</v>
      </c>
      <c r="E845" s="4" t="s">
        <v>2633</v>
      </c>
      <c r="F845" s="102" t="s">
        <v>1538</v>
      </c>
      <c r="G845" s="1" t="s">
        <v>1538</v>
      </c>
      <c r="H845" s="8">
        <v>1</v>
      </c>
      <c r="I845" s="8">
        <v>1</v>
      </c>
      <c r="J845" s="115">
        <f>Table224[[#This Row],[Qty]]-Table224[[#This Row],[Issue Qty]]</f>
        <v>0</v>
      </c>
      <c r="K845" s="195"/>
      <c r="L845" s="195" t="s">
        <v>3480</v>
      </c>
      <c r="M845" s="5">
        <v>424</v>
      </c>
      <c r="N845" s="5">
        <f t="shared" si="43"/>
        <v>424</v>
      </c>
      <c r="O845" s="82">
        <v>0.18</v>
      </c>
      <c r="P845" s="9">
        <f t="shared" si="44"/>
        <v>76.319999999999993</v>
      </c>
      <c r="Q845" s="5"/>
      <c r="R845" s="5"/>
      <c r="S845" s="5">
        <f t="shared" si="45"/>
        <v>500.32</v>
      </c>
      <c r="T845" s="1" t="s">
        <v>1434</v>
      </c>
      <c r="U845" s="1" t="s">
        <v>1434</v>
      </c>
      <c r="V845" s="1" t="s">
        <v>601</v>
      </c>
      <c r="W845" s="1">
        <v>50606</v>
      </c>
      <c r="X845" s="1"/>
      <c r="Y845" s="1"/>
      <c r="Z845" s="21" t="s">
        <v>3195</v>
      </c>
      <c r="AA845" s="8"/>
      <c r="AB845" s="8">
        <v>1</v>
      </c>
      <c r="AC845" s="22" t="s">
        <v>145</v>
      </c>
      <c r="AD845" s="1"/>
      <c r="AE845" s="29"/>
      <c r="AF845" s="1"/>
      <c r="AG845" s="2"/>
    </row>
    <row r="846" spans="1:33" s="24" customFormat="1" x14ac:dyDescent="0.25">
      <c r="A846" s="4"/>
      <c r="B846" s="4">
        <v>45955</v>
      </c>
      <c r="C846" s="1" t="s">
        <v>54</v>
      </c>
      <c r="D846" s="186" t="s">
        <v>3497</v>
      </c>
      <c r="E846" s="4" t="s">
        <v>2634</v>
      </c>
      <c r="F846" s="102" t="s">
        <v>1539</v>
      </c>
      <c r="G846" s="1" t="s">
        <v>1539</v>
      </c>
      <c r="H846" s="8">
        <v>1</v>
      </c>
      <c r="I846" s="8">
        <v>1</v>
      </c>
      <c r="J846" s="115">
        <f>Table224[[#This Row],[Qty]]-Table224[[#This Row],[Issue Qty]]</f>
        <v>0</v>
      </c>
      <c r="K846" s="195"/>
      <c r="L846" s="195" t="s">
        <v>3480</v>
      </c>
      <c r="M846" s="5">
        <v>723</v>
      </c>
      <c r="N846" s="5">
        <f t="shared" si="43"/>
        <v>723</v>
      </c>
      <c r="O846" s="82">
        <v>0.18</v>
      </c>
      <c r="P846" s="9">
        <f t="shared" si="44"/>
        <v>130.13999999999999</v>
      </c>
      <c r="Q846" s="5"/>
      <c r="R846" s="5"/>
      <c r="S846" s="5">
        <f t="shared" si="45"/>
        <v>853.14</v>
      </c>
      <c r="T846" s="1" t="s">
        <v>1434</v>
      </c>
      <c r="U846" s="1" t="s">
        <v>1434</v>
      </c>
      <c r="V846" s="1" t="s">
        <v>601</v>
      </c>
      <c r="W846" s="1">
        <v>50606</v>
      </c>
      <c r="X846" s="1"/>
      <c r="Y846" s="1"/>
      <c r="Z846" s="21" t="s">
        <v>3732</v>
      </c>
      <c r="AA846" s="8"/>
      <c r="AB846" s="8">
        <v>1</v>
      </c>
      <c r="AC846" s="22" t="s">
        <v>145</v>
      </c>
      <c r="AD846" s="1"/>
      <c r="AE846" s="29"/>
      <c r="AF846" s="1"/>
      <c r="AG846" s="2"/>
    </row>
    <row r="847" spans="1:33" s="24" customFormat="1" x14ac:dyDescent="0.25">
      <c r="A847" s="4"/>
      <c r="B847" s="4">
        <v>45955</v>
      </c>
      <c r="C847" s="1" t="s">
        <v>54</v>
      </c>
      <c r="D847" s="186" t="s">
        <v>3497</v>
      </c>
      <c r="E847" s="4" t="s">
        <v>2635</v>
      </c>
      <c r="F847" s="102" t="s">
        <v>1540</v>
      </c>
      <c r="G847" s="1" t="s">
        <v>1540</v>
      </c>
      <c r="H847" s="8">
        <v>1</v>
      </c>
      <c r="I847" s="8">
        <v>1</v>
      </c>
      <c r="J847" s="115">
        <f>Table224[[#This Row],[Qty]]-Table224[[#This Row],[Issue Qty]]</f>
        <v>0</v>
      </c>
      <c r="K847" s="195"/>
      <c r="L847" s="195" t="s">
        <v>3480</v>
      </c>
      <c r="M847" s="5">
        <v>376</v>
      </c>
      <c r="N847" s="5">
        <f t="shared" si="43"/>
        <v>376</v>
      </c>
      <c r="O847" s="82">
        <v>0.18</v>
      </c>
      <c r="P847" s="9">
        <f t="shared" si="44"/>
        <v>67.679999999999993</v>
      </c>
      <c r="Q847" s="5"/>
      <c r="R847" s="5">
        <v>-0.22</v>
      </c>
      <c r="S847" s="5">
        <f t="shared" si="45"/>
        <v>443.46</v>
      </c>
      <c r="T847" s="1" t="s">
        <v>1434</v>
      </c>
      <c r="U847" s="1" t="s">
        <v>1434</v>
      </c>
      <c r="V847" s="1" t="s">
        <v>601</v>
      </c>
      <c r="W847" s="1">
        <v>50606</v>
      </c>
      <c r="X847" s="1"/>
      <c r="Y847" s="1"/>
      <c r="Z847" s="21" t="s">
        <v>3195</v>
      </c>
      <c r="AA847" s="8"/>
      <c r="AB847" s="8">
        <v>1</v>
      </c>
      <c r="AC847" s="22" t="s">
        <v>145</v>
      </c>
      <c r="AD847" s="1"/>
      <c r="AE847" s="29"/>
      <c r="AF847" s="1"/>
      <c r="AG847" s="2"/>
    </row>
    <row r="848" spans="1:33" s="24" customFormat="1" x14ac:dyDescent="0.25">
      <c r="A848" s="4"/>
      <c r="B848" s="4">
        <v>45955</v>
      </c>
      <c r="C848" s="1" t="s">
        <v>54</v>
      </c>
      <c r="D848" s="186" t="s">
        <v>3497</v>
      </c>
      <c r="E848" s="4" t="s">
        <v>2636</v>
      </c>
      <c r="F848" s="102" t="s">
        <v>1541</v>
      </c>
      <c r="G848" s="1" t="s">
        <v>1541</v>
      </c>
      <c r="H848" s="8">
        <v>1</v>
      </c>
      <c r="I848" s="8">
        <v>1</v>
      </c>
      <c r="J848" s="115">
        <f>Table224[[#This Row],[Qty]]-Table224[[#This Row],[Issue Qty]]</f>
        <v>0</v>
      </c>
      <c r="K848" s="195"/>
      <c r="L848" s="195" t="s">
        <v>3480</v>
      </c>
      <c r="M848" s="5">
        <v>606</v>
      </c>
      <c r="N848" s="5">
        <f t="shared" si="43"/>
        <v>606</v>
      </c>
      <c r="O848" s="82">
        <v>0.18</v>
      </c>
      <c r="P848" s="9">
        <f t="shared" si="44"/>
        <v>109.08</v>
      </c>
      <c r="Q848" s="5"/>
      <c r="R848" s="5"/>
      <c r="S848" s="5">
        <f t="shared" si="45"/>
        <v>715.08</v>
      </c>
      <c r="T848" s="1" t="s">
        <v>1434</v>
      </c>
      <c r="U848" s="1" t="s">
        <v>1434</v>
      </c>
      <c r="V848" s="1" t="s">
        <v>601</v>
      </c>
      <c r="W848" s="1">
        <v>50606</v>
      </c>
      <c r="X848" s="1"/>
      <c r="Y848" s="1"/>
      <c r="Z848" s="21" t="s">
        <v>3195</v>
      </c>
      <c r="AA848" s="8"/>
      <c r="AB848" s="8">
        <v>1</v>
      </c>
      <c r="AC848" s="22" t="s">
        <v>145</v>
      </c>
      <c r="AD848" s="1"/>
      <c r="AE848" s="29"/>
      <c r="AF848" s="1"/>
      <c r="AG848" s="2"/>
    </row>
    <row r="849" spans="1:33" s="24" customFormat="1" x14ac:dyDescent="0.25">
      <c r="A849" s="4"/>
      <c r="B849" s="4">
        <v>45957</v>
      </c>
      <c r="C849" s="6" t="s">
        <v>1683</v>
      </c>
      <c r="D849" s="186" t="s">
        <v>1663</v>
      </c>
      <c r="E849" s="4" t="s">
        <v>2371</v>
      </c>
      <c r="F849" s="248" t="s">
        <v>1251</v>
      </c>
      <c r="G849" s="1" t="s">
        <v>1251</v>
      </c>
      <c r="H849" s="8">
        <v>4</v>
      </c>
      <c r="I849" s="8">
        <v>2</v>
      </c>
      <c r="J849" s="115">
        <f>Table224[[#This Row],[Qty]]-Table224[[#This Row],[Issue Qty]]</f>
        <v>2</v>
      </c>
      <c r="K849" s="332">
        <v>1</v>
      </c>
      <c r="L849" s="195" t="s">
        <v>3480</v>
      </c>
      <c r="M849" s="5">
        <v>37080</v>
      </c>
      <c r="N849" s="5">
        <f t="shared" si="43"/>
        <v>148320</v>
      </c>
      <c r="O849" s="82">
        <v>0.18</v>
      </c>
      <c r="P849" s="9">
        <f t="shared" si="44"/>
        <v>26697.599999999999</v>
      </c>
      <c r="Q849" s="5"/>
      <c r="R849" s="5">
        <v>0.4</v>
      </c>
      <c r="S849" s="5">
        <f t="shared" si="45"/>
        <v>175018</v>
      </c>
      <c r="T849" s="1" t="s">
        <v>2887</v>
      </c>
      <c r="U849" s="1" t="s">
        <v>633</v>
      </c>
      <c r="V849" s="1" t="s">
        <v>896</v>
      </c>
      <c r="W849" s="1" t="s">
        <v>2637</v>
      </c>
      <c r="X849" s="1"/>
      <c r="Y849" s="26"/>
      <c r="Z849" s="21" t="s">
        <v>3349</v>
      </c>
      <c r="AA849" s="204"/>
      <c r="AB849" s="21">
        <v>2</v>
      </c>
      <c r="AC849" s="12" t="s">
        <v>3887</v>
      </c>
      <c r="AD849" s="26"/>
      <c r="AE849" s="29"/>
      <c r="AF849" s="26"/>
      <c r="AG849" s="2"/>
    </row>
    <row r="850" spans="1:33" s="24" customFormat="1" x14ac:dyDescent="0.25">
      <c r="A850" s="4"/>
      <c r="B850" s="4">
        <v>45957</v>
      </c>
      <c r="C850" s="6" t="s">
        <v>1683</v>
      </c>
      <c r="D850" s="186" t="s">
        <v>3488</v>
      </c>
      <c r="E850" s="1" t="s">
        <v>2638</v>
      </c>
      <c r="F850" s="102" t="s">
        <v>1542</v>
      </c>
      <c r="G850" s="1" t="s">
        <v>1542</v>
      </c>
      <c r="H850" s="8">
        <v>1</v>
      </c>
      <c r="I850" s="8">
        <v>1</v>
      </c>
      <c r="J850" s="115">
        <f>Table224[[#This Row],[Qty]]-Table224[[#This Row],[Issue Qty]]</f>
        <v>0</v>
      </c>
      <c r="K850" s="195"/>
      <c r="L850" s="195" t="s">
        <v>3480</v>
      </c>
      <c r="M850" s="5">
        <v>17000</v>
      </c>
      <c r="N850" s="5">
        <f t="shared" si="43"/>
        <v>17000</v>
      </c>
      <c r="O850" s="82">
        <v>0.18</v>
      </c>
      <c r="P850" s="9">
        <f t="shared" si="44"/>
        <v>3060</v>
      </c>
      <c r="Q850" s="5"/>
      <c r="R850" s="5"/>
      <c r="S850" s="5">
        <f t="shared" si="45"/>
        <v>20060</v>
      </c>
      <c r="T850" s="1" t="s">
        <v>2887</v>
      </c>
      <c r="U850" s="1" t="s">
        <v>633</v>
      </c>
      <c r="V850" s="1" t="s">
        <v>1543</v>
      </c>
      <c r="W850" s="1" t="s">
        <v>2639</v>
      </c>
      <c r="X850" s="1"/>
      <c r="Y850" s="1"/>
      <c r="Z850" s="21" t="s">
        <v>398</v>
      </c>
      <c r="AA850" s="8"/>
      <c r="AB850" s="8"/>
      <c r="AC850" s="22"/>
      <c r="AD850" s="1"/>
      <c r="AE850" s="29"/>
      <c r="AF850" s="2"/>
      <c r="AG850" s="2"/>
    </row>
    <row r="851" spans="1:33" s="24" customFormat="1" x14ac:dyDescent="0.25">
      <c r="A851" s="4"/>
      <c r="B851" s="4">
        <v>45958</v>
      </c>
      <c r="C851" s="6" t="s">
        <v>1730</v>
      </c>
      <c r="D851" s="186" t="s">
        <v>3590</v>
      </c>
      <c r="E851" s="4" t="s">
        <v>2581</v>
      </c>
      <c r="F851" s="327" t="s">
        <v>1486</v>
      </c>
      <c r="G851" s="1" t="s">
        <v>1486</v>
      </c>
      <c r="H851" s="8">
        <v>1</v>
      </c>
      <c r="I851" s="8">
        <v>1</v>
      </c>
      <c r="J851" s="115">
        <f>Table224[[#This Row],[Qty]]-Table224[[#This Row],[Issue Qty]]</f>
        <v>0</v>
      </c>
      <c r="K851" s="195"/>
      <c r="L851" s="195" t="s">
        <v>3480</v>
      </c>
      <c r="M851" s="5">
        <v>7500</v>
      </c>
      <c r="N851" s="5">
        <f t="shared" si="43"/>
        <v>7500</v>
      </c>
      <c r="O851" s="82">
        <v>0.18</v>
      </c>
      <c r="P851" s="9">
        <f t="shared" si="44"/>
        <v>1350</v>
      </c>
      <c r="Q851" s="5">
        <f>1416/2</f>
        <v>708</v>
      </c>
      <c r="R851" s="5"/>
      <c r="S851" s="5">
        <f t="shared" si="45"/>
        <v>9558</v>
      </c>
      <c r="T851" s="1" t="s">
        <v>2887</v>
      </c>
      <c r="U851" s="1" t="s">
        <v>633</v>
      </c>
      <c r="V851" s="1" t="s">
        <v>1210</v>
      </c>
      <c r="W851" s="1" t="s">
        <v>2641</v>
      </c>
      <c r="X851" s="1"/>
      <c r="Y851" s="1"/>
      <c r="Z851" s="21" t="s">
        <v>3179</v>
      </c>
      <c r="AA851" s="8"/>
      <c r="AB851" s="8">
        <v>1</v>
      </c>
      <c r="AC851" s="22" t="s">
        <v>1469</v>
      </c>
      <c r="AD851" s="1"/>
      <c r="AE851" s="29"/>
      <c r="AF851" s="1"/>
      <c r="AG851" s="2"/>
    </row>
    <row r="852" spans="1:33" s="24" customFormat="1" x14ac:dyDescent="0.25">
      <c r="A852" s="4"/>
      <c r="B852" s="4">
        <v>45958</v>
      </c>
      <c r="C852" s="6" t="s">
        <v>1730</v>
      </c>
      <c r="D852" s="186" t="s">
        <v>3590</v>
      </c>
      <c r="E852" s="4" t="s">
        <v>2583</v>
      </c>
      <c r="F852" s="232" t="s">
        <v>1487</v>
      </c>
      <c r="G852" s="1" t="s">
        <v>1487</v>
      </c>
      <c r="H852" s="8">
        <v>1</v>
      </c>
      <c r="I852" s="8">
        <v>1</v>
      </c>
      <c r="J852" s="115">
        <f>Table224[[#This Row],[Qty]]-Table224[[#This Row],[Issue Qty]]</f>
        <v>0</v>
      </c>
      <c r="K852" s="195"/>
      <c r="L852" s="195" t="s">
        <v>3480</v>
      </c>
      <c r="M852" s="5">
        <v>1350</v>
      </c>
      <c r="N852" s="5">
        <f t="shared" si="43"/>
        <v>1350</v>
      </c>
      <c r="O852" s="82">
        <v>0.18</v>
      </c>
      <c r="P852" s="9">
        <f t="shared" si="44"/>
        <v>243</v>
      </c>
      <c r="Q852" s="5">
        <f>1416/2</f>
        <v>708</v>
      </c>
      <c r="R852" s="5"/>
      <c r="S852" s="5">
        <f t="shared" si="45"/>
        <v>2301</v>
      </c>
      <c r="T852" s="1" t="s">
        <v>2887</v>
      </c>
      <c r="U852" s="1" t="s">
        <v>633</v>
      </c>
      <c r="V852" s="1" t="s">
        <v>1210</v>
      </c>
      <c r="W852" s="1" t="s">
        <v>2641</v>
      </c>
      <c r="X852" s="1"/>
      <c r="Y852" s="1"/>
      <c r="Z852" s="21" t="s">
        <v>3179</v>
      </c>
      <c r="AA852" s="8"/>
      <c r="AB852" s="8">
        <v>1</v>
      </c>
      <c r="AC852" s="22" t="s">
        <v>1469</v>
      </c>
      <c r="AD852" s="1"/>
      <c r="AE852" s="29"/>
      <c r="AF852" s="1"/>
      <c r="AG852" s="2"/>
    </row>
    <row r="853" spans="1:33" s="24" customFormat="1" x14ac:dyDescent="0.25">
      <c r="A853" s="4"/>
      <c r="B853" s="4">
        <v>45958</v>
      </c>
      <c r="C853" s="1" t="s">
        <v>54</v>
      </c>
      <c r="D853" s="186" t="s">
        <v>3596</v>
      </c>
      <c r="E853" s="4" t="s">
        <v>2642</v>
      </c>
      <c r="F853" s="102" t="s">
        <v>3016</v>
      </c>
      <c r="G853" s="1" t="s">
        <v>1545</v>
      </c>
      <c r="H853" s="8">
        <v>4</v>
      </c>
      <c r="I853" s="8">
        <v>4</v>
      </c>
      <c r="J853" s="115">
        <f>Table224[[#This Row],[Qty]]-Table224[[#This Row],[Issue Qty]]</f>
        <v>0</v>
      </c>
      <c r="K853" s="195"/>
      <c r="L853" s="195" t="s">
        <v>3480</v>
      </c>
      <c r="M853" s="5">
        <v>2100</v>
      </c>
      <c r="N853" s="5">
        <f t="shared" si="43"/>
        <v>8400</v>
      </c>
      <c r="O853" s="82">
        <v>0.18</v>
      </c>
      <c r="P853" s="9">
        <f t="shared" si="44"/>
        <v>1512</v>
      </c>
      <c r="Q853" s="5"/>
      <c r="R853" s="5"/>
      <c r="S853" s="5">
        <f t="shared" si="45"/>
        <v>9912</v>
      </c>
      <c r="T853" s="1" t="s">
        <v>1434</v>
      </c>
      <c r="U853" s="1" t="s">
        <v>1434</v>
      </c>
      <c r="V853" s="1" t="s">
        <v>764</v>
      </c>
      <c r="W853" s="1" t="s">
        <v>2643</v>
      </c>
      <c r="X853" s="1"/>
      <c r="Y853" s="1"/>
      <c r="Z853" s="21" t="s">
        <v>3349</v>
      </c>
      <c r="AA853" s="8"/>
      <c r="AB853" s="8">
        <v>4</v>
      </c>
      <c r="AC853" s="22" t="s">
        <v>3775</v>
      </c>
      <c r="AD853" s="1"/>
      <c r="AE853" s="29"/>
      <c r="AF853" s="1"/>
      <c r="AG853" s="2"/>
    </row>
    <row r="854" spans="1:33" s="24" customFormat="1" x14ac:dyDescent="0.25">
      <c r="A854" s="4"/>
      <c r="B854" s="4">
        <v>45958</v>
      </c>
      <c r="C854" s="6" t="s">
        <v>1730</v>
      </c>
      <c r="D854" s="224" t="s">
        <v>3506</v>
      </c>
      <c r="E854" s="4" t="s">
        <v>2615</v>
      </c>
      <c r="F854" s="327" t="s">
        <v>1516</v>
      </c>
      <c r="G854" s="1" t="s">
        <v>1516</v>
      </c>
      <c r="H854" s="8">
        <v>1</v>
      </c>
      <c r="I854" s="8">
        <v>1</v>
      </c>
      <c r="J854" s="115">
        <f>Table224[[#This Row],[Qty]]-Table224[[#This Row],[Issue Qty]]</f>
        <v>0</v>
      </c>
      <c r="K854" s="195"/>
      <c r="L854" s="195" t="s">
        <v>3480</v>
      </c>
      <c r="M854" s="5">
        <v>3559</v>
      </c>
      <c r="N854" s="5">
        <f t="shared" si="43"/>
        <v>3559</v>
      </c>
      <c r="O854" s="82">
        <v>0.18</v>
      </c>
      <c r="P854" s="9">
        <f t="shared" si="44"/>
        <v>640.62</v>
      </c>
      <c r="Q854" s="5"/>
      <c r="R854" s="5"/>
      <c r="S854" s="5">
        <f t="shared" si="45"/>
        <v>4199.62</v>
      </c>
      <c r="T854" s="1" t="s">
        <v>2887</v>
      </c>
      <c r="U854" s="1" t="s">
        <v>633</v>
      </c>
      <c r="V854" s="1" t="s">
        <v>1517</v>
      </c>
      <c r="W854" s="1">
        <v>199</v>
      </c>
      <c r="X854" s="1"/>
      <c r="Y854" s="1"/>
      <c r="Z854" s="21" t="s">
        <v>3179</v>
      </c>
      <c r="AA854" s="8"/>
      <c r="AB854" s="8">
        <v>1</v>
      </c>
      <c r="AC854" s="22" t="s">
        <v>1469</v>
      </c>
      <c r="AD854" s="1"/>
      <c r="AE854" s="29"/>
      <c r="AF854" s="1"/>
      <c r="AG854" s="2"/>
    </row>
    <row r="855" spans="1:33" s="24" customFormat="1" x14ac:dyDescent="0.25">
      <c r="A855" s="4"/>
      <c r="B855" s="4">
        <v>45958</v>
      </c>
      <c r="C855" s="6" t="s">
        <v>1730</v>
      </c>
      <c r="D855" s="186" t="s">
        <v>3593</v>
      </c>
      <c r="E855" s="4" t="s">
        <v>2574</v>
      </c>
      <c r="F855" s="102" t="s">
        <v>1544</v>
      </c>
      <c r="G855" s="1" t="s">
        <v>1544</v>
      </c>
      <c r="H855" s="8">
        <v>2</v>
      </c>
      <c r="I855" s="8">
        <v>2</v>
      </c>
      <c r="J855" s="115">
        <f>Table224[[#This Row],[Qty]]-Table224[[#This Row],[Issue Qty]]</f>
        <v>0</v>
      </c>
      <c r="K855" s="195"/>
      <c r="L855" s="195" t="s">
        <v>3480</v>
      </c>
      <c r="M855" s="5">
        <v>113.56</v>
      </c>
      <c r="N855" s="5">
        <f t="shared" si="43"/>
        <v>227.12</v>
      </c>
      <c r="O855" s="82">
        <v>0.18</v>
      </c>
      <c r="P855" s="9">
        <f t="shared" si="44"/>
        <v>40.881599999999999</v>
      </c>
      <c r="Q855" s="5">
        <v>49.5</v>
      </c>
      <c r="R855" s="5"/>
      <c r="S855" s="5">
        <f t="shared" si="45"/>
        <v>317.5016</v>
      </c>
      <c r="T855" s="1" t="s">
        <v>2887</v>
      </c>
      <c r="U855" s="1" t="s">
        <v>633</v>
      </c>
      <c r="V855" s="1" t="s">
        <v>634</v>
      </c>
      <c r="W855" s="6" t="s">
        <v>2640</v>
      </c>
      <c r="X855" s="6"/>
      <c r="Y855" s="6"/>
      <c r="Z855" s="21" t="s">
        <v>650</v>
      </c>
      <c r="AA855" s="60"/>
      <c r="AB855" s="8">
        <v>1</v>
      </c>
      <c r="AC855" s="57" t="s">
        <v>474</v>
      </c>
      <c r="AD855" s="6"/>
      <c r="AE855" s="29"/>
      <c r="AF855" s="1"/>
      <c r="AG855" s="2"/>
    </row>
    <row r="856" spans="1:33" s="24" customFormat="1" x14ac:dyDescent="0.25">
      <c r="A856" s="4"/>
      <c r="B856" s="4">
        <v>45960</v>
      </c>
      <c r="C856" s="1" t="s">
        <v>54</v>
      </c>
      <c r="D856" s="186" t="s">
        <v>3489</v>
      </c>
      <c r="E856" s="4" t="s">
        <v>2616</v>
      </c>
      <c r="F856" s="102" t="s">
        <v>1518</v>
      </c>
      <c r="G856" s="1" t="s">
        <v>1518</v>
      </c>
      <c r="H856" s="8">
        <v>4</v>
      </c>
      <c r="I856" s="8">
        <f>2+2</f>
        <v>4</v>
      </c>
      <c r="J856" s="115">
        <f>Table224[[#This Row],[Qty]]-Table224[[#This Row],[Issue Qty]]</f>
        <v>0</v>
      </c>
      <c r="K856" s="195"/>
      <c r="L856" s="195" t="s">
        <v>3480</v>
      </c>
      <c r="M856" s="5">
        <v>4600</v>
      </c>
      <c r="N856" s="5">
        <f t="shared" si="43"/>
        <v>18400</v>
      </c>
      <c r="O856" s="82">
        <v>0.18</v>
      </c>
      <c r="P856" s="9">
        <f t="shared" si="44"/>
        <v>3312</v>
      </c>
      <c r="Q856" s="5"/>
      <c r="R856" s="5"/>
      <c r="S856" s="5">
        <f t="shared" si="45"/>
        <v>21712</v>
      </c>
      <c r="T856" s="1" t="s">
        <v>2887</v>
      </c>
      <c r="U856" s="1" t="s">
        <v>633</v>
      </c>
      <c r="V856" s="1" t="s">
        <v>1519</v>
      </c>
      <c r="W856" s="1">
        <v>183</v>
      </c>
      <c r="X856" s="1"/>
      <c r="Y856" s="1"/>
      <c r="Z856" s="21" t="s">
        <v>3011</v>
      </c>
      <c r="AA856" s="8"/>
      <c r="AB856" s="8">
        <v>4</v>
      </c>
      <c r="AC856" s="22" t="s">
        <v>3651</v>
      </c>
      <c r="AD856" s="1"/>
      <c r="AE856" s="29"/>
      <c r="AF856" s="1"/>
      <c r="AG856" s="2"/>
    </row>
    <row r="857" spans="1:33" s="24" customFormat="1" x14ac:dyDescent="0.25">
      <c r="A857" s="4"/>
      <c r="B857" s="4">
        <v>45960</v>
      </c>
      <c r="C857" s="1" t="s">
        <v>54</v>
      </c>
      <c r="D857" s="224" t="s">
        <v>3494</v>
      </c>
      <c r="E857" s="4" t="s">
        <v>2603</v>
      </c>
      <c r="F857" s="236" t="s">
        <v>1506</v>
      </c>
      <c r="G857" s="1" t="s">
        <v>1506</v>
      </c>
      <c r="H857" s="8">
        <v>2</v>
      </c>
      <c r="I857" s="8">
        <v>2</v>
      </c>
      <c r="J857" s="115">
        <f>Table224[[#This Row],[Qty]]-Table224[[#This Row],[Issue Qty]]</f>
        <v>0</v>
      </c>
      <c r="K857" s="332">
        <v>2</v>
      </c>
      <c r="L857" s="195" t="s">
        <v>3480</v>
      </c>
      <c r="M857" s="5">
        <v>3410.4</v>
      </c>
      <c r="N857" s="5">
        <f t="shared" si="43"/>
        <v>6820.8</v>
      </c>
      <c r="O857" s="82">
        <v>0.18</v>
      </c>
      <c r="P857" s="9">
        <f t="shared" si="44"/>
        <v>1227.7439999999999</v>
      </c>
      <c r="Q857" s="5"/>
      <c r="R857" s="5"/>
      <c r="S857" s="5">
        <f t="shared" si="45"/>
        <v>8048.5439999999999</v>
      </c>
      <c r="T857" s="1" t="s">
        <v>2887</v>
      </c>
      <c r="U857" s="1" t="s">
        <v>633</v>
      </c>
      <c r="V857" s="1" t="s">
        <v>358</v>
      </c>
      <c r="W857" s="6" t="s">
        <v>2644</v>
      </c>
      <c r="X857" s="6"/>
      <c r="Y857" s="6"/>
      <c r="Z857" s="21"/>
      <c r="AA857" s="60"/>
      <c r="AB857" s="8">
        <v>2</v>
      </c>
      <c r="AC857" s="57" t="s">
        <v>481</v>
      </c>
      <c r="AD857" s="6"/>
      <c r="AE857" s="29"/>
      <c r="AF857" s="1"/>
      <c r="AG857" s="2"/>
    </row>
    <row r="858" spans="1:33" s="24" customFormat="1" x14ac:dyDescent="0.25">
      <c r="A858" s="4"/>
      <c r="B858" s="4">
        <v>45960</v>
      </c>
      <c r="C858" s="1" t="s">
        <v>54</v>
      </c>
      <c r="D858" s="224" t="s">
        <v>3494</v>
      </c>
      <c r="E858" s="4" t="s">
        <v>2632</v>
      </c>
      <c r="F858" s="102" t="s">
        <v>1537</v>
      </c>
      <c r="G858" s="1" t="s">
        <v>1537</v>
      </c>
      <c r="H858" s="8">
        <v>2</v>
      </c>
      <c r="I858" s="8"/>
      <c r="J858" s="115">
        <f>Table224[[#This Row],[Qty]]-Table224[[#This Row],[Issue Qty]]</f>
        <v>2</v>
      </c>
      <c r="K858" s="195"/>
      <c r="L858" s="195" t="s">
        <v>3480</v>
      </c>
      <c r="M858" s="5">
        <v>520</v>
      </c>
      <c r="N858" s="5">
        <f t="shared" si="43"/>
        <v>1040</v>
      </c>
      <c r="O858" s="82">
        <v>0.18</v>
      </c>
      <c r="P858" s="9">
        <f t="shared" si="44"/>
        <v>187.2</v>
      </c>
      <c r="Q858" s="5"/>
      <c r="R858" s="5"/>
      <c r="S858" s="5">
        <f t="shared" si="45"/>
        <v>1227.2</v>
      </c>
      <c r="T858" s="1" t="s">
        <v>2887</v>
      </c>
      <c r="U858" s="1" t="s">
        <v>633</v>
      </c>
      <c r="V858" s="1" t="s">
        <v>358</v>
      </c>
      <c r="W858" s="6" t="s">
        <v>2644</v>
      </c>
      <c r="X858" s="6"/>
      <c r="Y858" s="6"/>
      <c r="Z858" s="21" t="s">
        <v>360</v>
      </c>
      <c r="AA858" s="60" t="s">
        <v>361</v>
      </c>
      <c r="AB858" s="8"/>
      <c r="AC858" s="22"/>
      <c r="AD858" s="6"/>
      <c r="AE858" s="29"/>
      <c r="AF858" s="1"/>
      <c r="AG858" s="2"/>
    </row>
    <row r="859" spans="1:33" s="24" customFormat="1" x14ac:dyDescent="0.25">
      <c r="A859" s="4"/>
      <c r="B859" s="4">
        <v>45960</v>
      </c>
      <c r="C859" s="1" t="s">
        <v>54</v>
      </c>
      <c r="D859" s="224" t="s">
        <v>3494</v>
      </c>
      <c r="E859" s="4" t="s">
        <v>2605</v>
      </c>
      <c r="F859" s="102" t="s">
        <v>1508</v>
      </c>
      <c r="G859" s="1" t="s">
        <v>1508</v>
      </c>
      <c r="H859" s="8">
        <v>4</v>
      </c>
      <c r="I859" s="8">
        <v>4</v>
      </c>
      <c r="J859" s="115">
        <f>Table224[[#This Row],[Qty]]-Table224[[#This Row],[Issue Qty]]</f>
        <v>0</v>
      </c>
      <c r="K859" s="195"/>
      <c r="L859" s="195" t="s">
        <v>3480</v>
      </c>
      <c r="M859" s="5">
        <v>144</v>
      </c>
      <c r="N859" s="5">
        <f t="shared" si="43"/>
        <v>576</v>
      </c>
      <c r="O859" s="82">
        <v>0.18</v>
      </c>
      <c r="P859" s="9">
        <f t="shared" si="44"/>
        <v>103.67999999999999</v>
      </c>
      <c r="Q859" s="5"/>
      <c r="R859" s="5"/>
      <c r="S859" s="5">
        <f t="shared" si="45"/>
        <v>679.68</v>
      </c>
      <c r="T859" s="1" t="s">
        <v>2887</v>
      </c>
      <c r="U859" s="1" t="s">
        <v>633</v>
      </c>
      <c r="V859" s="1" t="s">
        <v>358</v>
      </c>
      <c r="W859" s="6" t="s">
        <v>2644</v>
      </c>
      <c r="X859" s="6"/>
      <c r="Y859" s="6"/>
      <c r="Z859" s="21" t="s">
        <v>3349</v>
      </c>
      <c r="AA859" s="60"/>
      <c r="AB859" s="8">
        <v>2</v>
      </c>
      <c r="AC859" s="22" t="s">
        <v>3714</v>
      </c>
      <c r="AD859" s="6"/>
      <c r="AE859" s="29"/>
      <c r="AF859" s="1"/>
      <c r="AG859" s="2"/>
    </row>
    <row r="860" spans="1:33" s="24" customFormat="1" x14ac:dyDescent="0.25">
      <c r="A860" s="4"/>
      <c r="B860" s="4">
        <v>45960</v>
      </c>
      <c r="C860" s="1" t="s">
        <v>54</v>
      </c>
      <c r="D860" s="186" t="s">
        <v>3494</v>
      </c>
      <c r="E860" s="4" t="s">
        <v>2601</v>
      </c>
      <c r="F860" s="236" t="s">
        <v>1505</v>
      </c>
      <c r="G860" s="1" t="s">
        <v>1505</v>
      </c>
      <c r="H860" s="8">
        <v>8</v>
      </c>
      <c r="I860" s="8">
        <v>8</v>
      </c>
      <c r="J860" s="115">
        <f>Table224[[#This Row],[Qty]]-Table224[[#This Row],[Issue Qty]]</f>
        <v>0</v>
      </c>
      <c r="K860" s="332">
        <v>4</v>
      </c>
      <c r="L860" s="195" t="s">
        <v>3480</v>
      </c>
      <c r="M860" s="5">
        <v>120</v>
      </c>
      <c r="N860" s="5">
        <f t="shared" si="43"/>
        <v>960</v>
      </c>
      <c r="O860" s="82">
        <v>0.18</v>
      </c>
      <c r="P860" s="9">
        <f t="shared" si="44"/>
        <v>172.79999999999998</v>
      </c>
      <c r="Q860" s="5"/>
      <c r="R860" s="5"/>
      <c r="S860" s="5">
        <f t="shared" si="45"/>
        <v>1132.8</v>
      </c>
      <c r="T860" s="1" t="s">
        <v>2887</v>
      </c>
      <c r="U860" s="1" t="s">
        <v>633</v>
      </c>
      <c r="V860" s="1" t="s">
        <v>358</v>
      </c>
      <c r="W860" s="6" t="s">
        <v>2644</v>
      </c>
      <c r="X860" s="6"/>
      <c r="Y860" s="6"/>
      <c r="Z860" s="21" t="s">
        <v>3011</v>
      </c>
      <c r="AA860" s="60"/>
      <c r="AB860" s="8">
        <v>4</v>
      </c>
      <c r="AC860" s="57" t="s">
        <v>3715</v>
      </c>
      <c r="AD860" s="306">
        <v>3</v>
      </c>
      <c r="AE860" s="29"/>
      <c r="AF860" s="1"/>
      <c r="AG860" s="2"/>
    </row>
    <row r="861" spans="1:33" s="24" customFormat="1" x14ac:dyDescent="0.25">
      <c r="A861" s="4"/>
      <c r="B861" s="4">
        <v>45960</v>
      </c>
      <c r="C861" s="1" t="s">
        <v>54</v>
      </c>
      <c r="D861" s="186" t="s">
        <v>3494</v>
      </c>
      <c r="E861" s="4" t="s">
        <v>2606</v>
      </c>
      <c r="F861" s="236" t="s">
        <v>1509</v>
      </c>
      <c r="G861" s="1" t="s">
        <v>1509</v>
      </c>
      <c r="H861" s="8">
        <v>4</v>
      </c>
      <c r="I861" s="8">
        <v>4</v>
      </c>
      <c r="J861" s="115">
        <f>Table224[[#This Row],[Qty]]-Table224[[#This Row],[Issue Qty]]</f>
        <v>0</v>
      </c>
      <c r="K861" s="332">
        <v>2</v>
      </c>
      <c r="L861" s="195" t="s">
        <v>3480</v>
      </c>
      <c r="M861" s="5">
        <v>260</v>
      </c>
      <c r="N861" s="5">
        <f t="shared" si="43"/>
        <v>1040</v>
      </c>
      <c r="O861" s="82">
        <v>0.18</v>
      </c>
      <c r="P861" s="9">
        <f t="shared" si="44"/>
        <v>187.2</v>
      </c>
      <c r="Q861" s="5"/>
      <c r="R861" s="5"/>
      <c r="S861" s="5">
        <f t="shared" si="45"/>
        <v>1227.2</v>
      </c>
      <c r="T861" s="1" t="s">
        <v>2887</v>
      </c>
      <c r="U861" s="1" t="s">
        <v>633</v>
      </c>
      <c r="V861" s="1" t="s">
        <v>358</v>
      </c>
      <c r="W861" s="6" t="s">
        <v>2644</v>
      </c>
      <c r="X861" s="6"/>
      <c r="Y861" s="6"/>
      <c r="Z861" s="21" t="s">
        <v>3011</v>
      </c>
      <c r="AA861" s="60"/>
      <c r="AB861" s="8">
        <v>4</v>
      </c>
      <c r="AC861" s="22" t="s">
        <v>3716</v>
      </c>
      <c r="AD861" s="6"/>
      <c r="AE861" s="29"/>
      <c r="AF861" s="1"/>
      <c r="AG861" s="2"/>
    </row>
    <row r="862" spans="1:33" s="24" customFormat="1" x14ac:dyDescent="0.25">
      <c r="A862" s="4"/>
      <c r="B862" s="4">
        <v>45960</v>
      </c>
      <c r="C862" s="1" t="s">
        <v>54</v>
      </c>
      <c r="D862" s="224" t="s">
        <v>3494</v>
      </c>
      <c r="E862" s="4" t="s">
        <v>2604</v>
      </c>
      <c r="F862" s="236" t="s">
        <v>1507</v>
      </c>
      <c r="G862" s="1" t="s">
        <v>1507</v>
      </c>
      <c r="H862" s="35">
        <v>2</v>
      </c>
      <c r="I862" s="8">
        <v>2</v>
      </c>
      <c r="J862" s="115">
        <f>Table224[[#This Row],[Qty]]-Table224[[#This Row],[Issue Qty]]</f>
        <v>0</v>
      </c>
      <c r="K862" s="332">
        <v>2</v>
      </c>
      <c r="L862" s="195" t="s">
        <v>3480</v>
      </c>
      <c r="M862" s="5">
        <v>5497.8</v>
      </c>
      <c r="N862" s="5">
        <f t="shared" si="43"/>
        <v>10995.6</v>
      </c>
      <c r="O862" s="82">
        <v>0.18</v>
      </c>
      <c r="P862" s="9">
        <f t="shared" si="44"/>
        <v>1979.2080000000001</v>
      </c>
      <c r="Q862" s="5"/>
      <c r="R862" s="5"/>
      <c r="S862" s="5">
        <f t="shared" si="45"/>
        <v>12974.808000000001</v>
      </c>
      <c r="T862" s="1" t="s">
        <v>2887</v>
      </c>
      <c r="U862" s="1" t="s">
        <v>633</v>
      </c>
      <c r="V862" s="1" t="s">
        <v>358</v>
      </c>
      <c r="W862" s="6" t="s">
        <v>2644</v>
      </c>
      <c r="X862" s="6"/>
      <c r="Y862" s="6"/>
      <c r="Z862" s="21"/>
      <c r="AA862" s="60"/>
      <c r="AB862" s="35">
        <v>2</v>
      </c>
      <c r="AC862" s="292" t="s">
        <v>481</v>
      </c>
      <c r="AD862" s="6"/>
      <c r="AE862" s="29"/>
      <c r="AF862" s="1"/>
      <c r="AG862" s="2"/>
    </row>
    <row r="863" spans="1:33" s="24" customFormat="1" ht="30" x14ac:dyDescent="0.25">
      <c r="A863" s="4"/>
      <c r="B863" s="4">
        <v>45961</v>
      </c>
      <c r="C863" s="6" t="s">
        <v>1683</v>
      </c>
      <c r="D863" s="186" t="s">
        <v>3487</v>
      </c>
      <c r="E863" s="1" t="s">
        <v>2453</v>
      </c>
      <c r="F863" s="102" t="s">
        <v>1352</v>
      </c>
      <c r="G863" s="1" t="s">
        <v>1352</v>
      </c>
      <c r="H863" s="8">
        <v>5</v>
      </c>
      <c r="I863" s="8">
        <v>4</v>
      </c>
      <c r="J863" s="115">
        <f>Table224[[#This Row],[Qty]]-Table224[[#This Row],[Issue Qty]]</f>
        <v>1</v>
      </c>
      <c r="K863" s="195"/>
      <c r="L863" s="195" t="s">
        <v>3480</v>
      </c>
      <c r="M863" s="5">
        <v>313.56</v>
      </c>
      <c r="N863" s="5">
        <f t="shared" si="43"/>
        <v>1567.8</v>
      </c>
      <c r="O863" s="82">
        <v>0.18</v>
      </c>
      <c r="P863" s="9">
        <f t="shared" si="44"/>
        <v>282.20400000000001</v>
      </c>
      <c r="Q863" s="5">
        <v>99</v>
      </c>
      <c r="R863" s="5">
        <v>0</v>
      </c>
      <c r="S863" s="5">
        <f t="shared" si="45"/>
        <v>1949.0039999999999</v>
      </c>
      <c r="T863" s="1" t="s">
        <v>2887</v>
      </c>
      <c r="U863" s="1" t="s">
        <v>633</v>
      </c>
      <c r="V863" s="1" t="s">
        <v>634</v>
      </c>
      <c r="W863" s="1" t="s">
        <v>2645</v>
      </c>
      <c r="X863" s="1"/>
      <c r="Y863" s="1"/>
      <c r="Z863" s="21" t="s">
        <v>650</v>
      </c>
      <c r="AA863" s="8"/>
      <c r="AB863" s="8">
        <v>5</v>
      </c>
      <c r="AC863" s="22" t="s">
        <v>2930</v>
      </c>
      <c r="AD863" s="1"/>
      <c r="AE863" s="29" t="s">
        <v>1547</v>
      </c>
      <c r="AF863" s="2"/>
      <c r="AG863" s="2"/>
    </row>
    <row r="864" spans="1:33" s="24" customFormat="1" x14ac:dyDescent="0.25">
      <c r="A864" s="4"/>
      <c r="B864" s="4">
        <v>45964</v>
      </c>
      <c r="C864" s="6" t="s">
        <v>1730</v>
      </c>
      <c r="D864" s="186" t="s">
        <v>3590</v>
      </c>
      <c r="E864" s="4" t="s">
        <v>2646</v>
      </c>
      <c r="F864" s="102" t="s">
        <v>1548</v>
      </c>
      <c r="G864" s="1" t="s">
        <v>1548</v>
      </c>
      <c r="H864" s="8">
        <v>6</v>
      </c>
      <c r="I864" s="8">
        <v>1</v>
      </c>
      <c r="J864" s="115">
        <f>Table224[[#This Row],[Qty]]-Table224[[#This Row],[Issue Qty]]</f>
        <v>5</v>
      </c>
      <c r="K864" s="195"/>
      <c r="L864" s="195" t="s">
        <v>3480</v>
      </c>
      <c r="M864" s="5">
        <v>8380</v>
      </c>
      <c r="N864" s="5">
        <f t="shared" si="43"/>
        <v>50280</v>
      </c>
      <c r="O864" s="82">
        <v>0.18</v>
      </c>
      <c r="P864" s="9">
        <f t="shared" si="44"/>
        <v>9050.4</v>
      </c>
      <c r="Q864" s="5">
        <v>2124</v>
      </c>
      <c r="R864" s="5"/>
      <c r="S864" s="5">
        <f t="shared" si="45"/>
        <v>61454.400000000001</v>
      </c>
      <c r="T864" s="1" t="s">
        <v>606</v>
      </c>
      <c r="U864" s="1" t="s">
        <v>606</v>
      </c>
      <c r="V864" s="1" t="s">
        <v>1210</v>
      </c>
      <c r="W864" s="1" t="s">
        <v>2647</v>
      </c>
      <c r="X864" s="1"/>
      <c r="Y864" s="1"/>
      <c r="Z864" s="21" t="s">
        <v>3179</v>
      </c>
      <c r="AA864" s="8"/>
      <c r="AB864" s="8">
        <v>2</v>
      </c>
      <c r="AC864" s="22" t="s">
        <v>2968</v>
      </c>
      <c r="AD864" s="1"/>
      <c r="AE864" s="29"/>
      <c r="AF864" s="1"/>
      <c r="AG864" s="2"/>
    </row>
    <row r="865" spans="1:33" s="24" customFormat="1" x14ac:dyDescent="0.25">
      <c r="A865" s="4"/>
      <c r="B865" s="4">
        <v>45967</v>
      </c>
      <c r="C865" s="6" t="s">
        <v>1683</v>
      </c>
      <c r="D865" s="186" t="s">
        <v>1663</v>
      </c>
      <c r="E865" s="4" t="s">
        <v>2477</v>
      </c>
      <c r="F865" s="169" t="s">
        <v>1384</v>
      </c>
      <c r="G865" s="1" t="s">
        <v>1549</v>
      </c>
      <c r="H865" s="8">
        <v>1</v>
      </c>
      <c r="I865" s="8"/>
      <c r="J865" s="115">
        <f>Table224[[#This Row],[Qty]]-Table224[[#This Row],[Issue Qty]]</f>
        <v>1</v>
      </c>
      <c r="K865" s="195"/>
      <c r="L865" s="195" t="s">
        <v>3480</v>
      </c>
      <c r="M865" s="5"/>
      <c r="N865" s="5">
        <f t="shared" si="43"/>
        <v>0</v>
      </c>
      <c r="O865" s="82"/>
      <c r="P865" s="9">
        <f t="shared" si="44"/>
        <v>0</v>
      </c>
      <c r="Q865" s="5"/>
      <c r="R865" s="5"/>
      <c r="S865" s="5">
        <f t="shared" si="45"/>
        <v>0</v>
      </c>
      <c r="T865" s="1" t="s">
        <v>145</v>
      </c>
      <c r="U865" s="1" t="s">
        <v>145</v>
      </c>
      <c r="V865" s="1" t="s">
        <v>896</v>
      </c>
      <c r="W865" s="1" t="s">
        <v>37</v>
      </c>
      <c r="X865" s="1"/>
      <c r="Y865" s="26"/>
      <c r="Z865" s="21"/>
      <c r="AA865" s="204"/>
      <c r="AB865" s="21">
        <v>1</v>
      </c>
      <c r="AC865" s="12" t="s">
        <v>1100</v>
      </c>
      <c r="AD865" s="26"/>
      <c r="AE865" s="29"/>
      <c r="AF865" s="26"/>
      <c r="AG865" s="2"/>
    </row>
    <row r="866" spans="1:33" s="24" customFormat="1" x14ac:dyDescent="0.25">
      <c r="A866" s="4"/>
      <c r="B866" s="4">
        <v>45968</v>
      </c>
      <c r="C866" s="1" t="s">
        <v>1991</v>
      </c>
      <c r="D866" s="186" t="s">
        <v>3571</v>
      </c>
      <c r="E866" s="4" t="s">
        <v>2651</v>
      </c>
      <c r="F866" s="236" t="s">
        <v>1553</v>
      </c>
      <c r="G866" s="1" t="s">
        <v>1553</v>
      </c>
      <c r="H866" s="8">
        <v>3</v>
      </c>
      <c r="I866" s="8">
        <v>3</v>
      </c>
      <c r="J866" s="115">
        <f>Table224[[#This Row],[Qty]]-Table224[[#This Row],[Issue Qty]]</f>
        <v>0</v>
      </c>
      <c r="K866" s="332">
        <v>2</v>
      </c>
      <c r="L866" s="195" t="s">
        <v>3480</v>
      </c>
      <c r="M866" s="5">
        <v>1245.25</v>
      </c>
      <c r="N866" s="5">
        <f t="shared" si="43"/>
        <v>3735.75</v>
      </c>
      <c r="O866" s="82">
        <v>0</v>
      </c>
      <c r="P866" s="9">
        <f t="shared" si="44"/>
        <v>0</v>
      </c>
      <c r="Q866" s="5">
        <f>232.76/3</f>
        <v>77.586666666666659</v>
      </c>
      <c r="R866" s="5"/>
      <c r="S866" s="5">
        <f t="shared" si="45"/>
        <v>3813.3366666666666</v>
      </c>
      <c r="T866" s="1" t="s">
        <v>2887</v>
      </c>
      <c r="U866" s="1" t="s">
        <v>633</v>
      </c>
      <c r="V866" s="1" t="s">
        <v>1551</v>
      </c>
      <c r="W866" s="1" t="s">
        <v>2649</v>
      </c>
      <c r="X866" s="1"/>
      <c r="Y866" s="1"/>
      <c r="Z866" s="21"/>
      <c r="AA866" s="8"/>
      <c r="AB866" s="8">
        <v>3</v>
      </c>
      <c r="AC866" s="22" t="s">
        <v>3404</v>
      </c>
      <c r="AD866" s="1"/>
      <c r="AE866" s="29"/>
      <c r="AF866" s="1"/>
      <c r="AG866" s="2"/>
    </row>
    <row r="867" spans="1:33" s="24" customFormat="1" x14ac:dyDescent="0.25">
      <c r="A867" s="4"/>
      <c r="B867" s="4">
        <v>45968</v>
      </c>
      <c r="C867" s="1" t="s">
        <v>1991</v>
      </c>
      <c r="D867" s="186" t="s">
        <v>3571</v>
      </c>
      <c r="E867" s="4" t="s">
        <v>2648</v>
      </c>
      <c r="F867" s="236" t="s">
        <v>1550</v>
      </c>
      <c r="G867" s="1" t="s">
        <v>1550</v>
      </c>
      <c r="H867" s="8">
        <v>3</v>
      </c>
      <c r="I867" s="8">
        <v>3</v>
      </c>
      <c r="J867" s="115">
        <f>Table224[[#This Row],[Qty]]-Table224[[#This Row],[Issue Qty]]</f>
        <v>0</v>
      </c>
      <c r="K867" s="332">
        <v>2</v>
      </c>
      <c r="L867" s="195" t="s">
        <v>3480</v>
      </c>
      <c r="M867" s="5">
        <v>1245.25</v>
      </c>
      <c r="N867" s="5">
        <f t="shared" si="43"/>
        <v>3735.75</v>
      </c>
      <c r="O867" s="82">
        <v>0</v>
      </c>
      <c r="P867" s="9">
        <f t="shared" si="44"/>
        <v>0</v>
      </c>
      <c r="Q867" s="5">
        <f>232.76/3</f>
        <v>77.586666666666659</v>
      </c>
      <c r="R867" s="5"/>
      <c r="S867" s="5">
        <f t="shared" si="45"/>
        <v>3813.3366666666666</v>
      </c>
      <c r="T867" s="1" t="s">
        <v>2887</v>
      </c>
      <c r="U867" s="1" t="s">
        <v>633</v>
      </c>
      <c r="V867" s="1" t="s">
        <v>1551</v>
      </c>
      <c r="W867" s="1" t="s">
        <v>2649</v>
      </c>
      <c r="X867" s="1"/>
      <c r="Y867" s="1"/>
      <c r="Z867" s="21"/>
      <c r="AA867" s="8"/>
      <c r="AB867" s="8">
        <v>3</v>
      </c>
      <c r="AC867" s="22" t="s">
        <v>3404</v>
      </c>
      <c r="AD867" s="1"/>
      <c r="AE867" s="29"/>
      <c r="AF867" s="1"/>
      <c r="AG867" s="2"/>
    </row>
    <row r="868" spans="1:33" s="24" customFormat="1" x14ac:dyDescent="0.25">
      <c r="A868" s="4"/>
      <c r="B868" s="4">
        <v>45968</v>
      </c>
      <c r="C868" s="1" t="s">
        <v>1991</v>
      </c>
      <c r="D868" s="186" t="s">
        <v>3571</v>
      </c>
      <c r="E868" s="4" t="s">
        <v>2650</v>
      </c>
      <c r="F868" s="236" t="s">
        <v>1552</v>
      </c>
      <c r="G868" s="1" t="s">
        <v>1552</v>
      </c>
      <c r="H868" s="8">
        <v>3</v>
      </c>
      <c r="I868" s="8">
        <v>3</v>
      </c>
      <c r="J868" s="115">
        <f>Table224[[#This Row],[Qty]]-Table224[[#This Row],[Issue Qty]]</f>
        <v>0</v>
      </c>
      <c r="K868" s="332">
        <v>2</v>
      </c>
      <c r="L868" s="195" t="s">
        <v>3480</v>
      </c>
      <c r="M868" s="5">
        <v>1245.25</v>
      </c>
      <c r="N868" s="5">
        <f t="shared" si="43"/>
        <v>3735.75</v>
      </c>
      <c r="O868" s="82">
        <v>0</v>
      </c>
      <c r="P868" s="9">
        <f t="shared" si="44"/>
        <v>0</v>
      </c>
      <c r="Q868" s="5">
        <f>232.76/3</f>
        <v>77.586666666666659</v>
      </c>
      <c r="R868" s="5"/>
      <c r="S868" s="5">
        <f t="shared" si="45"/>
        <v>3813.3366666666666</v>
      </c>
      <c r="T868" s="1" t="s">
        <v>2887</v>
      </c>
      <c r="U868" s="1" t="s">
        <v>633</v>
      </c>
      <c r="V868" s="1" t="s">
        <v>1551</v>
      </c>
      <c r="W868" s="1" t="s">
        <v>2649</v>
      </c>
      <c r="X868" s="1"/>
      <c r="Y868" s="1"/>
      <c r="Z868" s="21"/>
      <c r="AA868" s="8"/>
      <c r="AB868" s="8">
        <v>3</v>
      </c>
      <c r="AC868" s="22" t="s">
        <v>3404</v>
      </c>
      <c r="AD868" s="1"/>
      <c r="AE868" s="69"/>
      <c r="AF868" s="8"/>
      <c r="AG868" s="21"/>
    </row>
    <row r="869" spans="1:33" s="24" customFormat="1" x14ac:dyDescent="0.25">
      <c r="A869" s="4"/>
      <c r="B869" s="4">
        <v>45971</v>
      </c>
      <c r="C869" s="1" t="s">
        <v>1991</v>
      </c>
      <c r="D869" s="186" t="s">
        <v>3492</v>
      </c>
      <c r="E869" s="4" t="s">
        <v>2652</v>
      </c>
      <c r="F869" s="232" t="s">
        <v>1554</v>
      </c>
      <c r="G869" s="1" t="s">
        <v>1554</v>
      </c>
      <c r="H869" s="8">
        <v>1</v>
      </c>
      <c r="I869" s="8">
        <v>1</v>
      </c>
      <c r="J869" s="115">
        <f>Table224[[#This Row],[Qty]]-Table224[[#This Row],[Issue Qty]]</f>
        <v>0</v>
      </c>
      <c r="K869" s="195"/>
      <c r="L869" s="195" t="s">
        <v>3480</v>
      </c>
      <c r="M869" s="5">
        <v>1870</v>
      </c>
      <c r="N869" s="5">
        <f t="shared" si="43"/>
        <v>1870</v>
      </c>
      <c r="O869" s="82">
        <v>0.05</v>
      </c>
      <c r="P869" s="9">
        <f t="shared" si="44"/>
        <v>93.5</v>
      </c>
      <c r="Q869" s="5"/>
      <c r="R869" s="5">
        <v>0.5</v>
      </c>
      <c r="S869" s="5">
        <f t="shared" si="45"/>
        <v>1964</v>
      </c>
      <c r="T869" s="1" t="s">
        <v>145</v>
      </c>
      <c r="U869" s="1" t="s">
        <v>145</v>
      </c>
      <c r="V869" s="1" t="s">
        <v>794</v>
      </c>
      <c r="W869" s="1" t="s">
        <v>2653</v>
      </c>
      <c r="X869" s="1"/>
      <c r="Y869" s="1"/>
      <c r="Z869" s="21" t="s">
        <v>650</v>
      </c>
      <c r="AA869" s="8"/>
      <c r="AB869" s="8">
        <v>1</v>
      </c>
      <c r="AC869" s="22" t="s">
        <v>145</v>
      </c>
      <c r="AD869" s="1"/>
      <c r="AE869" s="29"/>
      <c r="AF869" s="1"/>
      <c r="AG869" s="2"/>
    </row>
    <row r="870" spans="1:33" s="24" customFormat="1" x14ac:dyDescent="0.25">
      <c r="A870" s="4"/>
      <c r="B870" s="4">
        <v>45971</v>
      </c>
      <c r="C870" s="6" t="s">
        <v>1683</v>
      </c>
      <c r="D870" s="186" t="s">
        <v>1663</v>
      </c>
      <c r="E870" s="4" t="s">
        <v>2477</v>
      </c>
      <c r="F870" s="169" t="s">
        <v>1384</v>
      </c>
      <c r="G870" s="1" t="s">
        <v>1549</v>
      </c>
      <c r="H870" s="8">
        <v>1</v>
      </c>
      <c r="I870" s="8"/>
      <c r="J870" s="115">
        <f>Table224[[#This Row],[Qty]]-Table224[[#This Row],[Issue Qty]]</f>
        <v>1</v>
      </c>
      <c r="K870" s="195"/>
      <c r="L870" s="195" t="s">
        <v>3480</v>
      </c>
      <c r="M870" s="5"/>
      <c r="N870" s="5">
        <f t="shared" si="43"/>
        <v>0</v>
      </c>
      <c r="O870" s="82"/>
      <c r="P870" s="9">
        <f t="shared" si="44"/>
        <v>0</v>
      </c>
      <c r="Q870" s="5"/>
      <c r="R870" s="5"/>
      <c r="S870" s="5">
        <f t="shared" si="45"/>
        <v>0</v>
      </c>
      <c r="T870" s="1" t="s">
        <v>145</v>
      </c>
      <c r="U870" s="1" t="s">
        <v>145</v>
      </c>
      <c r="V870" s="1" t="s">
        <v>896</v>
      </c>
      <c r="W870" s="1" t="s">
        <v>37</v>
      </c>
      <c r="X870" s="1"/>
      <c r="Y870" s="2"/>
      <c r="Z870" s="21"/>
      <c r="AA870" s="21"/>
      <c r="AB870" s="21">
        <v>1</v>
      </c>
      <c r="AC870" s="12" t="s">
        <v>1100</v>
      </c>
      <c r="AD870" s="2"/>
      <c r="AE870" s="29"/>
      <c r="AF870" s="2"/>
      <c r="AG870" s="2"/>
    </row>
    <row r="871" spans="1:33" s="24" customFormat="1" x14ac:dyDescent="0.25">
      <c r="A871" s="4"/>
      <c r="B871" s="4">
        <v>45971</v>
      </c>
      <c r="C871" s="6" t="s">
        <v>1683</v>
      </c>
      <c r="D871" s="186" t="s">
        <v>1663</v>
      </c>
      <c r="E871" s="4" t="s">
        <v>2654</v>
      </c>
      <c r="F871" s="233" t="s">
        <v>1555</v>
      </c>
      <c r="G871" s="1" t="s">
        <v>1555</v>
      </c>
      <c r="H871" s="8">
        <v>1</v>
      </c>
      <c r="I871" s="8"/>
      <c r="J871" s="115">
        <f>Table224[[#This Row],[Qty]]-Table224[[#This Row],[Issue Qty]]</f>
        <v>1</v>
      </c>
      <c r="K871" s="195"/>
      <c r="L871" s="195" t="s">
        <v>3480</v>
      </c>
      <c r="M871" s="5">
        <v>1800</v>
      </c>
      <c r="N871" s="5">
        <f t="shared" si="43"/>
        <v>1800</v>
      </c>
      <c r="O871" s="82">
        <v>0.18</v>
      </c>
      <c r="P871" s="9">
        <f t="shared" si="44"/>
        <v>324</v>
      </c>
      <c r="Q871" s="5"/>
      <c r="R871" s="5"/>
      <c r="S871" s="5">
        <f t="shared" si="45"/>
        <v>2124</v>
      </c>
      <c r="T871" s="1" t="s">
        <v>2887</v>
      </c>
      <c r="U871" s="1" t="s">
        <v>633</v>
      </c>
      <c r="V871" s="1" t="s">
        <v>896</v>
      </c>
      <c r="W871" s="1" t="s">
        <v>2655</v>
      </c>
      <c r="X871" s="1"/>
      <c r="Y871" s="2"/>
      <c r="Z871" s="21"/>
      <c r="AA871" s="21"/>
      <c r="AB871" s="21">
        <v>1</v>
      </c>
      <c r="AC871" s="12" t="s">
        <v>1100</v>
      </c>
      <c r="AD871" s="2"/>
      <c r="AE871" s="29"/>
      <c r="AF871" s="2"/>
      <c r="AG871" s="2"/>
    </row>
    <row r="872" spans="1:33" s="24" customFormat="1" ht="45" x14ac:dyDescent="0.25">
      <c r="A872" s="4"/>
      <c r="B872" s="4">
        <v>45972</v>
      </c>
      <c r="C872" s="6" t="s">
        <v>1683</v>
      </c>
      <c r="D872" s="186" t="s">
        <v>3488</v>
      </c>
      <c r="E872" s="1" t="s">
        <v>2656</v>
      </c>
      <c r="F872" s="102" t="s">
        <v>1556</v>
      </c>
      <c r="G872" s="1" t="s">
        <v>1556</v>
      </c>
      <c r="H872" s="8">
        <v>1</v>
      </c>
      <c r="I872" s="8"/>
      <c r="J872" s="115">
        <f>Table224[[#This Row],[Qty]]-Table224[[#This Row],[Issue Qty]]</f>
        <v>1</v>
      </c>
      <c r="K872" s="195"/>
      <c r="L872" s="195" t="s">
        <v>3480</v>
      </c>
      <c r="M872" s="5">
        <v>8729.66</v>
      </c>
      <c r="N872" s="5">
        <f t="shared" si="43"/>
        <v>8729.66</v>
      </c>
      <c r="O872" s="82">
        <v>0.18</v>
      </c>
      <c r="P872" s="9">
        <f t="shared" si="44"/>
        <v>1571.3388</v>
      </c>
      <c r="Q872" s="5"/>
      <c r="R872" s="5"/>
      <c r="S872" s="5">
        <f t="shared" si="45"/>
        <v>10300.998799999999</v>
      </c>
      <c r="T872" s="1" t="s">
        <v>145</v>
      </c>
      <c r="U872" s="1" t="s">
        <v>145</v>
      </c>
      <c r="V872" s="1" t="s">
        <v>634</v>
      </c>
      <c r="W872" s="1" t="s">
        <v>2657</v>
      </c>
      <c r="X872" s="1"/>
      <c r="Y872" s="1"/>
      <c r="Z872" s="21" t="s">
        <v>398</v>
      </c>
      <c r="AA872" s="8"/>
      <c r="AB872" s="8"/>
      <c r="AC872" s="22"/>
      <c r="AD872" s="1"/>
      <c r="AE872" s="29"/>
      <c r="AF872" s="2"/>
      <c r="AG872" s="2"/>
    </row>
    <row r="873" spans="1:33" s="24" customFormat="1" x14ac:dyDescent="0.25">
      <c r="A873" s="4"/>
      <c r="B873" s="4">
        <v>45973</v>
      </c>
      <c r="C873" s="6" t="s">
        <v>1683</v>
      </c>
      <c r="D873" s="186" t="s">
        <v>1663</v>
      </c>
      <c r="E873" s="1" t="s">
        <v>2072</v>
      </c>
      <c r="F873" s="232" t="s">
        <v>827</v>
      </c>
      <c r="G873" s="1" t="s">
        <v>827</v>
      </c>
      <c r="H873" s="58">
        <v>6</v>
      </c>
      <c r="I873" s="58"/>
      <c r="J873" s="159">
        <f>Table224[[#This Row],[Qty]]-Table224[[#This Row],[Issue Qty]]</f>
        <v>6</v>
      </c>
      <c r="K873" s="228"/>
      <c r="L873" s="228" t="s">
        <v>3480</v>
      </c>
      <c r="M873" s="5">
        <v>13625</v>
      </c>
      <c r="N873" s="5">
        <f t="shared" si="43"/>
        <v>81750</v>
      </c>
      <c r="O873" s="82">
        <v>0.18</v>
      </c>
      <c r="P873" s="9">
        <f t="shared" si="44"/>
        <v>14715</v>
      </c>
      <c r="Q873" s="5"/>
      <c r="R873" s="5"/>
      <c r="S873" s="5">
        <f t="shared" si="45"/>
        <v>96465</v>
      </c>
      <c r="T873" s="1" t="s">
        <v>606</v>
      </c>
      <c r="U873" s="1" t="s">
        <v>606</v>
      </c>
      <c r="V873" s="1" t="s">
        <v>444</v>
      </c>
      <c r="W873" s="1" t="s">
        <v>2659</v>
      </c>
      <c r="X873" s="1"/>
      <c r="Y873" s="1"/>
      <c r="Z873" s="21" t="s">
        <v>398</v>
      </c>
      <c r="AA873" s="8"/>
      <c r="AB873" s="8"/>
      <c r="AC873" s="22"/>
      <c r="AD873" s="1"/>
      <c r="AE873" s="29"/>
      <c r="AF873" s="2"/>
      <c r="AG873" s="2"/>
    </row>
    <row r="874" spans="1:33" s="24" customFormat="1" x14ac:dyDescent="0.25">
      <c r="A874" s="4"/>
      <c r="B874" s="4">
        <v>45973</v>
      </c>
      <c r="C874" s="6" t="s">
        <v>1683</v>
      </c>
      <c r="D874" s="186" t="s">
        <v>1663</v>
      </c>
      <c r="E874" s="1" t="s">
        <v>2654</v>
      </c>
      <c r="F874" s="102" t="s">
        <v>1555</v>
      </c>
      <c r="G874" s="1" t="s">
        <v>1555</v>
      </c>
      <c r="H874" s="8">
        <v>2</v>
      </c>
      <c r="I874" s="8"/>
      <c r="J874" s="115">
        <f>Table224[[#This Row],[Qty]]-Table224[[#This Row],[Issue Qty]]</f>
        <v>2</v>
      </c>
      <c r="K874" s="195"/>
      <c r="L874" s="195" t="s">
        <v>3480</v>
      </c>
      <c r="M874" s="5">
        <v>1500</v>
      </c>
      <c r="N874" s="5">
        <f t="shared" si="43"/>
        <v>3000</v>
      </c>
      <c r="O874" s="82">
        <v>0.18</v>
      </c>
      <c r="P874" s="9">
        <f t="shared" si="44"/>
        <v>540</v>
      </c>
      <c r="Q874" s="5"/>
      <c r="R874" s="5"/>
      <c r="S874" s="5">
        <f t="shared" si="45"/>
        <v>3540</v>
      </c>
      <c r="T874" s="1" t="s">
        <v>2887</v>
      </c>
      <c r="U874" s="1" t="s">
        <v>633</v>
      </c>
      <c r="V874" s="1" t="s">
        <v>896</v>
      </c>
      <c r="W874" s="1" t="s">
        <v>2658</v>
      </c>
      <c r="X874" s="1"/>
      <c r="Y874" s="2"/>
      <c r="Z874" s="21"/>
      <c r="AA874" s="21"/>
      <c r="AB874" s="21">
        <v>2</v>
      </c>
      <c r="AC874" s="12" t="s">
        <v>1032</v>
      </c>
      <c r="AD874" s="2"/>
      <c r="AE874" s="29"/>
      <c r="AF874" s="2"/>
      <c r="AG874" s="2"/>
    </row>
    <row r="875" spans="1:33" s="24" customFormat="1" x14ac:dyDescent="0.25">
      <c r="A875" s="4"/>
      <c r="B875" s="4">
        <v>45974</v>
      </c>
      <c r="C875" s="6" t="s">
        <v>1683</v>
      </c>
      <c r="D875" s="186" t="s">
        <v>1663</v>
      </c>
      <c r="E875" s="1" t="s">
        <v>2515</v>
      </c>
      <c r="F875" s="232" t="s">
        <v>1422</v>
      </c>
      <c r="G875" s="1" t="s">
        <v>1422</v>
      </c>
      <c r="H875" s="8">
        <v>3</v>
      </c>
      <c r="I875" s="8"/>
      <c r="J875" s="115">
        <f>Table224[[#This Row],[Qty]]-Table224[[#This Row],[Issue Qty]]</f>
        <v>3</v>
      </c>
      <c r="K875" s="195"/>
      <c r="L875" s="195" t="s">
        <v>3480</v>
      </c>
      <c r="M875" s="5">
        <v>3000</v>
      </c>
      <c r="N875" s="5">
        <f t="shared" si="43"/>
        <v>9000</v>
      </c>
      <c r="O875" s="82">
        <v>0.18</v>
      </c>
      <c r="P875" s="9">
        <f t="shared" si="44"/>
        <v>1620</v>
      </c>
      <c r="Q875" s="5"/>
      <c r="R875" s="5"/>
      <c r="S875" s="5">
        <f t="shared" si="45"/>
        <v>10620</v>
      </c>
      <c r="T875" s="1" t="s">
        <v>980</v>
      </c>
      <c r="U875" s="1" t="s">
        <v>980</v>
      </c>
      <c r="V875" s="1" t="s">
        <v>896</v>
      </c>
      <c r="W875" s="1" t="s">
        <v>2658</v>
      </c>
      <c r="X875" s="1"/>
      <c r="Y875" s="2"/>
      <c r="Z875" s="21" t="s">
        <v>398</v>
      </c>
      <c r="AA875" s="21"/>
      <c r="AB875" s="21">
        <v>2</v>
      </c>
      <c r="AC875" s="12" t="s">
        <v>1032</v>
      </c>
      <c r="AD875" s="2"/>
      <c r="AE875" s="29"/>
      <c r="AF875" s="2"/>
      <c r="AG875" s="2"/>
    </row>
    <row r="876" spans="1:33" s="24" customFormat="1" x14ac:dyDescent="0.25">
      <c r="A876" s="4"/>
      <c r="B876" s="4">
        <v>45976</v>
      </c>
      <c r="C876" s="6" t="s">
        <v>1683</v>
      </c>
      <c r="D876" s="186" t="s">
        <v>3487</v>
      </c>
      <c r="E876" s="1" t="s">
        <v>2660</v>
      </c>
      <c r="F876" s="102" t="s">
        <v>1557</v>
      </c>
      <c r="G876" s="1" t="s">
        <v>1557</v>
      </c>
      <c r="H876" s="8">
        <v>10</v>
      </c>
      <c r="I876" s="8">
        <v>10</v>
      </c>
      <c r="J876" s="115">
        <f>Table224[[#This Row],[Qty]]-Table224[[#This Row],[Issue Qty]]</f>
        <v>0</v>
      </c>
      <c r="K876" s="195"/>
      <c r="L876" s="195" t="s">
        <v>3480</v>
      </c>
      <c r="M876" s="5"/>
      <c r="N876" s="5">
        <f t="shared" si="43"/>
        <v>0</v>
      </c>
      <c r="O876" s="82"/>
      <c r="P876" s="9">
        <f t="shared" si="44"/>
        <v>0</v>
      </c>
      <c r="Q876" s="5"/>
      <c r="R876" s="5"/>
      <c r="S876" s="5">
        <f t="shared" si="45"/>
        <v>0</v>
      </c>
      <c r="T876" s="1" t="s">
        <v>1408</v>
      </c>
      <c r="U876" s="1" t="s">
        <v>1408</v>
      </c>
      <c r="V876" s="1" t="s">
        <v>444</v>
      </c>
      <c r="W876" s="1"/>
      <c r="X876" s="1"/>
      <c r="Y876" s="2"/>
      <c r="Z876" s="21" t="s">
        <v>638</v>
      </c>
      <c r="AA876" s="21"/>
      <c r="AB876" s="21">
        <v>10</v>
      </c>
      <c r="AC876" s="12" t="s">
        <v>2887</v>
      </c>
      <c r="AD876" s="2"/>
      <c r="AE876" s="29"/>
      <c r="AF876" s="2"/>
      <c r="AG876" s="2"/>
    </row>
    <row r="877" spans="1:33" s="24" customFormat="1" x14ac:dyDescent="0.25">
      <c r="A877" s="4"/>
      <c r="B877" s="4">
        <v>45981</v>
      </c>
      <c r="C877" s="6" t="s">
        <v>1730</v>
      </c>
      <c r="D877" s="186" t="s">
        <v>3495</v>
      </c>
      <c r="E877" s="1" t="s">
        <v>2661</v>
      </c>
      <c r="F877" s="102" t="s">
        <v>1559</v>
      </c>
      <c r="G877" s="1" t="s">
        <v>1559</v>
      </c>
      <c r="H877" s="8">
        <v>1</v>
      </c>
      <c r="I877" s="8"/>
      <c r="J877" s="115">
        <f>Table224[[#This Row],[Qty]]-Table224[[#This Row],[Issue Qty]]</f>
        <v>1</v>
      </c>
      <c r="K877" s="195"/>
      <c r="L877" s="195" t="s">
        <v>3480</v>
      </c>
      <c r="M877" s="5">
        <v>320</v>
      </c>
      <c r="N877" s="5">
        <f t="shared" si="43"/>
        <v>320</v>
      </c>
      <c r="O877" s="82">
        <v>0.18</v>
      </c>
      <c r="P877" s="9">
        <f t="shared" si="44"/>
        <v>57.599999999999994</v>
      </c>
      <c r="Q877" s="5">
        <v>60</v>
      </c>
      <c r="R877" s="5"/>
      <c r="S877" s="5">
        <f t="shared" si="45"/>
        <v>437.6</v>
      </c>
      <c r="T877" s="1" t="s">
        <v>606</v>
      </c>
      <c r="U877" s="1" t="s">
        <v>606</v>
      </c>
      <c r="V877" s="1" t="s">
        <v>1560</v>
      </c>
      <c r="W877" s="1" t="s">
        <v>2662</v>
      </c>
      <c r="X877" s="1"/>
      <c r="Y877" s="1"/>
      <c r="Z877" s="21" t="s">
        <v>699</v>
      </c>
      <c r="AA877" s="8"/>
      <c r="AB877" s="8"/>
      <c r="AC877" s="22"/>
      <c r="AD877" s="1"/>
      <c r="AE877" s="29"/>
      <c r="AF877" s="1" t="s">
        <v>1638</v>
      </c>
      <c r="AG877" s="2"/>
    </row>
    <row r="878" spans="1:33" s="24" customFormat="1" ht="30" x14ac:dyDescent="0.25">
      <c r="A878" s="4"/>
      <c r="B878" s="4">
        <v>45982</v>
      </c>
      <c r="C878" s="1" t="s">
        <v>1991</v>
      </c>
      <c r="D878" s="224" t="s">
        <v>3455</v>
      </c>
      <c r="E878" s="1" t="s">
        <v>2587</v>
      </c>
      <c r="F878" s="102" t="s">
        <v>1491</v>
      </c>
      <c r="G878" s="1" t="s">
        <v>1491</v>
      </c>
      <c r="H878" s="8">
        <v>10</v>
      </c>
      <c r="I878" s="8">
        <v>0</v>
      </c>
      <c r="J878" s="115">
        <f>Table224[[#This Row],[Qty]]-Table224[[#This Row],[Issue Qty]]</f>
        <v>10</v>
      </c>
      <c r="K878" s="195"/>
      <c r="L878" s="195" t="s">
        <v>3480</v>
      </c>
      <c r="M878" s="5">
        <v>463.01</v>
      </c>
      <c r="N878" s="5">
        <f t="shared" si="43"/>
        <v>4630.1000000000004</v>
      </c>
      <c r="O878" s="82">
        <v>0.18</v>
      </c>
      <c r="P878" s="9">
        <f t="shared" si="44"/>
        <v>833.41800000000001</v>
      </c>
      <c r="Q878" s="5"/>
      <c r="R878" s="5">
        <v>0.48</v>
      </c>
      <c r="S878" s="5">
        <f t="shared" si="45"/>
        <v>5463.9979999999996</v>
      </c>
      <c r="T878" s="1" t="s">
        <v>2887</v>
      </c>
      <c r="U878" s="1" t="s">
        <v>633</v>
      </c>
      <c r="V878" s="1" t="s">
        <v>312</v>
      </c>
      <c r="W878" s="1" t="s">
        <v>2663</v>
      </c>
      <c r="X878" s="1"/>
      <c r="Y878" s="1"/>
      <c r="Z878" s="21" t="s">
        <v>650</v>
      </c>
      <c r="AA878" s="8"/>
      <c r="AB878" s="8"/>
      <c r="AC878" s="22"/>
      <c r="AD878" s="1"/>
      <c r="AE878" s="29"/>
      <c r="AF878" s="1" t="s">
        <v>1639</v>
      </c>
      <c r="AG878" s="2"/>
    </row>
    <row r="879" spans="1:33" s="24" customFormat="1" x14ac:dyDescent="0.25">
      <c r="A879" s="78">
        <v>45957</v>
      </c>
      <c r="B879" s="78">
        <v>45985</v>
      </c>
      <c r="C879" s="1" t="s">
        <v>54</v>
      </c>
      <c r="D879" s="186" t="s">
        <v>3430</v>
      </c>
      <c r="E879" s="1" t="s">
        <v>2565</v>
      </c>
      <c r="F879" s="236" t="s">
        <v>1472</v>
      </c>
      <c r="G879" s="1" t="s">
        <v>1472</v>
      </c>
      <c r="H879" s="8">
        <v>6</v>
      </c>
      <c r="I879" s="8">
        <v>4</v>
      </c>
      <c r="J879" s="115">
        <f>Table224[[#This Row],[Qty]]-Table224[[#This Row],[Issue Qty]]</f>
        <v>2</v>
      </c>
      <c r="K879" s="332">
        <v>2</v>
      </c>
      <c r="L879" s="195" t="s">
        <v>3479</v>
      </c>
      <c r="M879" s="5">
        <v>26190.47</v>
      </c>
      <c r="N879" s="5">
        <f t="shared" si="43"/>
        <v>157142.82</v>
      </c>
      <c r="O879" s="82">
        <v>0.05</v>
      </c>
      <c r="P879" s="9">
        <f t="shared" si="44"/>
        <v>7857.1410000000005</v>
      </c>
      <c r="Q879" s="5">
        <v>840</v>
      </c>
      <c r="R879" s="5">
        <v>0.04</v>
      </c>
      <c r="S879" s="5">
        <f t="shared" si="45"/>
        <v>165840.00100000002</v>
      </c>
      <c r="T879" s="1" t="s">
        <v>2887</v>
      </c>
      <c r="U879" s="1" t="s">
        <v>633</v>
      </c>
      <c r="V879" s="1" t="s">
        <v>1255</v>
      </c>
      <c r="W879" s="1" t="s">
        <v>2664</v>
      </c>
      <c r="X879" s="1"/>
      <c r="Y879" s="1"/>
      <c r="Z879" s="21" t="s">
        <v>126</v>
      </c>
      <c r="AA879" s="8"/>
      <c r="AB879" s="8">
        <v>4</v>
      </c>
      <c r="AC879" s="22" t="s">
        <v>3477</v>
      </c>
      <c r="AD879" s="1"/>
      <c r="AE879" s="29"/>
      <c r="AF879" s="1"/>
      <c r="AG879" s="2"/>
    </row>
    <row r="880" spans="1:33" s="24" customFormat="1" ht="30" x14ac:dyDescent="0.25">
      <c r="A880" s="4"/>
      <c r="B880" s="4">
        <v>45985</v>
      </c>
      <c r="C880" s="6" t="s">
        <v>1695</v>
      </c>
      <c r="D880" s="186" t="s">
        <v>3457</v>
      </c>
      <c r="E880" s="1" t="s">
        <v>2578</v>
      </c>
      <c r="F880" s="102" t="s">
        <v>1485</v>
      </c>
      <c r="G880" s="1" t="s">
        <v>1485</v>
      </c>
      <c r="H880" s="8">
        <v>1</v>
      </c>
      <c r="I880" s="8">
        <v>1</v>
      </c>
      <c r="J880" s="115">
        <f>Table224[[#This Row],[Qty]]-Table224[[#This Row],[Issue Qty]]</f>
        <v>0</v>
      </c>
      <c r="K880" s="195"/>
      <c r="L880" s="195" t="s">
        <v>3480</v>
      </c>
      <c r="M880" s="5">
        <v>368000</v>
      </c>
      <c r="N880" s="5">
        <f t="shared" si="43"/>
        <v>368000</v>
      </c>
      <c r="O880" s="82">
        <v>0.05</v>
      </c>
      <c r="P880" s="9">
        <f t="shared" si="44"/>
        <v>18400</v>
      </c>
      <c r="Q880" s="5"/>
      <c r="R880" s="5"/>
      <c r="S880" s="5">
        <f t="shared" si="45"/>
        <v>386400</v>
      </c>
      <c r="T880" s="1" t="s">
        <v>2887</v>
      </c>
      <c r="U880" s="1" t="s">
        <v>633</v>
      </c>
      <c r="V880" s="1" t="s">
        <v>1420</v>
      </c>
      <c r="W880" s="1" t="s">
        <v>2665</v>
      </c>
      <c r="X880" s="1"/>
      <c r="Y880" s="1"/>
      <c r="Z880" s="21" t="s">
        <v>1046</v>
      </c>
      <c r="AA880" s="8"/>
      <c r="AB880" s="8">
        <v>1</v>
      </c>
      <c r="AC880" s="77" t="s">
        <v>3607</v>
      </c>
      <c r="AD880" s="1"/>
      <c r="AE880" s="29"/>
      <c r="AF880" s="1" t="s">
        <v>1640</v>
      </c>
      <c r="AG880" s="2"/>
    </row>
    <row r="881" spans="1:33" s="24" customFormat="1" x14ac:dyDescent="0.25">
      <c r="A881" s="4"/>
      <c r="B881" s="4">
        <v>45992</v>
      </c>
      <c r="C881" s="1" t="s">
        <v>54</v>
      </c>
      <c r="D881" s="186" t="s">
        <v>3430</v>
      </c>
      <c r="E881" s="1" t="s">
        <v>2668</v>
      </c>
      <c r="F881" s="236" t="s">
        <v>1562</v>
      </c>
      <c r="G881" s="1" t="s">
        <v>1562</v>
      </c>
      <c r="H881" s="8">
        <v>3</v>
      </c>
      <c r="I881" s="8">
        <v>1</v>
      </c>
      <c r="J881" s="115">
        <f>Table224[[#This Row],[Qty]]-Table224[[#This Row],[Issue Qty]]</f>
        <v>2</v>
      </c>
      <c r="K881" s="332">
        <v>1</v>
      </c>
      <c r="L881" s="195" t="s">
        <v>3479</v>
      </c>
      <c r="M881" s="5">
        <v>757.14</v>
      </c>
      <c r="N881" s="5">
        <f t="shared" si="43"/>
        <v>2271.42</v>
      </c>
      <c r="O881" s="82">
        <v>0.05</v>
      </c>
      <c r="P881" s="9">
        <f t="shared" si="44"/>
        <v>113.57100000000001</v>
      </c>
      <c r="Q881" s="5">
        <v>200</v>
      </c>
      <c r="R881" s="5">
        <v>0.01</v>
      </c>
      <c r="S881" s="5">
        <f t="shared" si="45"/>
        <v>2585.0010000000002</v>
      </c>
      <c r="T881" s="1" t="s">
        <v>145</v>
      </c>
      <c r="U881" s="1" t="s">
        <v>145</v>
      </c>
      <c r="V881" s="1" t="s">
        <v>968</v>
      </c>
      <c r="W881" s="1" t="s">
        <v>2669</v>
      </c>
      <c r="X881" s="1">
        <v>88073020</v>
      </c>
      <c r="Y881" s="1"/>
      <c r="Z881" s="21" t="s">
        <v>156</v>
      </c>
      <c r="AA881" s="8" t="s">
        <v>157</v>
      </c>
      <c r="AB881" s="8">
        <v>1</v>
      </c>
      <c r="AC881" s="42" t="s">
        <v>145</v>
      </c>
      <c r="AD881" s="1"/>
      <c r="AE881" s="29"/>
      <c r="AF881" s="2"/>
      <c r="AG881" s="2"/>
    </row>
    <row r="882" spans="1:33" s="24" customFormat="1" x14ac:dyDescent="0.25">
      <c r="A882" s="4"/>
      <c r="B882" s="4">
        <v>45992</v>
      </c>
      <c r="C882" s="6" t="s">
        <v>1683</v>
      </c>
      <c r="D882" s="186" t="s">
        <v>3487</v>
      </c>
      <c r="E882" s="1" t="s">
        <v>2678</v>
      </c>
      <c r="F882" s="102" t="s">
        <v>1567</v>
      </c>
      <c r="G882" s="1" t="s">
        <v>1567</v>
      </c>
      <c r="H882" s="8">
        <v>45</v>
      </c>
      <c r="I882" s="8">
        <v>45</v>
      </c>
      <c r="J882" s="115">
        <f>Table224[[#This Row],[Qty]]-Table224[[#This Row],[Issue Qty]]</f>
        <v>0</v>
      </c>
      <c r="K882" s="195"/>
      <c r="L882" s="195" t="s">
        <v>3480</v>
      </c>
      <c r="M882" s="5">
        <v>28</v>
      </c>
      <c r="N882" s="5">
        <f t="shared" si="43"/>
        <v>1260</v>
      </c>
      <c r="O882" s="82">
        <v>0.18</v>
      </c>
      <c r="P882" s="9">
        <f t="shared" si="44"/>
        <v>226.79999999999998</v>
      </c>
      <c r="Q882" s="5"/>
      <c r="R882" s="5"/>
      <c r="S882" s="5">
        <f t="shared" si="45"/>
        <v>1486.8</v>
      </c>
      <c r="T882" s="1" t="s">
        <v>606</v>
      </c>
      <c r="U882" s="1" t="s">
        <v>606</v>
      </c>
      <c r="V882" s="1" t="s">
        <v>444</v>
      </c>
      <c r="W882" s="1" t="s">
        <v>2667</v>
      </c>
      <c r="X882" s="1">
        <v>85441920</v>
      </c>
      <c r="Y882" s="1"/>
      <c r="Z882" s="21" t="s">
        <v>78</v>
      </c>
      <c r="AA882" s="21" t="s">
        <v>1568</v>
      </c>
      <c r="AB882" s="8">
        <v>45</v>
      </c>
      <c r="AC882" s="22" t="s">
        <v>3899</v>
      </c>
      <c r="AD882" s="1"/>
      <c r="AE882" s="29"/>
      <c r="AF882" s="2"/>
      <c r="AG882" s="2"/>
    </row>
    <row r="883" spans="1:33" s="24" customFormat="1" x14ac:dyDescent="0.25">
      <c r="A883" s="4"/>
      <c r="B883" s="4">
        <v>45992</v>
      </c>
      <c r="C883" s="6" t="s">
        <v>1683</v>
      </c>
      <c r="D883" s="186" t="s">
        <v>3487</v>
      </c>
      <c r="E883" s="1" t="s">
        <v>1996</v>
      </c>
      <c r="F883" s="102" t="s">
        <v>705</v>
      </c>
      <c r="G883" s="1" t="s">
        <v>705</v>
      </c>
      <c r="H883" s="8">
        <v>42</v>
      </c>
      <c r="I883" s="8">
        <v>40</v>
      </c>
      <c r="J883" s="115">
        <f>Table224[[#This Row],[Qty]]-Table224[[#This Row],[Issue Qty]]</f>
        <v>2</v>
      </c>
      <c r="K883" s="195"/>
      <c r="L883" s="195" t="s">
        <v>3480</v>
      </c>
      <c r="M883" s="5">
        <v>25</v>
      </c>
      <c r="N883" s="5">
        <f t="shared" ref="N883:N946" si="46">H883*M883</f>
        <v>1050</v>
      </c>
      <c r="O883" s="82">
        <v>0.18</v>
      </c>
      <c r="P883" s="9">
        <f t="shared" ref="P883:P946" si="47">N883*O883</f>
        <v>189</v>
      </c>
      <c r="Q883" s="5"/>
      <c r="R883" s="5"/>
      <c r="S883" s="5">
        <f t="shared" ref="S883:S946" si="48">N883+P883+Q883+R883</f>
        <v>1239</v>
      </c>
      <c r="T883" s="1" t="s">
        <v>606</v>
      </c>
      <c r="U883" s="1" t="s">
        <v>606</v>
      </c>
      <c r="V883" s="1" t="s">
        <v>444</v>
      </c>
      <c r="W883" s="1" t="s">
        <v>2667</v>
      </c>
      <c r="X883" s="1">
        <v>85441920</v>
      </c>
      <c r="Y883" s="1"/>
      <c r="Z883" s="21" t="s">
        <v>78</v>
      </c>
      <c r="AA883" s="21" t="s">
        <v>1084</v>
      </c>
      <c r="AB883" s="8">
        <v>40</v>
      </c>
      <c r="AC883" s="22" t="s">
        <v>3899</v>
      </c>
      <c r="AD883" s="1"/>
      <c r="AE883" s="29"/>
      <c r="AF883" s="2"/>
      <c r="AG883" s="2"/>
    </row>
    <row r="884" spans="1:33" s="24" customFormat="1" x14ac:dyDescent="0.25">
      <c r="A884" s="4"/>
      <c r="B884" s="4">
        <v>45992</v>
      </c>
      <c r="C884" s="6" t="s">
        <v>1683</v>
      </c>
      <c r="D884" s="186" t="s">
        <v>3487</v>
      </c>
      <c r="E884" s="1" t="s">
        <v>2676</v>
      </c>
      <c r="F884" s="102" t="s">
        <v>1565</v>
      </c>
      <c r="G884" s="1" t="s">
        <v>1565</v>
      </c>
      <c r="H884" s="8">
        <v>20</v>
      </c>
      <c r="I884" s="8">
        <v>19</v>
      </c>
      <c r="J884" s="115">
        <f>Table224[[#This Row],[Qty]]-Table224[[#This Row],[Issue Qty]]</f>
        <v>1</v>
      </c>
      <c r="K884" s="195"/>
      <c r="L884" s="195" t="s">
        <v>3480</v>
      </c>
      <c r="M884" s="5">
        <v>148</v>
      </c>
      <c r="N884" s="5">
        <f t="shared" si="46"/>
        <v>2960</v>
      </c>
      <c r="O884" s="82">
        <v>0.18</v>
      </c>
      <c r="P884" s="9">
        <f t="shared" si="47"/>
        <v>532.79999999999995</v>
      </c>
      <c r="Q884" s="5"/>
      <c r="R884" s="5"/>
      <c r="S884" s="5">
        <f t="shared" si="48"/>
        <v>3492.8</v>
      </c>
      <c r="T884" s="1" t="s">
        <v>606</v>
      </c>
      <c r="U884" s="1" t="s">
        <v>606</v>
      </c>
      <c r="V884" s="1" t="s">
        <v>444</v>
      </c>
      <c r="W884" s="1" t="s">
        <v>2667</v>
      </c>
      <c r="X884" s="1">
        <v>85441920</v>
      </c>
      <c r="Y884" s="1"/>
      <c r="Z884" s="21" t="s">
        <v>78</v>
      </c>
      <c r="AA884" s="21" t="s">
        <v>1566</v>
      </c>
      <c r="AB884" s="8">
        <v>19</v>
      </c>
      <c r="AC884" s="22" t="s">
        <v>81</v>
      </c>
      <c r="AD884" s="1"/>
      <c r="AE884" s="29"/>
      <c r="AF884" s="2"/>
      <c r="AG884" s="2"/>
    </row>
    <row r="885" spans="1:33" s="24" customFormat="1" x14ac:dyDescent="0.25">
      <c r="A885" s="4"/>
      <c r="B885" s="4">
        <v>45992</v>
      </c>
      <c r="C885" s="6" t="s">
        <v>1683</v>
      </c>
      <c r="D885" s="186" t="s">
        <v>3487</v>
      </c>
      <c r="E885" s="1" t="s">
        <v>2676</v>
      </c>
      <c r="F885" s="102" t="s">
        <v>1565</v>
      </c>
      <c r="G885" s="1" t="s">
        <v>1565</v>
      </c>
      <c r="H885" s="8">
        <v>25</v>
      </c>
      <c r="I885" s="8"/>
      <c r="J885" s="115">
        <f>Table224[[#This Row],[Qty]]-Table224[[#This Row],[Issue Qty]]</f>
        <v>25</v>
      </c>
      <c r="K885" s="195"/>
      <c r="L885" s="195" t="s">
        <v>3480</v>
      </c>
      <c r="M885" s="5">
        <v>54</v>
      </c>
      <c r="N885" s="5">
        <f t="shared" si="46"/>
        <v>1350</v>
      </c>
      <c r="O885" s="82">
        <v>0.18</v>
      </c>
      <c r="P885" s="9">
        <f t="shared" si="47"/>
        <v>243</v>
      </c>
      <c r="Q885" s="5"/>
      <c r="R885" s="5"/>
      <c r="S885" s="5">
        <f t="shared" si="48"/>
        <v>1593</v>
      </c>
      <c r="T885" s="1" t="s">
        <v>606</v>
      </c>
      <c r="U885" s="1" t="s">
        <v>606</v>
      </c>
      <c r="V885" s="1" t="s">
        <v>444</v>
      </c>
      <c r="W885" s="1" t="s">
        <v>2667</v>
      </c>
      <c r="X885" s="1">
        <v>85441920</v>
      </c>
      <c r="Y885" s="1"/>
      <c r="Z885" s="21" t="s">
        <v>78</v>
      </c>
      <c r="AA885" s="21" t="s">
        <v>1566</v>
      </c>
      <c r="AB885" s="8"/>
      <c r="AC885" s="22" t="s">
        <v>81</v>
      </c>
      <c r="AD885" s="1"/>
      <c r="AE885" s="29"/>
      <c r="AF885" s="2"/>
      <c r="AG885" s="2"/>
    </row>
    <row r="886" spans="1:33" s="24" customFormat="1" x14ac:dyDescent="0.25">
      <c r="A886" s="4"/>
      <c r="B886" s="4">
        <v>45992</v>
      </c>
      <c r="C886" s="6" t="s">
        <v>1683</v>
      </c>
      <c r="D886" s="186" t="s">
        <v>3487</v>
      </c>
      <c r="E886" s="1" t="s">
        <v>2666</v>
      </c>
      <c r="F886" s="102" t="s">
        <v>1561</v>
      </c>
      <c r="G886" s="1" t="s">
        <v>1561</v>
      </c>
      <c r="H886" s="8">
        <v>50</v>
      </c>
      <c r="I886" s="8">
        <f>50-22</f>
        <v>28</v>
      </c>
      <c r="J886" s="115">
        <f>Table224[[#This Row],[Qty]]-Table224[[#This Row],[Issue Qty]]</f>
        <v>22</v>
      </c>
      <c r="K886" s="195"/>
      <c r="L886" s="195" t="s">
        <v>3480</v>
      </c>
      <c r="M886" s="5">
        <v>52</v>
      </c>
      <c r="N886" s="5">
        <f t="shared" si="46"/>
        <v>2600</v>
      </c>
      <c r="O886" s="82">
        <v>0.18</v>
      </c>
      <c r="P886" s="9">
        <f t="shared" si="47"/>
        <v>468</v>
      </c>
      <c r="Q886" s="5"/>
      <c r="R886" s="5"/>
      <c r="S886" s="5">
        <f t="shared" si="48"/>
        <v>3068</v>
      </c>
      <c r="T886" s="1" t="s">
        <v>606</v>
      </c>
      <c r="U886" s="1" t="s">
        <v>606</v>
      </c>
      <c r="V886" s="1" t="s">
        <v>444</v>
      </c>
      <c r="W886" s="1" t="s">
        <v>2667</v>
      </c>
      <c r="X886" s="1">
        <v>85441920</v>
      </c>
      <c r="Y886" s="1"/>
      <c r="Z886" s="21" t="s">
        <v>78</v>
      </c>
      <c r="AA886" s="21" t="s">
        <v>1084</v>
      </c>
      <c r="AB886" s="8">
        <v>28</v>
      </c>
      <c r="AC886" s="22" t="s">
        <v>474</v>
      </c>
      <c r="AD886" s="1"/>
      <c r="AE886" s="29"/>
      <c r="AF886" s="2"/>
      <c r="AG886" s="2"/>
    </row>
    <row r="887" spans="1:33" s="24" customFormat="1" x14ac:dyDescent="0.25">
      <c r="A887" s="4"/>
      <c r="B887" s="4">
        <v>45992</v>
      </c>
      <c r="C887" s="6" t="s">
        <v>1683</v>
      </c>
      <c r="D887" s="186" t="s">
        <v>3487</v>
      </c>
      <c r="E887" s="1" t="s">
        <v>2670</v>
      </c>
      <c r="F887" s="102" t="s">
        <v>1563</v>
      </c>
      <c r="G887" s="1" t="s">
        <v>1563</v>
      </c>
      <c r="H887" s="8">
        <v>18</v>
      </c>
      <c r="I887" s="8">
        <v>5</v>
      </c>
      <c r="J887" s="115">
        <f>Table224[[#This Row],[Qty]]-Table224[[#This Row],[Issue Qty]]</f>
        <v>13</v>
      </c>
      <c r="K887" s="195"/>
      <c r="L887" s="195" t="s">
        <v>3480</v>
      </c>
      <c r="M887" s="5">
        <v>116.94</v>
      </c>
      <c r="N887" s="5">
        <f t="shared" si="46"/>
        <v>2104.92</v>
      </c>
      <c r="O887" s="82">
        <v>0.18</v>
      </c>
      <c r="P887" s="9">
        <f t="shared" si="47"/>
        <v>378.88560000000001</v>
      </c>
      <c r="Q887" s="5">
        <v>105.46</v>
      </c>
      <c r="R887" s="5"/>
      <c r="S887" s="5">
        <f t="shared" si="48"/>
        <v>2589.2656000000002</v>
      </c>
      <c r="T887" s="1" t="s">
        <v>606</v>
      </c>
      <c r="U887" s="1" t="s">
        <v>606</v>
      </c>
      <c r="V887" s="1" t="s">
        <v>634</v>
      </c>
      <c r="W887" s="1" t="s">
        <v>2671</v>
      </c>
      <c r="X887" s="1">
        <v>85365010</v>
      </c>
      <c r="Y887" s="1" t="s">
        <v>2672</v>
      </c>
      <c r="Z887" s="21" t="s">
        <v>78</v>
      </c>
      <c r="AA887" s="8"/>
      <c r="AB887" s="8">
        <f>4+3</f>
        <v>7</v>
      </c>
      <c r="AC887" s="22" t="s">
        <v>2673</v>
      </c>
      <c r="AD887" s="1"/>
      <c r="AE887" s="29"/>
      <c r="AF887" s="2"/>
      <c r="AG887" s="2"/>
    </row>
    <row r="888" spans="1:33" s="24" customFormat="1" x14ac:dyDescent="0.25">
      <c r="A888" s="4"/>
      <c r="B888" s="4">
        <v>45992</v>
      </c>
      <c r="C888" s="6" t="s">
        <v>1683</v>
      </c>
      <c r="D888" s="186" t="s">
        <v>3487</v>
      </c>
      <c r="E888" s="1" t="s">
        <v>2674</v>
      </c>
      <c r="F888" s="102" t="s">
        <v>1564</v>
      </c>
      <c r="G888" s="1" t="s">
        <v>1564</v>
      </c>
      <c r="H888" s="8">
        <v>18</v>
      </c>
      <c r="I888" s="8">
        <v>7</v>
      </c>
      <c r="J888" s="115">
        <f>Table224[[#This Row],[Qty]]-Table224[[#This Row],[Issue Qty]]</f>
        <v>11</v>
      </c>
      <c r="K888" s="195"/>
      <c r="L888" s="195" t="s">
        <v>3480</v>
      </c>
      <c r="M888" s="5">
        <v>210.28</v>
      </c>
      <c r="N888" s="5">
        <f t="shared" si="46"/>
        <v>3785.04</v>
      </c>
      <c r="O888" s="82">
        <v>0.18</v>
      </c>
      <c r="P888" s="9">
        <f t="shared" si="47"/>
        <v>681.30719999999997</v>
      </c>
      <c r="Q888" s="5">
        <v>105.46</v>
      </c>
      <c r="R888" s="5"/>
      <c r="S888" s="5">
        <f t="shared" si="48"/>
        <v>4571.8072000000002</v>
      </c>
      <c r="T888" s="1" t="s">
        <v>606</v>
      </c>
      <c r="U888" s="1" t="s">
        <v>606</v>
      </c>
      <c r="V888" s="1" t="s">
        <v>634</v>
      </c>
      <c r="W888" s="1" t="s">
        <v>2671</v>
      </c>
      <c r="X888" s="1">
        <v>85365010</v>
      </c>
      <c r="Y888" s="1" t="s">
        <v>2675</v>
      </c>
      <c r="Z888" s="21" t="s">
        <v>78</v>
      </c>
      <c r="AA888" s="8"/>
      <c r="AB888" s="8">
        <f>6+3</f>
        <v>9</v>
      </c>
      <c r="AC888" s="22" t="s">
        <v>2673</v>
      </c>
      <c r="AD888" s="1"/>
      <c r="AE888" s="29"/>
      <c r="AF888" s="2"/>
      <c r="AG888" s="2"/>
    </row>
    <row r="889" spans="1:33" s="24" customFormat="1" x14ac:dyDescent="0.25">
      <c r="A889" s="4"/>
      <c r="B889" s="4">
        <v>45993</v>
      </c>
      <c r="C889" s="6" t="s">
        <v>1683</v>
      </c>
      <c r="D889" s="186" t="s">
        <v>1663</v>
      </c>
      <c r="E889" s="1" t="s">
        <v>2072</v>
      </c>
      <c r="F889" s="232" t="s">
        <v>827</v>
      </c>
      <c r="G889" s="1" t="s">
        <v>827</v>
      </c>
      <c r="H889" s="58">
        <v>4</v>
      </c>
      <c r="I889" s="58"/>
      <c r="J889" s="159">
        <f>Table224[[#This Row],[Qty]]-Table224[[#This Row],[Issue Qty]]</f>
        <v>4</v>
      </c>
      <c r="K889" s="228"/>
      <c r="L889" s="228" t="s">
        <v>3480</v>
      </c>
      <c r="M889" s="5">
        <v>13559.32</v>
      </c>
      <c r="N889" s="5">
        <f t="shared" si="46"/>
        <v>54237.279999999999</v>
      </c>
      <c r="O889" s="82">
        <v>0.18</v>
      </c>
      <c r="P889" s="9">
        <f t="shared" si="47"/>
        <v>9762.7103999999999</v>
      </c>
      <c r="Q889" s="5">
        <v>1875</v>
      </c>
      <c r="R889" s="5"/>
      <c r="S889" s="5">
        <f t="shared" si="48"/>
        <v>65874.990399999995</v>
      </c>
      <c r="T889" s="1" t="s">
        <v>606</v>
      </c>
      <c r="U889" s="1" t="s">
        <v>606</v>
      </c>
      <c r="V889" s="1" t="s">
        <v>634</v>
      </c>
      <c r="W889" s="1" t="s">
        <v>2679</v>
      </c>
      <c r="X889" s="1">
        <v>85076000</v>
      </c>
      <c r="Y889" s="1" t="s">
        <v>2680</v>
      </c>
      <c r="Z889" s="21" t="s">
        <v>398</v>
      </c>
      <c r="AA889" s="8"/>
      <c r="AB889" s="8"/>
      <c r="AC889" s="22"/>
      <c r="AD889" s="1"/>
      <c r="AE889" s="29"/>
      <c r="AF889" s="2"/>
      <c r="AG889" s="2"/>
    </row>
    <row r="890" spans="1:33" s="24" customFormat="1" x14ac:dyDescent="0.25">
      <c r="A890" s="4"/>
      <c r="B890" s="4">
        <v>45995</v>
      </c>
      <c r="C890" s="6" t="s">
        <v>1730</v>
      </c>
      <c r="D890" s="186" t="s">
        <v>3487</v>
      </c>
      <c r="E890" s="1" t="s">
        <v>37</v>
      </c>
      <c r="F890" s="286" t="s">
        <v>1570</v>
      </c>
      <c r="G890" s="1" t="s">
        <v>1570</v>
      </c>
      <c r="H890" s="8">
        <v>27</v>
      </c>
      <c r="I890" s="8">
        <v>27</v>
      </c>
      <c r="J890" s="115">
        <f>Table224[[#This Row],[Qty]]-Table224[[#This Row],[Issue Qty]]</f>
        <v>0</v>
      </c>
      <c r="K890" s="195"/>
      <c r="L890" s="195" t="s">
        <v>3480</v>
      </c>
      <c r="M890" s="10">
        <v>400</v>
      </c>
      <c r="N890" s="10">
        <f t="shared" si="46"/>
        <v>10800</v>
      </c>
      <c r="O890" s="82">
        <v>0.18</v>
      </c>
      <c r="P890" s="79">
        <f t="shared" si="47"/>
        <v>1944</v>
      </c>
      <c r="Q890" s="10"/>
      <c r="R890" s="10"/>
      <c r="S890" s="10">
        <f t="shared" si="48"/>
        <v>12744</v>
      </c>
      <c r="T890" s="1" t="s">
        <v>606</v>
      </c>
      <c r="U890" s="1" t="s">
        <v>606</v>
      </c>
      <c r="V890" s="1" t="s">
        <v>896</v>
      </c>
      <c r="W890" s="1" t="s">
        <v>2681</v>
      </c>
      <c r="X890" s="1">
        <v>9987</v>
      </c>
      <c r="Y890" s="1"/>
      <c r="Z890" s="21"/>
      <c r="AA890" s="8"/>
      <c r="AB890" s="8">
        <v>27</v>
      </c>
      <c r="AC890" s="22" t="s">
        <v>1032</v>
      </c>
      <c r="AD890" s="1"/>
      <c r="AE890" s="29"/>
      <c r="AF890" s="2"/>
      <c r="AG890" s="2"/>
    </row>
    <row r="891" spans="1:33" s="24" customFormat="1" x14ac:dyDescent="0.25">
      <c r="A891" s="4"/>
      <c r="B891" s="4">
        <v>45995</v>
      </c>
      <c r="C891" s="1" t="s">
        <v>54</v>
      </c>
      <c r="D891" s="186" t="s">
        <v>3489</v>
      </c>
      <c r="E891" s="1" t="s">
        <v>37</v>
      </c>
      <c r="F891" s="236" t="s">
        <v>1571</v>
      </c>
      <c r="G891" s="1" t="s">
        <v>1571</v>
      </c>
      <c r="H891" s="8">
        <v>1</v>
      </c>
      <c r="I891" s="8">
        <v>1</v>
      </c>
      <c r="J891" s="115">
        <f>Table224[[#This Row],[Qty]]-Table224[[#This Row],[Issue Qty]]</f>
        <v>0</v>
      </c>
      <c r="K891" s="332">
        <v>1</v>
      </c>
      <c r="L891" s="195" t="s">
        <v>3480</v>
      </c>
      <c r="M891" s="5">
        <v>1500</v>
      </c>
      <c r="N891" s="5">
        <f t="shared" si="46"/>
        <v>1500</v>
      </c>
      <c r="O891" s="82">
        <v>0.18</v>
      </c>
      <c r="P891" s="9">
        <f t="shared" si="47"/>
        <v>270</v>
      </c>
      <c r="Q891" s="5"/>
      <c r="R891" s="5"/>
      <c r="S891" s="5">
        <f t="shared" si="48"/>
        <v>1770</v>
      </c>
      <c r="T891" s="1" t="s">
        <v>2887</v>
      </c>
      <c r="U891" s="1" t="s">
        <v>633</v>
      </c>
      <c r="V891" s="1" t="s">
        <v>358</v>
      </c>
      <c r="W891" s="1" t="s">
        <v>2682</v>
      </c>
      <c r="X891" s="1">
        <v>39269099</v>
      </c>
      <c r="Y891" s="1" t="s">
        <v>2683</v>
      </c>
      <c r="Z891" s="21" t="s">
        <v>1624</v>
      </c>
      <c r="AA891" s="8"/>
      <c r="AB891" s="8">
        <v>1</v>
      </c>
      <c r="AC891" s="22" t="s">
        <v>3352</v>
      </c>
      <c r="AD891" s="1"/>
      <c r="AE891" s="29"/>
      <c r="AF891" s="2"/>
      <c r="AG891" s="2"/>
    </row>
    <row r="892" spans="1:33" s="24" customFormat="1" x14ac:dyDescent="0.25">
      <c r="A892" s="4"/>
      <c r="B892" s="4">
        <v>45996</v>
      </c>
      <c r="C892" s="6" t="s">
        <v>1683</v>
      </c>
      <c r="D892" s="186" t="s">
        <v>3487</v>
      </c>
      <c r="E892" s="1" t="s">
        <v>2689</v>
      </c>
      <c r="F892" s="236" t="s">
        <v>1573</v>
      </c>
      <c r="G892" s="1" t="s">
        <v>1573</v>
      </c>
      <c r="H892" s="8">
        <v>50</v>
      </c>
      <c r="I892" s="8">
        <v>23</v>
      </c>
      <c r="J892" s="115">
        <f>Table224[[#This Row],[Qty]]-Table224[[#This Row],[Issue Qty]]</f>
        <v>27</v>
      </c>
      <c r="K892" s="332">
        <v>10</v>
      </c>
      <c r="L892" s="195" t="s">
        <v>3480</v>
      </c>
      <c r="M892" s="5">
        <v>14</v>
      </c>
      <c r="N892" s="5">
        <f t="shared" si="46"/>
        <v>700</v>
      </c>
      <c r="O892" s="82">
        <v>0.18</v>
      </c>
      <c r="P892" s="9">
        <f t="shared" si="47"/>
        <v>126</v>
      </c>
      <c r="Q892" s="5"/>
      <c r="R892" s="5"/>
      <c r="S892" s="5">
        <f t="shared" si="48"/>
        <v>826</v>
      </c>
      <c r="T892" s="1" t="s">
        <v>606</v>
      </c>
      <c r="U892" s="1" t="s">
        <v>606</v>
      </c>
      <c r="V892" s="1" t="s">
        <v>792</v>
      </c>
      <c r="W892" s="1" t="s">
        <v>2684</v>
      </c>
      <c r="X892" s="1">
        <v>853690</v>
      </c>
      <c r="Y892" s="1" t="s">
        <v>2690</v>
      </c>
      <c r="Z892" s="21" t="s">
        <v>78</v>
      </c>
      <c r="AA892" s="21" t="s">
        <v>1566</v>
      </c>
      <c r="AB892" s="8">
        <v>23</v>
      </c>
      <c r="AC892" s="22" t="s">
        <v>3831</v>
      </c>
      <c r="AD892" s="1"/>
      <c r="AE892" s="29"/>
      <c r="AF892" s="2"/>
      <c r="AG892" s="2"/>
    </row>
    <row r="893" spans="1:33" s="24" customFormat="1" x14ac:dyDescent="0.25">
      <c r="A893" s="4"/>
      <c r="B893" s="4">
        <v>45996</v>
      </c>
      <c r="C893" s="6" t="s">
        <v>1683</v>
      </c>
      <c r="D893" s="186" t="s">
        <v>3487</v>
      </c>
      <c r="E893" s="1" t="s">
        <v>2313</v>
      </c>
      <c r="F893" s="236" t="s">
        <v>1164</v>
      </c>
      <c r="G893" s="1" t="s">
        <v>1164</v>
      </c>
      <c r="H893" s="8">
        <v>49</v>
      </c>
      <c r="I893" s="8">
        <v>20</v>
      </c>
      <c r="J893" s="115">
        <f>Table224[[#This Row],[Qty]]-Table224[[#This Row],[Issue Qty]]</f>
        <v>29</v>
      </c>
      <c r="K893" s="332">
        <v>10</v>
      </c>
      <c r="L893" s="195" t="s">
        <v>3480</v>
      </c>
      <c r="M893" s="5">
        <v>14</v>
      </c>
      <c r="N893" s="5">
        <f t="shared" si="46"/>
        <v>686</v>
      </c>
      <c r="O893" s="82">
        <v>0.18</v>
      </c>
      <c r="P893" s="9">
        <f t="shared" si="47"/>
        <v>123.47999999999999</v>
      </c>
      <c r="Q893" s="5"/>
      <c r="R893" s="5"/>
      <c r="S893" s="5">
        <f t="shared" si="48"/>
        <v>809.48</v>
      </c>
      <c r="T893" s="1" t="s">
        <v>606</v>
      </c>
      <c r="U893" s="1" t="s">
        <v>606</v>
      </c>
      <c r="V893" s="1" t="s">
        <v>792</v>
      </c>
      <c r="W893" s="1" t="s">
        <v>2684</v>
      </c>
      <c r="X893" s="1">
        <v>853690</v>
      </c>
      <c r="Y893" s="1" t="s">
        <v>2690</v>
      </c>
      <c r="Z893" s="21" t="s">
        <v>78</v>
      </c>
      <c r="AA893" s="21" t="s">
        <v>1084</v>
      </c>
      <c r="AB893" s="8">
        <v>20</v>
      </c>
      <c r="AC893" s="22" t="s">
        <v>3831</v>
      </c>
      <c r="AD893" s="1"/>
      <c r="AE893" s="29"/>
      <c r="AF893" s="2"/>
      <c r="AG893" s="2"/>
    </row>
    <row r="894" spans="1:33" s="24" customFormat="1" x14ac:dyDescent="0.25">
      <c r="A894" s="4"/>
      <c r="B894" s="4">
        <v>45996</v>
      </c>
      <c r="C894" s="1" t="s">
        <v>1695</v>
      </c>
      <c r="D894" s="224" t="s">
        <v>3499</v>
      </c>
      <c r="E894" s="1" t="s">
        <v>2007</v>
      </c>
      <c r="F894" s="102" t="s">
        <v>723</v>
      </c>
      <c r="G894" s="1" t="s">
        <v>723</v>
      </c>
      <c r="H894" s="62">
        <v>36</v>
      </c>
      <c r="I894" s="8">
        <v>9</v>
      </c>
      <c r="J894" s="115">
        <f>Table224[[#This Row],[Qty]]-Table224[[#This Row],[Issue Qty]]</f>
        <v>27</v>
      </c>
      <c r="K894" s="195"/>
      <c r="L894" s="195" t="s">
        <v>3480</v>
      </c>
      <c r="M894" s="5">
        <v>750</v>
      </c>
      <c r="N894" s="5">
        <f t="shared" si="46"/>
        <v>27000</v>
      </c>
      <c r="O894" s="82">
        <v>0.05</v>
      </c>
      <c r="P894" s="9">
        <f t="shared" si="47"/>
        <v>1350</v>
      </c>
      <c r="Q894" s="5">
        <v>1573.33</v>
      </c>
      <c r="R894" s="5"/>
      <c r="S894" s="5">
        <f t="shared" si="48"/>
        <v>29923.33</v>
      </c>
      <c r="T894" s="1" t="s">
        <v>606</v>
      </c>
      <c r="U894" s="1" t="s">
        <v>606</v>
      </c>
      <c r="V894" s="1" t="s">
        <v>709</v>
      </c>
      <c r="W894" s="1" t="s">
        <v>2688</v>
      </c>
      <c r="X894" s="1">
        <v>88073020</v>
      </c>
      <c r="Y894" s="1"/>
      <c r="Z894" s="21" t="s">
        <v>68</v>
      </c>
      <c r="AA894" s="8"/>
      <c r="AB894" s="8">
        <v>9</v>
      </c>
      <c r="AC894" s="12" t="s">
        <v>3876</v>
      </c>
      <c r="AD894" s="1"/>
      <c r="AE894" s="29"/>
      <c r="AF894" s="2"/>
      <c r="AG894" s="2"/>
    </row>
    <row r="895" spans="1:33" s="24" customFormat="1" x14ac:dyDescent="0.25">
      <c r="A895" s="4"/>
      <c r="B895" s="4">
        <v>45996</v>
      </c>
      <c r="C895" s="6" t="s">
        <v>54</v>
      </c>
      <c r="D895" s="186" t="s">
        <v>3430</v>
      </c>
      <c r="E895" s="6" t="s">
        <v>1999</v>
      </c>
      <c r="F895" s="238" t="s">
        <v>712</v>
      </c>
      <c r="G895" s="1" t="s">
        <v>712</v>
      </c>
      <c r="H895" s="62">
        <v>22</v>
      </c>
      <c r="I895" s="62">
        <v>3</v>
      </c>
      <c r="J895" s="160">
        <f>Table224[[#This Row],[Qty]]-Table224[[#This Row],[Issue Qty]]</f>
        <v>19</v>
      </c>
      <c r="K895" s="333">
        <v>3</v>
      </c>
      <c r="L895" s="229" t="s">
        <v>3480</v>
      </c>
      <c r="M895" s="5">
        <v>1200</v>
      </c>
      <c r="N895" s="5">
        <f t="shared" si="46"/>
        <v>26400</v>
      </c>
      <c r="O895" s="82">
        <v>0.05</v>
      </c>
      <c r="P895" s="9">
        <f t="shared" si="47"/>
        <v>1320</v>
      </c>
      <c r="Q895" s="5">
        <v>1573.33</v>
      </c>
      <c r="R895" s="5"/>
      <c r="S895" s="5">
        <f t="shared" si="48"/>
        <v>29293.33</v>
      </c>
      <c r="T895" s="1" t="s">
        <v>606</v>
      </c>
      <c r="U895" s="1" t="s">
        <v>606</v>
      </c>
      <c r="V895" s="1" t="s">
        <v>709</v>
      </c>
      <c r="W895" s="6" t="s">
        <v>2688</v>
      </c>
      <c r="X895" s="1">
        <v>88073020</v>
      </c>
      <c r="Y895" s="6"/>
      <c r="Z895" s="21" t="s">
        <v>126</v>
      </c>
      <c r="AA895" s="60"/>
      <c r="AB895" s="8">
        <v>3</v>
      </c>
      <c r="AC895" s="57" t="s">
        <v>3832</v>
      </c>
      <c r="AD895" s="6"/>
      <c r="AE895" s="23"/>
      <c r="AF895" s="2"/>
      <c r="AG895" s="2"/>
    </row>
    <row r="896" spans="1:33" s="24" customFormat="1" x14ac:dyDescent="0.25">
      <c r="A896" s="4"/>
      <c r="B896" s="4">
        <v>45996</v>
      </c>
      <c r="C896" s="1" t="s">
        <v>54</v>
      </c>
      <c r="D896" s="186" t="s">
        <v>3430</v>
      </c>
      <c r="E896" s="1" t="s">
        <v>2000</v>
      </c>
      <c r="F896" s="238" t="s">
        <v>714</v>
      </c>
      <c r="G896" s="1" t="s">
        <v>714</v>
      </c>
      <c r="H896" s="62">
        <v>22</v>
      </c>
      <c r="I896" s="62">
        <v>3</v>
      </c>
      <c r="J896" s="160">
        <f>Table224[[#This Row],[Qty]]-Table224[[#This Row],[Issue Qty]]</f>
        <v>19</v>
      </c>
      <c r="K896" s="333">
        <v>3</v>
      </c>
      <c r="L896" s="229" t="s">
        <v>3480</v>
      </c>
      <c r="M896" s="5">
        <v>1200</v>
      </c>
      <c r="N896" s="5">
        <f t="shared" si="46"/>
        <v>26400</v>
      </c>
      <c r="O896" s="82">
        <v>0.05</v>
      </c>
      <c r="P896" s="9">
        <f t="shared" si="47"/>
        <v>1320</v>
      </c>
      <c r="Q896" s="5">
        <v>1573.33</v>
      </c>
      <c r="R896" s="5"/>
      <c r="S896" s="5">
        <f t="shared" si="48"/>
        <v>29293.33</v>
      </c>
      <c r="T896" s="1" t="s">
        <v>606</v>
      </c>
      <c r="U896" s="1" t="s">
        <v>606</v>
      </c>
      <c r="V896" s="1" t="s">
        <v>709</v>
      </c>
      <c r="W896" s="1" t="s">
        <v>2688</v>
      </c>
      <c r="X896" s="1">
        <v>88073020</v>
      </c>
      <c r="Y896" s="1"/>
      <c r="Z896" s="21" t="s">
        <v>126</v>
      </c>
      <c r="AA896" s="8"/>
      <c r="AB896" s="8">
        <v>3</v>
      </c>
      <c r="AC896" s="57" t="s">
        <v>3832</v>
      </c>
      <c r="AD896" s="1"/>
      <c r="AE896" s="29"/>
      <c r="AF896" s="2"/>
      <c r="AG896" s="2"/>
    </row>
    <row r="897" spans="1:33" s="24" customFormat="1" x14ac:dyDescent="0.25">
      <c r="A897" s="4"/>
      <c r="B897" s="4">
        <v>45996</v>
      </c>
      <c r="C897" s="6" t="s">
        <v>1683</v>
      </c>
      <c r="D897" s="186" t="s">
        <v>3487</v>
      </c>
      <c r="E897" s="1" t="s">
        <v>2049</v>
      </c>
      <c r="F897" s="102" t="s">
        <v>790</v>
      </c>
      <c r="G897" s="1" t="s">
        <v>790</v>
      </c>
      <c r="H897" s="8">
        <v>48</v>
      </c>
      <c r="I897" s="8"/>
      <c r="J897" s="115">
        <f>Table224[[#This Row],[Qty]]-Table224[[#This Row],[Issue Qty]]</f>
        <v>48</v>
      </c>
      <c r="K897" s="195"/>
      <c r="L897" s="195" t="s">
        <v>3479</v>
      </c>
      <c r="M897" s="5">
        <v>350</v>
      </c>
      <c r="N897" s="5">
        <f t="shared" si="46"/>
        <v>16800</v>
      </c>
      <c r="O897" s="82">
        <v>0.18</v>
      </c>
      <c r="P897" s="9">
        <f t="shared" si="47"/>
        <v>3024</v>
      </c>
      <c r="Q897" s="5"/>
      <c r="R897" s="5"/>
      <c r="S897" s="5">
        <f t="shared" si="48"/>
        <v>19824</v>
      </c>
      <c r="T897" s="1" t="s">
        <v>606</v>
      </c>
      <c r="U897" s="1" t="s">
        <v>606</v>
      </c>
      <c r="V897" s="1" t="s">
        <v>792</v>
      </c>
      <c r="W897" s="1" t="s">
        <v>2684</v>
      </c>
      <c r="X897" s="1">
        <v>853690</v>
      </c>
      <c r="Y897" s="1" t="s">
        <v>2685</v>
      </c>
      <c r="Z897" s="21" t="s">
        <v>78</v>
      </c>
      <c r="AA897" s="21" t="s">
        <v>1572</v>
      </c>
      <c r="AB897" s="8">
        <f>2+10+3</f>
        <v>15</v>
      </c>
      <c r="AC897" s="22" t="s">
        <v>2686</v>
      </c>
      <c r="AD897" s="1" t="s">
        <v>3517</v>
      </c>
      <c r="AE897" s="29"/>
      <c r="AF897" s="2"/>
      <c r="AG897" s="2"/>
    </row>
    <row r="898" spans="1:33" s="24" customFormat="1" x14ac:dyDescent="0.25">
      <c r="A898" s="4"/>
      <c r="B898" s="4">
        <v>46001</v>
      </c>
      <c r="C898" s="6" t="s">
        <v>1730</v>
      </c>
      <c r="D898" s="224" t="s">
        <v>3590</v>
      </c>
      <c r="E898" s="1" t="s">
        <v>37</v>
      </c>
      <c r="F898" s="236" t="s">
        <v>1574</v>
      </c>
      <c r="G898" s="1" t="s">
        <v>1574</v>
      </c>
      <c r="H898" s="8">
        <v>15</v>
      </c>
      <c r="I898" s="8">
        <v>15</v>
      </c>
      <c r="J898" s="115">
        <f>Table224[[#This Row],[Qty]]-Table224[[#This Row],[Issue Qty]]</f>
        <v>0</v>
      </c>
      <c r="K898" s="332">
        <v>4</v>
      </c>
      <c r="L898" s="195" t="s">
        <v>3480</v>
      </c>
      <c r="M898" s="5">
        <v>111</v>
      </c>
      <c r="N898" s="5">
        <f t="shared" si="46"/>
        <v>1665</v>
      </c>
      <c r="O898" s="82">
        <v>0.05</v>
      </c>
      <c r="P898" s="9">
        <f t="shared" si="47"/>
        <v>83.25</v>
      </c>
      <c r="Q898" s="5"/>
      <c r="R898" s="5">
        <v>-0.15</v>
      </c>
      <c r="S898" s="5">
        <f t="shared" si="48"/>
        <v>1748.1</v>
      </c>
      <c r="T898" s="1" t="s">
        <v>331</v>
      </c>
      <c r="U898" s="1" t="s">
        <v>331</v>
      </c>
      <c r="V898" s="1" t="s">
        <v>444</v>
      </c>
      <c r="W898" s="1" t="s">
        <v>2691</v>
      </c>
      <c r="X898" s="1">
        <v>88073000</v>
      </c>
      <c r="Y898" s="1"/>
      <c r="Z898" s="21"/>
      <c r="AA898" s="8"/>
      <c r="AB898" s="8">
        <v>15</v>
      </c>
      <c r="AC898" s="22" t="s">
        <v>3839</v>
      </c>
      <c r="AD898" s="1"/>
      <c r="AE898" s="29"/>
      <c r="AF898" s="2"/>
      <c r="AG898" s="2"/>
    </row>
    <row r="899" spans="1:33" s="24" customFormat="1" x14ac:dyDescent="0.25">
      <c r="A899" s="4"/>
      <c r="B899" s="4">
        <v>46002</v>
      </c>
      <c r="C899" s="1" t="s">
        <v>54</v>
      </c>
      <c r="D899" s="186" t="s">
        <v>3489</v>
      </c>
      <c r="E899" s="1" t="s">
        <v>2692</v>
      </c>
      <c r="F899" s="102" t="s">
        <v>1575</v>
      </c>
      <c r="G899" s="1" t="s">
        <v>1575</v>
      </c>
      <c r="H899" s="8">
        <v>1</v>
      </c>
      <c r="I899" s="8">
        <v>1</v>
      </c>
      <c r="J899" s="115">
        <f>Table224[[#This Row],[Qty]]-Table224[[#This Row],[Issue Qty]]</f>
        <v>0</v>
      </c>
      <c r="K899" s="195"/>
      <c r="L899" s="195" t="s">
        <v>3480</v>
      </c>
      <c r="M899" s="5">
        <v>715</v>
      </c>
      <c r="N899" s="5">
        <f t="shared" si="46"/>
        <v>715</v>
      </c>
      <c r="O899" s="82">
        <v>0.18</v>
      </c>
      <c r="P899" s="9">
        <f t="shared" si="47"/>
        <v>128.69999999999999</v>
      </c>
      <c r="Q899" s="5"/>
      <c r="R899" s="5"/>
      <c r="S899" s="5">
        <f t="shared" si="48"/>
        <v>843.7</v>
      </c>
      <c r="T899" s="1" t="s">
        <v>2887</v>
      </c>
      <c r="U899" s="1" t="s">
        <v>633</v>
      </c>
      <c r="V899" s="1" t="s">
        <v>764</v>
      </c>
      <c r="W899" s="1" t="s">
        <v>2693</v>
      </c>
      <c r="X899" s="1">
        <v>84879000</v>
      </c>
      <c r="Y899" s="1" t="s">
        <v>2694</v>
      </c>
      <c r="Z899" s="21" t="s">
        <v>268</v>
      </c>
      <c r="AA899" s="8"/>
      <c r="AB899" s="8"/>
      <c r="AC899" s="22"/>
      <c r="AD899" s="1"/>
      <c r="AE899" s="29"/>
      <c r="AF899" s="2"/>
      <c r="AG899" s="2"/>
    </row>
    <row r="900" spans="1:33" s="24" customFormat="1" x14ac:dyDescent="0.25">
      <c r="A900" s="4"/>
      <c r="B900" s="4">
        <v>46002</v>
      </c>
      <c r="C900" s="1" t="s">
        <v>54</v>
      </c>
      <c r="D900" s="186" t="s">
        <v>3489</v>
      </c>
      <c r="E900" s="1" t="s">
        <v>2695</v>
      </c>
      <c r="F900" s="102" t="s">
        <v>1579</v>
      </c>
      <c r="G900" s="1" t="s">
        <v>1579</v>
      </c>
      <c r="H900" s="8">
        <v>1</v>
      </c>
      <c r="I900" s="8">
        <v>1</v>
      </c>
      <c r="J900" s="115">
        <f>Table224[[#This Row],[Qty]]-Table224[[#This Row],[Issue Qty]]</f>
        <v>0</v>
      </c>
      <c r="K900" s="195"/>
      <c r="L900" s="195" t="s">
        <v>3480</v>
      </c>
      <c r="M900" s="5">
        <v>415</v>
      </c>
      <c r="N900" s="5">
        <f t="shared" si="46"/>
        <v>415</v>
      </c>
      <c r="O900" s="82">
        <v>0.18</v>
      </c>
      <c r="P900" s="9">
        <f t="shared" si="47"/>
        <v>74.7</v>
      </c>
      <c r="Q900" s="5"/>
      <c r="R900" s="5"/>
      <c r="S900" s="5">
        <f t="shared" si="48"/>
        <v>489.7</v>
      </c>
      <c r="T900" s="1" t="s">
        <v>2887</v>
      </c>
      <c r="U900" s="1" t="s">
        <v>633</v>
      </c>
      <c r="V900" s="1" t="s">
        <v>764</v>
      </c>
      <c r="W900" s="1" t="s">
        <v>2693</v>
      </c>
      <c r="X900" s="1">
        <v>84879000</v>
      </c>
      <c r="Y900" s="1" t="s">
        <v>2694</v>
      </c>
      <c r="Z900" s="21"/>
      <c r="AA900" s="8"/>
      <c r="AB900" s="8">
        <v>1</v>
      </c>
      <c r="AC900" s="22" t="s">
        <v>3352</v>
      </c>
      <c r="AD900" s="1"/>
      <c r="AE900" s="29"/>
      <c r="AF900" s="2"/>
      <c r="AG900" s="2"/>
    </row>
    <row r="901" spans="1:33" s="24" customFormat="1" x14ac:dyDescent="0.25">
      <c r="A901" s="4"/>
      <c r="B901" s="4">
        <v>46002</v>
      </c>
      <c r="C901" s="6" t="s">
        <v>1730</v>
      </c>
      <c r="D901" s="186" t="s">
        <v>1576</v>
      </c>
      <c r="E901" s="1" t="s">
        <v>37</v>
      </c>
      <c r="F901" s="102" t="s">
        <v>1576</v>
      </c>
      <c r="G901" s="1" t="s">
        <v>1576</v>
      </c>
      <c r="H901" s="8">
        <v>10</v>
      </c>
      <c r="I901" s="8">
        <v>10</v>
      </c>
      <c r="J901" s="115">
        <f>Table224[[#This Row],[Qty]]-Table224[[#This Row],[Issue Qty]]</f>
        <v>0</v>
      </c>
      <c r="K901" s="195"/>
      <c r="L901" s="195" t="s">
        <v>3480</v>
      </c>
      <c r="M901" s="5">
        <v>50</v>
      </c>
      <c r="N901" s="5">
        <f t="shared" si="46"/>
        <v>500</v>
      </c>
      <c r="O901" s="82">
        <v>0</v>
      </c>
      <c r="P901" s="9">
        <f t="shared" si="47"/>
        <v>0</v>
      </c>
      <c r="Q901" s="5"/>
      <c r="R901" s="5"/>
      <c r="S901" s="5">
        <f t="shared" si="48"/>
        <v>500</v>
      </c>
      <c r="T901" s="1" t="s">
        <v>2887</v>
      </c>
      <c r="U901" s="1" t="s">
        <v>633</v>
      </c>
      <c r="V901" s="1" t="s">
        <v>1577</v>
      </c>
      <c r="W901" s="1" t="s">
        <v>37</v>
      </c>
      <c r="X901" s="1" t="s">
        <v>37</v>
      </c>
      <c r="Y901" s="1"/>
      <c r="Z901" s="21" t="s">
        <v>650</v>
      </c>
      <c r="AA901" s="8" t="s">
        <v>1578</v>
      </c>
      <c r="AB901" s="8">
        <v>10</v>
      </c>
      <c r="AC901" s="22" t="s">
        <v>3196</v>
      </c>
      <c r="AD901" s="1"/>
      <c r="AE901" s="29"/>
      <c r="AF901" s="2"/>
      <c r="AG901" s="2"/>
    </row>
    <row r="902" spans="1:33" s="24" customFormat="1" x14ac:dyDescent="0.25">
      <c r="A902" s="4"/>
      <c r="B902" s="4">
        <v>46006</v>
      </c>
      <c r="C902" s="1" t="s">
        <v>1991</v>
      </c>
      <c r="D902" s="224" t="s">
        <v>3464</v>
      </c>
      <c r="E902" s="6" t="s">
        <v>1892</v>
      </c>
      <c r="F902" s="234" t="s">
        <v>501</v>
      </c>
      <c r="G902" s="1" t="s">
        <v>501</v>
      </c>
      <c r="H902" s="8">
        <v>1</v>
      </c>
      <c r="I902" s="8">
        <v>1</v>
      </c>
      <c r="J902" s="115">
        <f>Table224[[#This Row],[Qty]]-Table224[[#This Row],[Issue Qty]]</f>
        <v>0</v>
      </c>
      <c r="K902" s="195"/>
      <c r="L902" s="195" t="s">
        <v>3480</v>
      </c>
      <c r="M902" s="5">
        <v>34200</v>
      </c>
      <c r="N902" s="5">
        <f t="shared" si="46"/>
        <v>34200</v>
      </c>
      <c r="O902" s="82">
        <v>0.05</v>
      </c>
      <c r="P902" s="9">
        <f t="shared" si="47"/>
        <v>1710</v>
      </c>
      <c r="Q902" s="5"/>
      <c r="R902" s="5"/>
      <c r="S902" s="5">
        <f t="shared" si="48"/>
        <v>35910</v>
      </c>
      <c r="T902" s="1" t="s">
        <v>331</v>
      </c>
      <c r="U902" s="1" t="s">
        <v>331</v>
      </c>
      <c r="V902" s="1" t="s">
        <v>794</v>
      </c>
      <c r="W902" s="1" t="s">
        <v>2696</v>
      </c>
      <c r="X902" s="1">
        <v>88073020</v>
      </c>
      <c r="Y902" s="2"/>
      <c r="Z902" s="21" t="s">
        <v>244</v>
      </c>
      <c r="AA902" s="21"/>
      <c r="AB902" s="21">
        <v>1</v>
      </c>
      <c r="AC902" s="12" t="s">
        <v>2949</v>
      </c>
      <c r="AD902" s="2"/>
      <c r="AE902" s="23"/>
      <c r="AF902" s="2"/>
      <c r="AG902" s="2"/>
    </row>
    <row r="903" spans="1:33" s="24" customFormat="1" ht="30" x14ac:dyDescent="0.25">
      <c r="A903" s="4"/>
      <c r="B903" s="4">
        <v>46006</v>
      </c>
      <c r="C903" s="6" t="s">
        <v>1683</v>
      </c>
      <c r="D903" s="186" t="s">
        <v>3488</v>
      </c>
      <c r="E903" s="1" t="s">
        <v>2698</v>
      </c>
      <c r="F903" s="102" t="s">
        <v>1581</v>
      </c>
      <c r="G903" s="1" t="s">
        <v>1581</v>
      </c>
      <c r="H903" s="8">
        <v>1</v>
      </c>
      <c r="I903" s="8">
        <v>1</v>
      </c>
      <c r="J903" s="115">
        <f>Table224[[#This Row],[Qty]]-Table224[[#This Row],[Issue Qty]]</f>
        <v>0</v>
      </c>
      <c r="K903" s="195"/>
      <c r="L903" s="195" t="s">
        <v>3480</v>
      </c>
      <c r="M903" s="5">
        <v>4580.12</v>
      </c>
      <c r="N903" s="5">
        <f t="shared" si="46"/>
        <v>4580.12</v>
      </c>
      <c r="O903" s="82">
        <v>0.18</v>
      </c>
      <c r="P903" s="9">
        <f t="shared" si="47"/>
        <v>824.4215999999999</v>
      </c>
      <c r="Q903" s="5">
        <v>156.66999999999999</v>
      </c>
      <c r="R903" s="5"/>
      <c r="S903" s="5">
        <f t="shared" si="48"/>
        <v>5561.2115999999996</v>
      </c>
      <c r="T903" s="1" t="s">
        <v>331</v>
      </c>
      <c r="U903" s="1" t="s">
        <v>331</v>
      </c>
      <c r="V903" s="1" t="s">
        <v>634</v>
      </c>
      <c r="W903" s="1" t="s">
        <v>2699</v>
      </c>
      <c r="X903" s="1">
        <v>85044030</v>
      </c>
      <c r="Y903" s="1" t="s">
        <v>2700</v>
      </c>
      <c r="Z903" s="21" t="s">
        <v>398</v>
      </c>
      <c r="AA903" s="8"/>
      <c r="AB903" s="21"/>
      <c r="AC903" s="12"/>
      <c r="AD903" s="1"/>
      <c r="AE903" s="29"/>
      <c r="AF903" s="2"/>
      <c r="AG903" s="2"/>
    </row>
    <row r="904" spans="1:33" s="24" customFormat="1" ht="30" x14ac:dyDescent="0.25">
      <c r="A904" s="4"/>
      <c r="B904" s="4">
        <v>46006</v>
      </c>
      <c r="C904" s="1" t="s">
        <v>1991</v>
      </c>
      <c r="D904" s="224" t="s">
        <v>3490</v>
      </c>
      <c r="E904" s="1" t="s">
        <v>2702</v>
      </c>
      <c r="F904" s="102" t="s">
        <v>1583</v>
      </c>
      <c r="G904" s="1" t="s">
        <v>1583</v>
      </c>
      <c r="H904" s="8">
        <v>1</v>
      </c>
      <c r="I904" s="8">
        <v>1</v>
      </c>
      <c r="J904" s="115">
        <f>Table224[[#This Row],[Qty]]-Table224[[#This Row],[Issue Qty]]</f>
        <v>0</v>
      </c>
      <c r="K904" s="195"/>
      <c r="L904" s="195" t="s">
        <v>3480</v>
      </c>
      <c r="M904" s="5">
        <v>7037</v>
      </c>
      <c r="N904" s="5">
        <f t="shared" si="46"/>
        <v>7037</v>
      </c>
      <c r="O904" s="82">
        <v>0.18</v>
      </c>
      <c r="P904" s="9">
        <f t="shared" si="47"/>
        <v>1266.6599999999999</v>
      </c>
      <c r="Q904" s="5"/>
      <c r="R904" s="5"/>
      <c r="S904" s="5">
        <f t="shared" si="48"/>
        <v>8303.66</v>
      </c>
      <c r="T904" s="1" t="s">
        <v>331</v>
      </c>
      <c r="U904" s="1" t="s">
        <v>331</v>
      </c>
      <c r="V904" s="1" t="s">
        <v>792</v>
      </c>
      <c r="W904" s="1" t="s">
        <v>2697</v>
      </c>
      <c r="X904" s="1">
        <v>88079000</v>
      </c>
      <c r="Y904" s="1"/>
      <c r="Z904" s="21" t="s">
        <v>3349</v>
      </c>
      <c r="AA904" s="8"/>
      <c r="AB904" s="8">
        <v>1</v>
      </c>
      <c r="AC904" s="22" t="s">
        <v>509</v>
      </c>
      <c r="AD904" s="1"/>
      <c r="AE904" s="29"/>
      <c r="AF904" s="2"/>
      <c r="AG904" s="2"/>
    </row>
    <row r="905" spans="1:33" s="24" customFormat="1" x14ac:dyDescent="0.25">
      <c r="A905" s="4"/>
      <c r="B905" s="4">
        <v>46006</v>
      </c>
      <c r="C905" s="1" t="s">
        <v>2096</v>
      </c>
      <c r="D905" s="224" t="s">
        <v>3451</v>
      </c>
      <c r="E905" s="1" t="s">
        <v>2097</v>
      </c>
      <c r="F905" s="102" t="s">
        <v>856</v>
      </c>
      <c r="G905" s="1" t="s">
        <v>856</v>
      </c>
      <c r="H905" s="8">
        <v>1</v>
      </c>
      <c r="I905" s="8">
        <v>1</v>
      </c>
      <c r="J905" s="115">
        <f>Table224[[#This Row],[Qty]]-Table224[[#This Row],[Issue Qty]]</f>
        <v>0</v>
      </c>
      <c r="K905" s="195"/>
      <c r="L905" s="195" t="s">
        <v>3480</v>
      </c>
      <c r="M905" s="5">
        <v>43548</v>
      </c>
      <c r="N905" s="5">
        <f t="shared" si="46"/>
        <v>43548</v>
      </c>
      <c r="O905" s="82">
        <v>0.18</v>
      </c>
      <c r="P905" s="9">
        <f t="shared" si="47"/>
        <v>7838.6399999999994</v>
      </c>
      <c r="Q905" s="5"/>
      <c r="R905" s="5"/>
      <c r="S905" s="5">
        <f t="shared" si="48"/>
        <v>51386.64</v>
      </c>
      <c r="T905" s="1" t="s">
        <v>331</v>
      </c>
      <c r="U905" s="1" t="s">
        <v>331</v>
      </c>
      <c r="V905" s="1" t="s">
        <v>792</v>
      </c>
      <c r="W905" s="1" t="s">
        <v>2697</v>
      </c>
      <c r="X905" s="1">
        <v>88079000</v>
      </c>
      <c r="Y905" s="1"/>
      <c r="Z905" s="21"/>
      <c r="AA905" s="8"/>
      <c r="AB905" s="195">
        <v>1</v>
      </c>
      <c r="AC905" s="222" t="s">
        <v>3424</v>
      </c>
      <c r="AD905" s="1"/>
      <c r="AE905" s="29"/>
      <c r="AF905" s="2"/>
      <c r="AG905" s="2"/>
    </row>
    <row r="906" spans="1:33" s="24" customFormat="1" ht="30" x14ac:dyDescent="0.25">
      <c r="A906" s="4"/>
      <c r="B906" s="4">
        <v>46006</v>
      </c>
      <c r="C906" s="1" t="s">
        <v>1991</v>
      </c>
      <c r="D906" s="186" t="s">
        <v>1730</v>
      </c>
      <c r="E906" s="1" t="s">
        <v>2701</v>
      </c>
      <c r="F906" s="102" t="s">
        <v>1582</v>
      </c>
      <c r="G906" s="1" t="s">
        <v>1582</v>
      </c>
      <c r="H906" s="8">
        <v>12</v>
      </c>
      <c r="I906" s="8">
        <v>12</v>
      </c>
      <c r="J906" s="115">
        <f>Table224[[#This Row],[Qty]]-Table224[[#This Row],[Issue Qty]]</f>
        <v>0</v>
      </c>
      <c r="K906" s="195"/>
      <c r="L906" s="195" t="s">
        <v>3486</v>
      </c>
      <c r="M906" s="5">
        <v>210</v>
      </c>
      <c r="N906" s="5">
        <f t="shared" si="46"/>
        <v>2520</v>
      </c>
      <c r="O906" s="82">
        <v>0.18</v>
      </c>
      <c r="P906" s="9">
        <f t="shared" si="47"/>
        <v>453.59999999999997</v>
      </c>
      <c r="Q906" s="5"/>
      <c r="R906" s="5"/>
      <c r="S906" s="5">
        <f t="shared" si="48"/>
        <v>2973.6</v>
      </c>
      <c r="T906" s="1" t="s">
        <v>2887</v>
      </c>
      <c r="U906" s="1" t="s">
        <v>633</v>
      </c>
      <c r="V906" s="1" t="s">
        <v>1420</v>
      </c>
      <c r="W906" s="1"/>
      <c r="X906" s="1">
        <v>90329000</v>
      </c>
      <c r="Y906" s="1"/>
      <c r="Z906" s="21"/>
      <c r="AA906" s="8"/>
      <c r="AB906" s="195">
        <v>12</v>
      </c>
      <c r="AC906" s="222" t="s">
        <v>3352</v>
      </c>
      <c r="AD906" s="1"/>
      <c r="AE906" s="29"/>
      <c r="AF906" s="2"/>
      <c r="AG906" s="2"/>
    </row>
    <row r="907" spans="1:33" s="24" customFormat="1" x14ac:dyDescent="0.25">
      <c r="A907" s="4"/>
      <c r="B907" s="4">
        <v>46007</v>
      </c>
      <c r="C907" s="1" t="s">
        <v>54</v>
      </c>
      <c r="D907" s="186" t="s">
        <v>3489</v>
      </c>
      <c r="E907" s="1" t="s">
        <v>2239</v>
      </c>
      <c r="F907" s="102" t="s">
        <v>1062</v>
      </c>
      <c r="G907" s="1" t="s">
        <v>1062</v>
      </c>
      <c r="H907" s="8">
        <v>6</v>
      </c>
      <c r="I907" s="8">
        <v>6</v>
      </c>
      <c r="J907" s="115">
        <f>Table224[[#This Row],[Qty]]-Table224[[#This Row],[Issue Qty]]</f>
        <v>0</v>
      </c>
      <c r="K907" s="195"/>
      <c r="L907" s="195" t="s">
        <v>3480</v>
      </c>
      <c r="M907" s="5">
        <v>1000</v>
      </c>
      <c r="N907" s="5">
        <f t="shared" si="46"/>
        <v>6000</v>
      </c>
      <c r="O907" s="82">
        <v>0.18</v>
      </c>
      <c r="P907" s="9">
        <f t="shared" si="47"/>
        <v>1080</v>
      </c>
      <c r="Q907" s="5"/>
      <c r="R907" s="5"/>
      <c r="S907" s="5">
        <f t="shared" si="48"/>
        <v>7080</v>
      </c>
      <c r="T907" s="1" t="s">
        <v>331</v>
      </c>
      <c r="U907" s="1" t="s">
        <v>331</v>
      </c>
      <c r="V907" s="1" t="s">
        <v>764</v>
      </c>
      <c r="W907" s="1" t="s">
        <v>2703</v>
      </c>
      <c r="X907" s="1">
        <v>84879000</v>
      </c>
      <c r="Y907" s="1"/>
      <c r="Z907" s="21" t="s">
        <v>3774</v>
      </c>
      <c r="AA907" s="8"/>
      <c r="AB907" s="8">
        <v>6</v>
      </c>
      <c r="AC907" s="22" t="s">
        <v>509</v>
      </c>
      <c r="AD907" s="1"/>
      <c r="AE907" s="29"/>
      <c r="AF907" s="2"/>
      <c r="AG907" s="2"/>
    </row>
    <row r="908" spans="1:33" s="24" customFormat="1" x14ac:dyDescent="0.25">
      <c r="A908" s="4"/>
      <c r="B908" s="4">
        <v>46007</v>
      </c>
      <c r="C908" s="1" t="s">
        <v>54</v>
      </c>
      <c r="D908" s="186" t="s">
        <v>3489</v>
      </c>
      <c r="E908" s="1" t="s">
        <v>2237</v>
      </c>
      <c r="F908" s="102" t="s">
        <v>1064</v>
      </c>
      <c r="G908" s="1" t="s">
        <v>1064</v>
      </c>
      <c r="H908" s="8">
        <v>6</v>
      </c>
      <c r="I908" s="8">
        <v>6</v>
      </c>
      <c r="J908" s="115">
        <f>Table224[[#This Row],[Qty]]-Table224[[#This Row],[Issue Qty]]</f>
        <v>0</v>
      </c>
      <c r="K908" s="195"/>
      <c r="L908" s="195" t="s">
        <v>3480</v>
      </c>
      <c r="M908" s="5">
        <v>670</v>
      </c>
      <c r="N908" s="5">
        <f t="shared" si="46"/>
        <v>4020</v>
      </c>
      <c r="O908" s="82">
        <v>0.18</v>
      </c>
      <c r="P908" s="9">
        <f t="shared" si="47"/>
        <v>723.6</v>
      </c>
      <c r="Q908" s="5"/>
      <c r="R908" s="5"/>
      <c r="S908" s="5">
        <f t="shared" si="48"/>
        <v>4743.6000000000004</v>
      </c>
      <c r="T908" s="1" t="s">
        <v>331</v>
      </c>
      <c r="U908" s="1" t="s">
        <v>331</v>
      </c>
      <c r="V908" s="1" t="s">
        <v>764</v>
      </c>
      <c r="W908" s="1" t="s">
        <v>2703</v>
      </c>
      <c r="X908" s="1">
        <v>84879000</v>
      </c>
      <c r="Y908" s="1"/>
      <c r="Z908" s="21" t="s">
        <v>3774</v>
      </c>
      <c r="AA908" s="8"/>
      <c r="AB908" s="8">
        <v>6</v>
      </c>
      <c r="AC908" s="22" t="s">
        <v>509</v>
      </c>
      <c r="AD908" s="1"/>
      <c r="AE908" s="29"/>
      <c r="AF908" s="2"/>
      <c r="AG908" s="2"/>
    </row>
    <row r="909" spans="1:33" s="24" customFormat="1" ht="30" x14ac:dyDescent="0.25">
      <c r="A909" s="4"/>
      <c r="B909" s="4">
        <v>46007</v>
      </c>
      <c r="C909" s="1" t="s">
        <v>1688</v>
      </c>
      <c r="D909" s="186" t="s">
        <v>3454</v>
      </c>
      <c r="E909" s="1" t="s">
        <v>2704</v>
      </c>
      <c r="F909" s="102" t="s">
        <v>1585</v>
      </c>
      <c r="G909" s="1" t="s">
        <v>1585</v>
      </c>
      <c r="H909" s="8">
        <v>4</v>
      </c>
      <c r="I909" s="8">
        <v>2</v>
      </c>
      <c r="J909" s="115">
        <f>Table224[[#This Row],[Qty]]-Table224[[#This Row],[Issue Qty]]</f>
        <v>2</v>
      </c>
      <c r="K909" s="195"/>
      <c r="L909" s="195" t="s">
        <v>3480</v>
      </c>
      <c r="M909" s="5">
        <v>38000</v>
      </c>
      <c r="N909" s="5">
        <f t="shared" si="46"/>
        <v>152000</v>
      </c>
      <c r="O909" s="82">
        <v>0.18</v>
      </c>
      <c r="P909" s="9">
        <f t="shared" si="47"/>
        <v>27360</v>
      </c>
      <c r="Q909" s="5"/>
      <c r="R909" s="5"/>
      <c r="S909" s="5">
        <f t="shared" si="48"/>
        <v>179360</v>
      </c>
      <c r="T909" s="1" t="s">
        <v>2887</v>
      </c>
      <c r="U909" s="1" t="s">
        <v>633</v>
      </c>
      <c r="V909" s="1" t="s">
        <v>794</v>
      </c>
      <c r="W909" s="1" t="s">
        <v>2705</v>
      </c>
      <c r="X909" s="1">
        <v>85176290</v>
      </c>
      <c r="Y909" s="1"/>
      <c r="Z909" s="21" t="s">
        <v>3663</v>
      </c>
      <c r="AA909" s="8"/>
      <c r="AB909" s="8">
        <v>1</v>
      </c>
      <c r="AC909" s="22" t="s">
        <v>3583</v>
      </c>
      <c r="AD909" s="1"/>
      <c r="AE909" s="29"/>
      <c r="AF909" s="2"/>
      <c r="AG909" s="2"/>
    </row>
    <row r="910" spans="1:33" s="24" customFormat="1" x14ac:dyDescent="0.25">
      <c r="A910" s="4"/>
      <c r="B910" s="4">
        <v>46008</v>
      </c>
      <c r="C910" s="6" t="s">
        <v>1683</v>
      </c>
      <c r="D910" s="186" t="s">
        <v>1663</v>
      </c>
      <c r="E910" s="1" t="s">
        <v>2510</v>
      </c>
      <c r="F910" s="102" t="s">
        <v>1586</v>
      </c>
      <c r="G910" s="1" t="s">
        <v>1586</v>
      </c>
      <c r="H910" s="8">
        <v>14</v>
      </c>
      <c r="I910" s="8">
        <v>2</v>
      </c>
      <c r="J910" s="115">
        <f>Table224[[#This Row],[Qty]]-Table224[[#This Row],[Issue Qty]]</f>
        <v>12</v>
      </c>
      <c r="K910" s="195"/>
      <c r="L910" s="195" t="s">
        <v>3480</v>
      </c>
      <c r="M910" s="5"/>
      <c r="N910" s="5">
        <f t="shared" si="46"/>
        <v>0</v>
      </c>
      <c r="O910" s="82"/>
      <c r="P910" s="9">
        <f t="shared" si="47"/>
        <v>0</v>
      </c>
      <c r="Q910" s="5"/>
      <c r="R910" s="5"/>
      <c r="S910" s="5">
        <f t="shared" si="48"/>
        <v>0</v>
      </c>
      <c r="T910" s="1" t="s">
        <v>331</v>
      </c>
      <c r="U910" s="1" t="s">
        <v>331</v>
      </c>
      <c r="V910" s="1" t="s">
        <v>896</v>
      </c>
      <c r="W910" s="1" t="s">
        <v>37</v>
      </c>
      <c r="X910" s="1">
        <v>85076000</v>
      </c>
      <c r="Y910" s="1"/>
      <c r="Z910" s="21" t="s">
        <v>1345</v>
      </c>
      <c r="AA910" s="8"/>
      <c r="AB910" s="8">
        <v>2</v>
      </c>
      <c r="AC910" s="22" t="s">
        <v>474</v>
      </c>
      <c r="AD910" s="1"/>
      <c r="AE910" s="29"/>
      <c r="AF910" s="2"/>
      <c r="AG910" s="2"/>
    </row>
    <row r="911" spans="1:33" s="24" customFormat="1" x14ac:dyDescent="0.25">
      <c r="A911" s="4"/>
      <c r="B911" s="4">
        <v>46009</v>
      </c>
      <c r="C911" s="1" t="s">
        <v>54</v>
      </c>
      <c r="D911" s="224" t="s">
        <v>3494</v>
      </c>
      <c r="E911" s="1" t="s">
        <v>2603</v>
      </c>
      <c r="F911" s="102" t="s">
        <v>1506</v>
      </c>
      <c r="G911" s="1" t="s">
        <v>1506</v>
      </c>
      <c r="H911" s="8">
        <v>1</v>
      </c>
      <c r="I911" s="8">
        <v>1</v>
      </c>
      <c r="J911" s="115">
        <f>Table224[[#This Row],[Qty]]-Table224[[#This Row],[Issue Qty]]</f>
        <v>0</v>
      </c>
      <c r="K911" s="195"/>
      <c r="L911" s="195" t="s">
        <v>3480</v>
      </c>
      <c r="M911" s="5">
        <v>2825.1</v>
      </c>
      <c r="N911" s="5">
        <f t="shared" si="46"/>
        <v>2825.1</v>
      </c>
      <c r="O911" s="82">
        <v>0.18</v>
      </c>
      <c r="P911" s="9">
        <f t="shared" si="47"/>
        <v>508.51799999999997</v>
      </c>
      <c r="Q911" s="5"/>
      <c r="R911" s="5"/>
      <c r="S911" s="5">
        <f t="shared" si="48"/>
        <v>3333.6179999999999</v>
      </c>
      <c r="T911" s="1" t="s">
        <v>2887</v>
      </c>
      <c r="U911" s="1" t="s">
        <v>633</v>
      </c>
      <c r="V911" s="1" t="s">
        <v>358</v>
      </c>
      <c r="W911" s="1" t="s">
        <v>2706</v>
      </c>
      <c r="X911" s="1">
        <v>39269099</v>
      </c>
      <c r="Y911" s="1"/>
      <c r="Z911" s="21" t="s">
        <v>3349</v>
      </c>
      <c r="AA911" s="8"/>
      <c r="AB911" s="8">
        <v>1</v>
      </c>
      <c r="AC911" s="22" t="s">
        <v>3647</v>
      </c>
      <c r="AD911" s="1"/>
      <c r="AE911" s="29"/>
      <c r="AF911" s="2"/>
      <c r="AG911" s="2"/>
    </row>
    <row r="912" spans="1:33" s="24" customFormat="1" x14ac:dyDescent="0.25">
      <c r="A912" s="4"/>
      <c r="B912" s="4">
        <v>46009</v>
      </c>
      <c r="C912" s="1" t="s">
        <v>54</v>
      </c>
      <c r="D912" s="224" t="s">
        <v>3494</v>
      </c>
      <c r="E912" s="1" t="s">
        <v>2604</v>
      </c>
      <c r="F912" s="234" t="s">
        <v>1507</v>
      </c>
      <c r="G912" s="1" t="s">
        <v>1507</v>
      </c>
      <c r="H912" s="8">
        <v>1</v>
      </c>
      <c r="I912" s="8">
        <v>1</v>
      </c>
      <c r="J912" s="115">
        <f>Table224[[#This Row],[Qty]]-Table224[[#This Row],[Issue Qty]]</f>
        <v>0</v>
      </c>
      <c r="K912" s="195"/>
      <c r="L912" s="195" t="s">
        <v>3480</v>
      </c>
      <c r="M912" s="5">
        <v>4377.3999999999996</v>
      </c>
      <c r="N912" s="5">
        <f t="shared" si="46"/>
        <v>4377.3999999999996</v>
      </c>
      <c r="O912" s="82">
        <v>0.18</v>
      </c>
      <c r="P912" s="9">
        <f t="shared" si="47"/>
        <v>787.9319999999999</v>
      </c>
      <c r="Q912" s="5"/>
      <c r="R912" s="5"/>
      <c r="S912" s="5">
        <f t="shared" si="48"/>
        <v>5165.3319999999994</v>
      </c>
      <c r="T912" s="1" t="s">
        <v>2887</v>
      </c>
      <c r="U912" s="1" t="s">
        <v>633</v>
      </c>
      <c r="V912" s="1" t="s">
        <v>358</v>
      </c>
      <c r="W912" s="1" t="s">
        <v>2706</v>
      </c>
      <c r="X912" s="1">
        <v>39269099</v>
      </c>
      <c r="Y912" s="1"/>
      <c r="Z912" s="21" t="s">
        <v>3349</v>
      </c>
      <c r="AA912" s="21"/>
      <c r="AB912" s="8">
        <v>1</v>
      </c>
      <c r="AC912" s="22" t="s">
        <v>3643</v>
      </c>
      <c r="AD912" s="1"/>
      <c r="AE912" s="29"/>
      <c r="AF912" s="2"/>
      <c r="AG912" s="2"/>
    </row>
    <row r="913" spans="1:33" s="24" customFormat="1" x14ac:dyDescent="0.25">
      <c r="A913" s="4"/>
      <c r="B913" s="4">
        <v>46011</v>
      </c>
      <c r="C913" s="6" t="s">
        <v>1683</v>
      </c>
      <c r="D913" s="186" t="s">
        <v>3493</v>
      </c>
      <c r="E913" s="1" t="s">
        <v>2707</v>
      </c>
      <c r="F913" s="232" t="s">
        <v>1587</v>
      </c>
      <c r="G913" s="1" t="s">
        <v>1587</v>
      </c>
      <c r="H913" s="8">
        <v>2</v>
      </c>
      <c r="I913" s="8"/>
      <c r="J913" s="115">
        <f>Table224[[#This Row],[Qty]]-Table224[[#This Row],[Issue Qty]]</f>
        <v>2</v>
      </c>
      <c r="K913" s="195"/>
      <c r="L913" s="195" t="s">
        <v>3480</v>
      </c>
      <c r="M913" s="5">
        <v>450</v>
      </c>
      <c r="N913" s="5">
        <f t="shared" si="46"/>
        <v>900</v>
      </c>
      <c r="O913" s="82">
        <v>0.18</v>
      </c>
      <c r="P913" s="9">
        <f t="shared" si="47"/>
        <v>162</v>
      </c>
      <c r="Q913" s="5"/>
      <c r="R913" s="5"/>
      <c r="S913" s="5">
        <f t="shared" si="48"/>
        <v>1062</v>
      </c>
      <c r="T913" s="1" t="s">
        <v>331</v>
      </c>
      <c r="U913" s="1" t="s">
        <v>331</v>
      </c>
      <c r="V913" s="1" t="s">
        <v>343</v>
      </c>
      <c r="W913" s="1" t="s">
        <v>2708</v>
      </c>
      <c r="X913" s="1">
        <v>854420</v>
      </c>
      <c r="Y913" s="1"/>
      <c r="Z913" s="21" t="s">
        <v>89</v>
      </c>
      <c r="AA913" s="8"/>
      <c r="AB913" s="8"/>
      <c r="AC913" s="22"/>
      <c r="AD913" s="1"/>
      <c r="AE913" s="29"/>
      <c r="AF913" s="2"/>
      <c r="AG913" s="2"/>
    </row>
    <row r="914" spans="1:33" s="24" customFormat="1" x14ac:dyDescent="0.25">
      <c r="A914" s="4"/>
      <c r="B914" s="4">
        <v>46014</v>
      </c>
      <c r="C914" s="1" t="s">
        <v>1991</v>
      </c>
      <c r="D914" s="186" t="s">
        <v>3464</v>
      </c>
      <c r="E914" s="1" t="s">
        <v>2709</v>
      </c>
      <c r="F914" s="102" t="s">
        <v>1588</v>
      </c>
      <c r="G914" s="1" t="s">
        <v>1588</v>
      </c>
      <c r="H914" s="8">
        <v>2</v>
      </c>
      <c r="I914" s="8">
        <v>1</v>
      </c>
      <c r="J914" s="115">
        <f>Table224[[#This Row],[Qty]]-Table224[[#This Row],[Issue Qty]]</f>
        <v>1</v>
      </c>
      <c r="K914" s="195"/>
      <c r="L914" s="195" t="s">
        <v>3480</v>
      </c>
      <c r="M914" s="5">
        <v>29500</v>
      </c>
      <c r="N914" s="5">
        <f t="shared" si="46"/>
        <v>59000</v>
      </c>
      <c r="O914" s="82">
        <v>0.05</v>
      </c>
      <c r="P914" s="9">
        <f t="shared" si="47"/>
        <v>2950</v>
      </c>
      <c r="Q914" s="5"/>
      <c r="R914" s="5"/>
      <c r="S914" s="5">
        <f t="shared" si="48"/>
        <v>61950</v>
      </c>
      <c r="T914" s="1" t="s">
        <v>606</v>
      </c>
      <c r="U914" s="1" t="s">
        <v>606</v>
      </c>
      <c r="V914" s="1" t="s">
        <v>1589</v>
      </c>
      <c r="W914" s="1" t="s">
        <v>2710</v>
      </c>
      <c r="X914" s="1">
        <v>88073000</v>
      </c>
      <c r="Y914" s="1"/>
      <c r="Z914" s="21" t="s">
        <v>244</v>
      </c>
      <c r="AA914" s="204"/>
      <c r="AB914" s="8">
        <v>1</v>
      </c>
      <c r="AC914" s="22" t="s">
        <v>3482</v>
      </c>
      <c r="AD914" s="1"/>
      <c r="AE914" s="29"/>
      <c r="AF914" s="2"/>
      <c r="AG914" s="2"/>
    </row>
    <row r="915" spans="1:33" s="24" customFormat="1" x14ac:dyDescent="0.25">
      <c r="A915" s="4"/>
      <c r="B915" s="4">
        <v>46014</v>
      </c>
      <c r="C915" s="1" t="s">
        <v>1991</v>
      </c>
      <c r="D915" s="224" t="s">
        <v>3490</v>
      </c>
      <c r="E915" s="1" t="s">
        <v>2711</v>
      </c>
      <c r="F915" s="102" t="s">
        <v>1591</v>
      </c>
      <c r="G915" s="1" t="s">
        <v>1591</v>
      </c>
      <c r="H915" s="8">
        <v>2</v>
      </c>
      <c r="I915" s="8">
        <v>1</v>
      </c>
      <c r="J915" s="115">
        <f>Table224[[#This Row],[Qty]]-Table224[[#This Row],[Issue Qty]]</f>
        <v>1</v>
      </c>
      <c r="K915" s="195"/>
      <c r="L915" s="195" t="s">
        <v>3480</v>
      </c>
      <c r="M915" s="5">
        <v>15000</v>
      </c>
      <c r="N915" s="5">
        <f t="shared" si="46"/>
        <v>30000</v>
      </c>
      <c r="O915" s="82">
        <v>0.05</v>
      </c>
      <c r="P915" s="9">
        <f t="shared" si="47"/>
        <v>1500</v>
      </c>
      <c r="Q915" s="5"/>
      <c r="R915" s="5"/>
      <c r="S915" s="5">
        <f t="shared" si="48"/>
        <v>31500</v>
      </c>
      <c r="T915" s="1" t="s">
        <v>606</v>
      </c>
      <c r="U915" s="1" t="s">
        <v>606</v>
      </c>
      <c r="V915" s="1" t="s">
        <v>1589</v>
      </c>
      <c r="W915" s="1" t="s">
        <v>2710</v>
      </c>
      <c r="X915" s="1">
        <v>15132120</v>
      </c>
      <c r="Y915" s="1"/>
      <c r="Z915" s="21" t="s">
        <v>52</v>
      </c>
      <c r="AA915" s="8"/>
      <c r="AB915" s="8">
        <v>1</v>
      </c>
      <c r="AC915" s="22" t="s">
        <v>3573</v>
      </c>
      <c r="AD915" s="22" t="s">
        <v>1590</v>
      </c>
      <c r="AE915" s="29"/>
      <c r="AF915" s="2"/>
      <c r="AG915" s="2"/>
    </row>
    <row r="916" spans="1:33" s="24" customFormat="1" ht="30" x14ac:dyDescent="0.25">
      <c r="A916" s="4"/>
      <c r="B916" s="4">
        <v>46015</v>
      </c>
      <c r="C916" s="1" t="s">
        <v>54</v>
      </c>
      <c r="D916" s="186" t="s">
        <v>3596</v>
      </c>
      <c r="E916" s="1" t="s">
        <v>2713</v>
      </c>
      <c r="F916" s="102" t="s">
        <v>1592</v>
      </c>
      <c r="G916" s="1" t="s">
        <v>1592</v>
      </c>
      <c r="H916" s="8">
        <v>4</v>
      </c>
      <c r="I916" s="8">
        <v>4</v>
      </c>
      <c r="J916" s="115">
        <f>Table224[[#This Row],[Qty]]-Table224[[#This Row],[Issue Qty]]</f>
        <v>0</v>
      </c>
      <c r="K916" s="195"/>
      <c r="L916" s="195" t="s">
        <v>3480</v>
      </c>
      <c r="M916" s="5">
        <v>3500</v>
      </c>
      <c r="N916" s="5">
        <f t="shared" si="46"/>
        <v>14000</v>
      </c>
      <c r="O916" s="82">
        <v>0.18</v>
      </c>
      <c r="P916" s="9">
        <f t="shared" si="47"/>
        <v>2520</v>
      </c>
      <c r="Q916" s="5"/>
      <c r="R916" s="5"/>
      <c r="S916" s="5">
        <f t="shared" si="48"/>
        <v>16520</v>
      </c>
      <c r="T916" s="1" t="s">
        <v>2887</v>
      </c>
      <c r="U916" s="1" t="s">
        <v>633</v>
      </c>
      <c r="V916" s="1" t="s">
        <v>764</v>
      </c>
      <c r="W916" s="1" t="s">
        <v>2712</v>
      </c>
      <c r="X916" s="1">
        <v>84879000</v>
      </c>
      <c r="Y916" s="1"/>
      <c r="Z916" s="21" t="s">
        <v>1624</v>
      </c>
      <c r="AA916" s="8"/>
      <c r="AB916" s="8">
        <v>4</v>
      </c>
      <c r="AC916" s="22" t="s">
        <v>3773</v>
      </c>
      <c r="AD916" s="1"/>
      <c r="AE916" s="29"/>
      <c r="AF916" s="2"/>
      <c r="AG916" s="2"/>
    </row>
    <row r="917" spans="1:33" s="24" customFormat="1" x14ac:dyDescent="0.25">
      <c r="A917" s="4"/>
      <c r="B917" s="4">
        <v>46015</v>
      </c>
      <c r="C917" s="6" t="s">
        <v>1730</v>
      </c>
      <c r="D917" s="186" t="s">
        <v>3495</v>
      </c>
      <c r="E917" s="1" t="s">
        <v>2619</v>
      </c>
      <c r="F917" s="102" t="s">
        <v>1523</v>
      </c>
      <c r="G917" s="1" t="s">
        <v>1523</v>
      </c>
      <c r="H917" s="8">
        <v>10</v>
      </c>
      <c r="I917" s="8">
        <v>6</v>
      </c>
      <c r="J917" s="115">
        <f>Table224[[#This Row],[Qty]]-Table224[[#This Row],[Issue Qty]]</f>
        <v>4</v>
      </c>
      <c r="K917" s="195"/>
      <c r="L917" s="195" t="s">
        <v>3480</v>
      </c>
      <c r="M917" s="5">
        <v>350</v>
      </c>
      <c r="N917" s="5">
        <f t="shared" si="46"/>
        <v>3500</v>
      </c>
      <c r="O917" s="82">
        <v>0.18</v>
      </c>
      <c r="P917" s="9">
        <f t="shared" si="47"/>
        <v>630</v>
      </c>
      <c r="Q917" s="5"/>
      <c r="R917" s="5"/>
      <c r="S917" s="5">
        <f t="shared" si="48"/>
        <v>4130</v>
      </c>
      <c r="T917" s="1" t="s">
        <v>2887</v>
      </c>
      <c r="U917" s="1" t="s">
        <v>633</v>
      </c>
      <c r="V917" s="1" t="s">
        <v>764</v>
      </c>
      <c r="W917" s="1" t="s">
        <v>2712</v>
      </c>
      <c r="X917" s="1">
        <v>84879000</v>
      </c>
      <c r="Y917" s="1"/>
      <c r="Z917" s="21"/>
      <c r="AA917" s="8"/>
      <c r="AB917" s="8">
        <v>6</v>
      </c>
      <c r="AC917" s="22" t="s">
        <v>3864</v>
      </c>
      <c r="AD917" s="1" t="s">
        <v>3865</v>
      </c>
      <c r="AE917" s="29"/>
      <c r="AF917" s="2"/>
      <c r="AG917" s="2"/>
    </row>
    <row r="918" spans="1:33" s="24" customFormat="1" ht="45" x14ac:dyDescent="0.25">
      <c r="A918" s="4"/>
      <c r="B918" s="4">
        <v>46017</v>
      </c>
      <c r="C918" s="6" t="s">
        <v>1730</v>
      </c>
      <c r="D918" s="224" t="s">
        <v>3664</v>
      </c>
      <c r="E918" s="1" t="s">
        <v>2717</v>
      </c>
      <c r="F918" s="102" t="s">
        <v>1596</v>
      </c>
      <c r="G918" s="1" t="s">
        <v>1596</v>
      </c>
      <c r="H918" s="8">
        <v>2</v>
      </c>
      <c r="I918" s="8">
        <v>1</v>
      </c>
      <c r="J918" s="115">
        <f>Table224[[#This Row],[Qty]]-Table224[[#This Row],[Issue Qty]]</f>
        <v>1</v>
      </c>
      <c r="K918" s="195"/>
      <c r="L918" s="195" t="s">
        <v>3480</v>
      </c>
      <c r="M918" s="5">
        <v>985.59</v>
      </c>
      <c r="N918" s="5">
        <f t="shared" si="46"/>
        <v>1971.18</v>
      </c>
      <c r="O918" s="82">
        <v>0.18</v>
      </c>
      <c r="P918" s="9">
        <f t="shared" si="47"/>
        <v>354.81240000000003</v>
      </c>
      <c r="Q918" s="5"/>
      <c r="R918" s="5"/>
      <c r="S918" s="5">
        <f t="shared" si="48"/>
        <v>2325.9924000000001</v>
      </c>
      <c r="T918" s="1" t="s">
        <v>331</v>
      </c>
      <c r="U918" s="1" t="s">
        <v>331</v>
      </c>
      <c r="V918" s="1" t="s">
        <v>384</v>
      </c>
      <c r="W918" s="1" t="s">
        <v>2718</v>
      </c>
      <c r="X918" s="1">
        <v>9620</v>
      </c>
      <c r="Y918" s="1"/>
      <c r="Z918" s="21" t="s">
        <v>2940</v>
      </c>
      <c r="AA918" s="8" t="s">
        <v>821</v>
      </c>
      <c r="AB918" s="8">
        <v>1</v>
      </c>
      <c r="AC918" s="22" t="s">
        <v>509</v>
      </c>
      <c r="AD918" s="1"/>
      <c r="AE918" s="29"/>
      <c r="AF918" s="2"/>
      <c r="AG918" s="26"/>
    </row>
    <row r="919" spans="1:33" s="24" customFormat="1" x14ac:dyDescent="0.25">
      <c r="A919" s="4"/>
      <c r="B919" s="4">
        <v>46017</v>
      </c>
      <c r="C919" s="6" t="s">
        <v>1730</v>
      </c>
      <c r="D919" s="186" t="s">
        <v>3495</v>
      </c>
      <c r="E919" s="1" t="s">
        <v>2715</v>
      </c>
      <c r="F919" s="102" t="s">
        <v>1594</v>
      </c>
      <c r="G919" s="1" t="s">
        <v>1594</v>
      </c>
      <c r="H919" s="8">
        <v>2</v>
      </c>
      <c r="I919" s="8">
        <v>2</v>
      </c>
      <c r="J919" s="115">
        <f>Table224[[#This Row],[Qty]]-Table224[[#This Row],[Issue Qty]]</f>
        <v>0</v>
      </c>
      <c r="K919" s="195"/>
      <c r="L919" s="195" t="s">
        <v>3486</v>
      </c>
      <c r="M919" s="5">
        <v>600</v>
      </c>
      <c r="N919" s="5">
        <f t="shared" si="46"/>
        <v>1200</v>
      </c>
      <c r="O919" s="82">
        <v>0.18</v>
      </c>
      <c r="P919" s="9">
        <f t="shared" si="47"/>
        <v>216</v>
      </c>
      <c r="Q919" s="5"/>
      <c r="R919" s="5"/>
      <c r="S919" s="5">
        <f t="shared" si="48"/>
        <v>1416</v>
      </c>
      <c r="T919" s="1" t="s">
        <v>2887</v>
      </c>
      <c r="U919" s="1" t="s">
        <v>633</v>
      </c>
      <c r="V919" s="1" t="s">
        <v>1595</v>
      </c>
      <c r="W919" s="1" t="s">
        <v>2716</v>
      </c>
      <c r="X919" s="1">
        <v>7318</v>
      </c>
      <c r="Y919" s="1"/>
      <c r="Z919" s="21" t="s">
        <v>1358</v>
      </c>
      <c r="AA919" s="8"/>
      <c r="AB919" s="8"/>
      <c r="AC919" s="22"/>
      <c r="AD919" s="1"/>
      <c r="AE919" s="29"/>
      <c r="AF919" s="2"/>
      <c r="AG919" s="2"/>
    </row>
    <row r="920" spans="1:33" s="24" customFormat="1" x14ac:dyDescent="0.25">
      <c r="A920" s="4"/>
      <c r="B920" s="4">
        <v>46018</v>
      </c>
      <c r="C920" s="1" t="s">
        <v>1991</v>
      </c>
      <c r="D920" s="186" t="s">
        <v>3582</v>
      </c>
      <c r="E920" s="1" t="s">
        <v>2719</v>
      </c>
      <c r="F920" s="102" t="s">
        <v>1597</v>
      </c>
      <c r="G920" s="1" t="s">
        <v>1597</v>
      </c>
      <c r="H920" s="8">
        <v>4</v>
      </c>
      <c r="I920" s="8">
        <v>3</v>
      </c>
      <c r="J920" s="115">
        <f>Table224[[#This Row],[Qty]]-Table224[[#This Row],[Issue Qty]]</f>
        <v>1</v>
      </c>
      <c r="K920" s="195"/>
      <c r="L920" s="195" t="s">
        <v>3480</v>
      </c>
      <c r="M920" s="5">
        <v>4028</v>
      </c>
      <c r="N920" s="5">
        <f t="shared" si="46"/>
        <v>16112</v>
      </c>
      <c r="O920" s="82">
        <v>0.18</v>
      </c>
      <c r="P920" s="9">
        <f t="shared" si="47"/>
        <v>2900.16</v>
      </c>
      <c r="Q920" s="5"/>
      <c r="R920" s="5"/>
      <c r="S920" s="5">
        <f t="shared" si="48"/>
        <v>19012.16</v>
      </c>
      <c r="T920" s="1" t="s">
        <v>2887</v>
      </c>
      <c r="U920" s="1" t="s">
        <v>633</v>
      </c>
      <c r="V920" s="1" t="s">
        <v>893</v>
      </c>
      <c r="W920" s="1" t="s">
        <v>2720</v>
      </c>
      <c r="X920" s="1">
        <v>85177910</v>
      </c>
      <c r="Y920" s="1"/>
      <c r="Z920" s="21" t="s">
        <v>3727</v>
      </c>
      <c r="AA920" s="8"/>
      <c r="AB920" s="8">
        <v>2</v>
      </c>
      <c r="AC920" s="22" t="s">
        <v>3607</v>
      </c>
      <c r="AD920" s="1"/>
      <c r="AE920" s="29"/>
      <c r="AF920" s="2"/>
      <c r="AG920" s="26"/>
    </row>
    <row r="921" spans="1:33" s="206" customFormat="1" x14ac:dyDescent="0.25">
      <c r="A921" s="4">
        <v>46028</v>
      </c>
      <c r="B921" s="4">
        <v>46024</v>
      </c>
      <c r="C921" s="1" t="s">
        <v>1991</v>
      </c>
      <c r="D921" s="224" t="s">
        <v>3464</v>
      </c>
      <c r="E921" s="6" t="s">
        <v>1892</v>
      </c>
      <c r="F921" s="236" t="s">
        <v>501</v>
      </c>
      <c r="G921" s="1" t="s">
        <v>501</v>
      </c>
      <c r="H921" s="8">
        <v>3</v>
      </c>
      <c r="I921" s="8">
        <v>2</v>
      </c>
      <c r="J921" s="115">
        <f>Table224[[#This Row],[Qty]]-Table224[[#This Row],[Issue Qty]]</f>
        <v>1</v>
      </c>
      <c r="K921" s="332">
        <v>1</v>
      </c>
      <c r="L921" s="195" t="s">
        <v>3480</v>
      </c>
      <c r="M921" s="5">
        <v>33890</v>
      </c>
      <c r="N921" s="5">
        <f t="shared" si="46"/>
        <v>101670</v>
      </c>
      <c r="O921" s="82">
        <v>0.05</v>
      </c>
      <c r="P921" s="9">
        <f t="shared" si="47"/>
        <v>5083.5</v>
      </c>
      <c r="Q921" s="5"/>
      <c r="R921" s="5">
        <v>-0.4</v>
      </c>
      <c r="S921" s="5">
        <f t="shared" si="48"/>
        <v>106753.1</v>
      </c>
      <c r="T921" s="1" t="s">
        <v>606</v>
      </c>
      <c r="U921" s="1" t="s">
        <v>606</v>
      </c>
      <c r="V921" s="1" t="s">
        <v>444</v>
      </c>
      <c r="W921" s="1" t="s">
        <v>2721</v>
      </c>
      <c r="X921" s="1">
        <v>88073000</v>
      </c>
      <c r="Y921" s="2"/>
      <c r="Z921" s="21" t="s">
        <v>244</v>
      </c>
      <c r="AA921" s="21"/>
      <c r="AB921" s="21">
        <v>2</v>
      </c>
      <c r="AC921" s="57" t="s">
        <v>3849</v>
      </c>
      <c r="AD921" s="2"/>
      <c r="AE921" s="23"/>
      <c r="AF921" s="1"/>
      <c r="AG921" s="26"/>
    </row>
    <row r="922" spans="1:33" s="206" customFormat="1" x14ac:dyDescent="0.25">
      <c r="A922" s="4">
        <v>46028</v>
      </c>
      <c r="B922" s="4">
        <v>46024</v>
      </c>
      <c r="C922" s="6" t="s">
        <v>1688</v>
      </c>
      <c r="D922" s="224" t="s">
        <v>3451</v>
      </c>
      <c r="E922" s="6" t="s">
        <v>2097</v>
      </c>
      <c r="F922" s="102" t="s">
        <v>856</v>
      </c>
      <c r="G922" s="1" t="s">
        <v>856</v>
      </c>
      <c r="H922" s="8">
        <v>3</v>
      </c>
      <c r="I922" s="8">
        <v>1</v>
      </c>
      <c r="J922" s="115">
        <f>Table224[[#This Row],[Qty]]-Table224[[#This Row],[Issue Qty]]</f>
        <v>2</v>
      </c>
      <c r="K922" s="195"/>
      <c r="L922" s="195" t="s">
        <v>3480</v>
      </c>
      <c r="M922" s="5">
        <v>33095</v>
      </c>
      <c r="N922" s="5">
        <f t="shared" si="46"/>
        <v>99285</v>
      </c>
      <c r="O922" s="82">
        <v>0.18</v>
      </c>
      <c r="P922" s="9">
        <f t="shared" si="47"/>
        <v>17871.3</v>
      </c>
      <c r="Q922" s="5"/>
      <c r="R922" s="5"/>
      <c r="S922" s="5">
        <f t="shared" si="48"/>
        <v>117156.3</v>
      </c>
      <c r="T922" s="1" t="s">
        <v>606</v>
      </c>
      <c r="U922" s="1" t="s">
        <v>606</v>
      </c>
      <c r="V922" s="1" t="s">
        <v>444</v>
      </c>
      <c r="W922" s="1" t="s">
        <v>2721</v>
      </c>
      <c r="X922" s="1">
        <v>88073000</v>
      </c>
      <c r="Y922" s="2"/>
      <c r="Z922" s="21" t="s">
        <v>1598</v>
      </c>
      <c r="AA922" s="21"/>
      <c r="AB922" s="21">
        <v>2</v>
      </c>
      <c r="AC922" s="12" t="s">
        <v>3458</v>
      </c>
      <c r="AD922" s="2"/>
      <c r="AE922" s="23"/>
      <c r="AF922" s="1"/>
      <c r="AG922" s="26"/>
    </row>
    <row r="923" spans="1:33" s="206" customFormat="1" x14ac:dyDescent="0.25">
      <c r="A923" s="4">
        <v>46021</v>
      </c>
      <c r="B923" s="4">
        <v>46027</v>
      </c>
      <c r="C923" s="6" t="s">
        <v>1730</v>
      </c>
      <c r="D923" s="224" t="s">
        <v>3654</v>
      </c>
      <c r="E923" s="6" t="s">
        <v>37</v>
      </c>
      <c r="F923" s="102" t="s">
        <v>1599</v>
      </c>
      <c r="G923" s="1" t="s">
        <v>1599</v>
      </c>
      <c r="H923" s="8">
        <v>4</v>
      </c>
      <c r="I923" s="8">
        <v>3</v>
      </c>
      <c r="J923" s="115">
        <f>Table224[[#This Row],[Qty]]-Table224[[#This Row],[Issue Qty]]</f>
        <v>1</v>
      </c>
      <c r="K923" s="195"/>
      <c r="L923" s="195" t="s">
        <v>3480</v>
      </c>
      <c r="M923" s="5">
        <v>143.63</v>
      </c>
      <c r="N923" s="5">
        <f t="shared" si="46"/>
        <v>574.52</v>
      </c>
      <c r="O923" s="82">
        <v>0.18</v>
      </c>
      <c r="P923" s="9">
        <f t="shared" si="47"/>
        <v>103.41359999999999</v>
      </c>
      <c r="Q923" s="5"/>
      <c r="R923" s="5"/>
      <c r="S923" s="5">
        <f t="shared" si="48"/>
        <v>677.93359999999996</v>
      </c>
      <c r="T923" s="1" t="s">
        <v>2887</v>
      </c>
      <c r="U923" s="1" t="s">
        <v>633</v>
      </c>
      <c r="V923" s="1" t="s">
        <v>384</v>
      </c>
      <c r="W923" s="1" t="s">
        <v>2724</v>
      </c>
      <c r="X923" s="1">
        <v>85469090</v>
      </c>
      <c r="Y923" s="2"/>
      <c r="Z923" s="21" t="s">
        <v>1358</v>
      </c>
      <c r="AA923" s="21"/>
      <c r="AB923" s="201"/>
      <c r="AC923" s="202"/>
      <c r="AD923" s="2"/>
      <c r="AE923" s="23"/>
      <c r="AF923" s="1"/>
      <c r="AG923" s="26"/>
    </row>
    <row r="924" spans="1:33" s="206" customFormat="1" ht="30" x14ac:dyDescent="0.25">
      <c r="A924" s="4">
        <v>46386</v>
      </c>
      <c r="B924" s="4">
        <v>46027</v>
      </c>
      <c r="C924" s="1" t="s">
        <v>1991</v>
      </c>
      <c r="D924" s="224" t="s">
        <v>1730</v>
      </c>
      <c r="E924" s="6" t="s">
        <v>2725</v>
      </c>
      <c r="F924" s="102" t="s">
        <v>1600</v>
      </c>
      <c r="G924" s="1" t="s">
        <v>1600</v>
      </c>
      <c r="H924" s="8">
        <v>4</v>
      </c>
      <c r="I924" s="8">
        <v>4</v>
      </c>
      <c r="J924" s="115">
        <f>Table224[[#This Row],[Qty]]-Table224[[#This Row],[Issue Qty]]</f>
        <v>0</v>
      </c>
      <c r="K924" s="195"/>
      <c r="L924" s="195" t="s">
        <v>3480</v>
      </c>
      <c r="M924" s="5">
        <v>2.4700000000000002</v>
      </c>
      <c r="N924" s="5">
        <f t="shared" si="46"/>
        <v>9.8800000000000008</v>
      </c>
      <c r="O924" s="82"/>
      <c r="P924" s="9">
        <f t="shared" si="47"/>
        <v>0</v>
      </c>
      <c r="Q924" s="5"/>
      <c r="R924" s="5"/>
      <c r="S924" s="5">
        <f t="shared" si="48"/>
        <v>9.8800000000000008</v>
      </c>
      <c r="T924" s="1" t="s">
        <v>2887</v>
      </c>
      <c r="U924" s="1" t="s">
        <v>633</v>
      </c>
      <c r="V924" s="1" t="s">
        <v>1601</v>
      </c>
      <c r="W924" s="1">
        <v>88067841</v>
      </c>
      <c r="X924" s="1">
        <v>85429000</v>
      </c>
      <c r="Y924" s="2"/>
      <c r="Z924" s="21" t="s">
        <v>3663</v>
      </c>
      <c r="AA924" s="21"/>
      <c r="AB924" s="21">
        <v>4</v>
      </c>
      <c r="AC924" s="12" t="s">
        <v>3352</v>
      </c>
      <c r="AD924" s="2"/>
      <c r="AE924" s="23"/>
      <c r="AF924" s="1"/>
      <c r="AG924" s="26"/>
    </row>
    <row r="925" spans="1:33" s="206" customFormat="1" x14ac:dyDescent="0.25">
      <c r="A925" s="4">
        <v>46025</v>
      </c>
      <c r="B925" s="4">
        <v>46027</v>
      </c>
      <c r="C925" s="1" t="s">
        <v>1991</v>
      </c>
      <c r="D925" s="186" t="s">
        <v>3492</v>
      </c>
      <c r="E925" s="6" t="s">
        <v>1831</v>
      </c>
      <c r="F925" s="102" t="s">
        <v>379</v>
      </c>
      <c r="G925" s="1" t="s">
        <v>379</v>
      </c>
      <c r="H925" s="8">
        <v>6</v>
      </c>
      <c r="I925" s="8"/>
      <c r="J925" s="115">
        <f>Table224[[#This Row],[Qty]]-Table224[[#This Row],[Issue Qty]]</f>
        <v>6</v>
      </c>
      <c r="K925" s="195"/>
      <c r="L925" s="195" t="s">
        <v>3480</v>
      </c>
      <c r="M925" s="5">
        <v>628.57000000000005</v>
      </c>
      <c r="N925" s="5">
        <f t="shared" si="46"/>
        <v>3771.42</v>
      </c>
      <c r="O925" s="82">
        <v>0.18</v>
      </c>
      <c r="P925" s="9">
        <f t="shared" si="47"/>
        <v>678.85559999999998</v>
      </c>
      <c r="Q925" s="5"/>
      <c r="R925" s="5"/>
      <c r="S925" s="5">
        <f t="shared" si="48"/>
        <v>4450.2755999999999</v>
      </c>
      <c r="T925" s="1" t="s">
        <v>606</v>
      </c>
      <c r="U925" s="1" t="s">
        <v>606</v>
      </c>
      <c r="V925" s="1" t="s">
        <v>634</v>
      </c>
      <c r="W925" s="1" t="s">
        <v>2722</v>
      </c>
      <c r="X925" s="1">
        <v>38073000</v>
      </c>
      <c r="Y925" s="2"/>
      <c r="Z925" s="21" t="s">
        <v>72</v>
      </c>
      <c r="AA925" s="21" t="s">
        <v>262</v>
      </c>
      <c r="AB925" s="21"/>
      <c r="AC925" s="12"/>
      <c r="AD925" s="2"/>
      <c r="AE925" s="23"/>
      <c r="AF925" s="1"/>
      <c r="AG925" s="26"/>
    </row>
    <row r="926" spans="1:33" s="206" customFormat="1" x14ac:dyDescent="0.25">
      <c r="A926" s="4">
        <v>46027</v>
      </c>
      <c r="B926" s="4">
        <v>46030</v>
      </c>
      <c r="C926" s="1" t="s">
        <v>1991</v>
      </c>
      <c r="D926" s="224" t="s">
        <v>3453</v>
      </c>
      <c r="E926" s="6" t="s">
        <v>2726</v>
      </c>
      <c r="F926" s="102" t="s">
        <v>1602</v>
      </c>
      <c r="G926" s="1" t="s">
        <v>1602</v>
      </c>
      <c r="H926" s="8">
        <v>1</v>
      </c>
      <c r="I926" s="8">
        <v>1</v>
      </c>
      <c r="J926" s="115">
        <f>Table224[[#This Row],[Qty]]-Table224[[#This Row],[Issue Qty]]</f>
        <v>0</v>
      </c>
      <c r="K926" s="195"/>
      <c r="L926" s="195" t="s">
        <v>3480</v>
      </c>
      <c r="M926" s="5">
        <v>322.86</v>
      </c>
      <c r="N926" s="5">
        <f t="shared" si="46"/>
        <v>322.86</v>
      </c>
      <c r="O926" s="82">
        <v>0.05</v>
      </c>
      <c r="P926" s="9">
        <f t="shared" si="47"/>
        <v>16.143000000000001</v>
      </c>
      <c r="Q926" s="5"/>
      <c r="R926" s="5"/>
      <c r="S926" s="5">
        <f t="shared" si="48"/>
        <v>339.00300000000004</v>
      </c>
      <c r="T926" s="1" t="s">
        <v>1603</v>
      </c>
      <c r="U926" s="1" t="s">
        <v>1603</v>
      </c>
      <c r="V926" s="1" t="s">
        <v>634</v>
      </c>
      <c r="W926" s="1" t="s">
        <v>2727</v>
      </c>
      <c r="X926" s="1">
        <v>88073000</v>
      </c>
      <c r="Y926" s="2"/>
      <c r="Z926" s="21" t="s">
        <v>72</v>
      </c>
      <c r="AA926" s="21"/>
      <c r="AB926" s="21">
        <v>1</v>
      </c>
      <c r="AC926" s="12" t="s">
        <v>1604</v>
      </c>
      <c r="AD926" s="2"/>
      <c r="AE926" s="23"/>
      <c r="AF926" s="1"/>
      <c r="AG926" s="26"/>
    </row>
    <row r="927" spans="1:33" s="206" customFormat="1" x14ac:dyDescent="0.25">
      <c r="A927" s="4">
        <v>46027</v>
      </c>
      <c r="B927" s="4">
        <v>46030</v>
      </c>
      <c r="C927" s="1" t="s">
        <v>1991</v>
      </c>
      <c r="D927" s="224" t="s">
        <v>3490</v>
      </c>
      <c r="E927" s="6" t="s">
        <v>1890</v>
      </c>
      <c r="F927" s="236" t="s">
        <v>498</v>
      </c>
      <c r="G927" s="1" t="s">
        <v>498</v>
      </c>
      <c r="H927" s="8">
        <v>3</v>
      </c>
      <c r="I927" s="8">
        <v>3</v>
      </c>
      <c r="J927" s="115">
        <f>Table224[[#This Row],[Qty]]-Table224[[#This Row],[Issue Qty]]</f>
        <v>0</v>
      </c>
      <c r="K927" s="332">
        <v>2</v>
      </c>
      <c r="L927" s="195" t="s">
        <v>3480</v>
      </c>
      <c r="M927" s="5">
        <v>19700</v>
      </c>
      <c r="N927" s="5">
        <f t="shared" si="46"/>
        <v>59100</v>
      </c>
      <c r="O927" s="82">
        <v>0.05</v>
      </c>
      <c r="P927" s="9">
        <f t="shared" si="47"/>
        <v>2955</v>
      </c>
      <c r="Q927" s="5"/>
      <c r="R927" s="5">
        <v>-0.35</v>
      </c>
      <c r="S927" s="5">
        <f t="shared" si="48"/>
        <v>62054.65</v>
      </c>
      <c r="T927" s="1" t="s">
        <v>606</v>
      </c>
      <c r="U927" s="1" t="s">
        <v>606</v>
      </c>
      <c r="V927" s="1" t="s">
        <v>794</v>
      </c>
      <c r="W927" s="1" t="s">
        <v>2728</v>
      </c>
      <c r="X927" s="1">
        <v>88073020</v>
      </c>
      <c r="Y927" s="2"/>
      <c r="Z927" s="21" t="s">
        <v>52</v>
      </c>
      <c r="AA927" s="21"/>
      <c r="AB927" s="21">
        <f>1+1</f>
        <v>2</v>
      </c>
      <c r="AC927" s="12" t="s">
        <v>3833</v>
      </c>
      <c r="AD927" s="2"/>
      <c r="AE927" s="23"/>
      <c r="AF927" s="1"/>
      <c r="AG927" s="26"/>
    </row>
    <row r="928" spans="1:33" s="206" customFormat="1" ht="30" x14ac:dyDescent="0.25">
      <c r="A928" s="4">
        <v>46027</v>
      </c>
      <c r="B928" s="4">
        <v>46030</v>
      </c>
      <c r="C928" s="1" t="s">
        <v>1991</v>
      </c>
      <c r="D928" s="224" t="s">
        <v>3463</v>
      </c>
      <c r="E928" s="6" t="s">
        <v>2058</v>
      </c>
      <c r="F928" s="102" t="s">
        <v>805</v>
      </c>
      <c r="G928" s="1" t="s">
        <v>805</v>
      </c>
      <c r="H928" s="8">
        <v>3</v>
      </c>
      <c r="I928" s="8">
        <v>1</v>
      </c>
      <c r="J928" s="115">
        <f>Table224[[#This Row],[Qty]]-Table224[[#This Row],[Issue Qty]]</f>
        <v>2</v>
      </c>
      <c r="K928" s="195"/>
      <c r="L928" s="195" t="s">
        <v>3480</v>
      </c>
      <c r="M928" s="5">
        <v>3999</v>
      </c>
      <c r="N928" s="5">
        <f t="shared" si="46"/>
        <v>11997</v>
      </c>
      <c r="O928" s="82">
        <v>0.18</v>
      </c>
      <c r="P928" s="9">
        <f t="shared" si="47"/>
        <v>2159.46</v>
      </c>
      <c r="Q928" s="5"/>
      <c r="R928" s="5"/>
      <c r="S928" s="5">
        <f t="shared" si="48"/>
        <v>14156.46</v>
      </c>
      <c r="T928" s="1" t="s">
        <v>606</v>
      </c>
      <c r="U928" s="1" t="s">
        <v>606</v>
      </c>
      <c r="V928" s="1" t="s">
        <v>794</v>
      </c>
      <c r="W928" s="1" t="s">
        <v>2728</v>
      </c>
      <c r="X928" s="1">
        <v>85043100</v>
      </c>
      <c r="Y928" s="2"/>
      <c r="Z928" s="21" t="s">
        <v>52</v>
      </c>
      <c r="AA928" s="21" t="s">
        <v>3556</v>
      </c>
      <c r="AB928" s="21">
        <v>1</v>
      </c>
      <c r="AC928" s="57" t="s">
        <v>3843</v>
      </c>
      <c r="AD928" s="2"/>
      <c r="AE928" s="23"/>
      <c r="AF928" s="1"/>
      <c r="AG928" s="26"/>
    </row>
    <row r="929" spans="1:33" s="206" customFormat="1" ht="30" x14ac:dyDescent="0.25">
      <c r="A929" s="4">
        <v>46027</v>
      </c>
      <c r="B929" s="4">
        <v>46030</v>
      </c>
      <c r="C929" s="1" t="s">
        <v>1991</v>
      </c>
      <c r="D929" s="186" t="s">
        <v>3492</v>
      </c>
      <c r="E929" s="6" t="s">
        <v>2057</v>
      </c>
      <c r="F929" s="102" t="s">
        <v>804</v>
      </c>
      <c r="G929" s="1" t="s">
        <v>804</v>
      </c>
      <c r="H929" s="8">
        <v>4</v>
      </c>
      <c r="I929" s="8">
        <v>2</v>
      </c>
      <c r="J929" s="115">
        <f>Table224[[#This Row],[Qty]]-Table224[[#This Row],[Issue Qty]]</f>
        <v>2</v>
      </c>
      <c r="K929" s="195"/>
      <c r="L929" s="195" t="s">
        <v>3480</v>
      </c>
      <c r="M929" s="5">
        <v>3850</v>
      </c>
      <c r="N929" s="5">
        <f t="shared" si="46"/>
        <v>15400</v>
      </c>
      <c r="O929" s="82">
        <v>0.05</v>
      </c>
      <c r="P929" s="9">
        <f t="shared" si="47"/>
        <v>770</v>
      </c>
      <c r="Q929" s="5"/>
      <c r="R929" s="5"/>
      <c r="S929" s="5">
        <f t="shared" si="48"/>
        <v>16170</v>
      </c>
      <c r="T929" s="1" t="s">
        <v>606</v>
      </c>
      <c r="U929" s="1" t="s">
        <v>606</v>
      </c>
      <c r="V929" s="1" t="s">
        <v>794</v>
      </c>
      <c r="W929" s="1" t="s">
        <v>2728</v>
      </c>
      <c r="X929" s="1">
        <v>88073000</v>
      </c>
      <c r="Y929" s="2"/>
      <c r="Z929" s="21" t="s">
        <v>52</v>
      </c>
      <c r="AA929" s="21" t="s">
        <v>3556</v>
      </c>
      <c r="AB929" s="21">
        <v>2</v>
      </c>
      <c r="AC929" s="12" t="s">
        <v>3846</v>
      </c>
      <c r="AD929" s="2"/>
      <c r="AE929" s="23"/>
      <c r="AF929" s="1"/>
      <c r="AG929" s="26"/>
    </row>
    <row r="930" spans="1:33" s="206" customFormat="1" x14ac:dyDescent="0.25">
      <c r="A930" s="4">
        <v>46027</v>
      </c>
      <c r="B930" s="4">
        <v>46030</v>
      </c>
      <c r="C930" s="1" t="s">
        <v>1991</v>
      </c>
      <c r="D930" s="224" t="s">
        <v>3492</v>
      </c>
      <c r="E930" s="6" t="s">
        <v>2056</v>
      </c>
      <c r="F930" s="102" t="s">
        <v>803</v>
      </c>
      <c r="G930" s="1" t="s">
        <v>803</v>
      </c>
      <c r="H930" s="8">
        <v>5</v>
      </c>
      <c r="I930" s="8">
        <v>3</v>
      </c>
      <c r="J930" s="115">
        <f>Table224[[#This Row],[Qty]]-Table224[[#This Row],[Issue Qty]]</f>
        <v>2</v>
      </c>
      <c r="K930" s="195"/>
      <c r="L930" s="195" t="s">
        <v>3480</v>
      </c>
      <c r="M930" s="5">
        <v>435</v>
      </c>
      <c r="N930" s="5">
        <f t="shared" si="46"/>
        <v>2175</v>
      </c>
      <c r="O930" s="82">
        <v>0.05</v>
      </c>
      <c r="P930" s="9">
        <f t="shared" si="47"/>
        <v>108.75</v>
      </c>
      <c r="Q930" s="5"/>
      <c r="R930" s="5"/>
      <c r="S930" s="5">
        <f t="shared" si="48"/>
        <v>2283.75</v>
      </c>
      <c r="T930" s="1" t="s">
        <v>606</v>
      </c>
      <c r="U930" s="1" t="s">
        <v>606</v>
      </c>
      <c r="V930" s="1" t="s">
        <v>794</v>
      </c>
      <c r="W930" s="1" t="s">
        <v>2728</v>
      </c>
      <c r="X930" s="1">
        <v>88073000</v>
      </c>
      <c r="Y930" s="2"/>
      <c r="Z930" s="21" t="s">
        <v>52</v>
      </c>
      <c r="AA930" s="21" t="s">
        <v>3556</v>
      </c>
      <c r="AB930" s="21">
        <v>3</v>
      </c>
      <c r="AC930" s="12" t="s">
        <v>3844</v>
      </c>
      <c r="AD930" s="2"/>
      <c r="AE930" s="23"/>
      <c r="AF930" s="1"/>
      <c r="AG930" s="26"/>
    </row>
    <row r="931" spans="1:33" s="206" customFormat="1" x14ac:dyDescent="0.25">
      <c r="A931" s="4">
        <v>46034</v>
      </c>
      <c r="B931" s="4">
        <v>46034</v>
      </c>
      <c r="C931" s="6" t="s">
        <v>54</v>
      </c>
      <c r="D931" s="224" t="s">
        <v>3587</v>
      </c>
      <c r="E931" s="6" t="s">
        <v>2562</v>
      </c>
      <c r="F931" s="102" t="s">
        <v>1470</v>
      </c>
      <c r="G931" s="1" t="s">
        <v>1470</v>
      </c>
      <c r="H931" s="8">
        <v>4</v>
      </c>
      <c r="I931" s="8">
        <v>4</v>
      </c>
      <c r="J931" s="115">
        <f>Table224[[#This Row],[Qty]]-Table224[[#This Row],[Issue Qty]]</f>
        <v>0</v>
      </c>
      <c r="K931" s="195"/>
      <c r="L931" s="195" t="s">
        <v>3480</v>
      </c>
      <c r="M931" s="5">
        <v>3290</v>
      </c>
      <c r="N931" s="5">
        <f t="shared" si="46"/>
        <v>13160</v>
      </c>
      <c r="O931" s="82">
        <v>0.18</v>
      </c>
      <c r="P931" s="9">
        <f t="shared" si="47"/>
        <v>2368.7999999999997</v>
      </c>
      <c r="Q931" s="5"/>
      <c r="R931" s="5"/>
      <c r="S931" s="5">
        <f t="shared" si="48"/>
        <v>15528.8</v>
      </c>
      <c r="T931" s="1" t="s">
        <v>2887</v>
      </c>
      <c r="U931" s="1" t="s">
        <v>633</v>
      </c>
      <c r="V931" s="1" t="s">
        <v>1511</v>
      </c>
      <c r="W931" s="1">
        <v>5660000153</v>
      </c>
      <c r="X931" s="1">
        <v>68151090</v>
      </c>
      <c r="Y931" s="2"/>
      <c r="Z931" s="21" t="s">
        <v>3349</v>
      </c>
      <c r="AA931" s="21"/>
      <c r="AB931" s="21">
        <v>4</v>
      </c>
      <c r="AC931" s="12" t="s">
        <v>3767</v>
      </c>
      <c r="AD931" s="2"/>
      <c r="AE931" s="23"/>
      <c r="AF931" s="1"/>
      <c r="AG931" s="26"/>
    </row>
    <row r="932" spans="1:33" s="206" customFormat="1" x14ac:dyDescent="0.25">
      <c r="A932" s="4">
        <v>46027</v>
      </c>
      <c r="B932" s="4">
        <v>46035</v>
      </c>
      <c r="C932" s="1" t="s">
        <v>1991</v>
      </c>
      <c r="D932" s="224" t="s">
        <v>3553</v>
      </c>
      <c r="E932" s="6" t="s">
        <v>2739</v>
      </c>
      <c r="F932" s="102" t="s">
        <v>1612</v>
      </c>
      <c r="G932" s="1" t="s">
        <v>1612</v>
      </c>
      <c r="H932" s="8">
        <v>2</v>
      </c>
      <c r="I932" s="8">
        <v>2</v>
      </c>
      <c r="J932" s="115">
        <f>Table224[[#This Row],[Qty]]-Table224[[#This Row],[Issue Qty]]</f>
        <v>0</v>
      </c>
      <c r="K932" s="195"/>
      <c r="L932" s="195" t="s">
        <v>3480</v>
      </c>
      <c r="M932" s="5">
        <v>29.66</v>
      </c>
      <c r="N932" s="5">
        <f t="shared" si="46"/>
        <v>59.32</v>
      </c>
      <c r="O932" s="82">
        <v>0.18</v>
      </c>
      <c r="P932" s="9">
        <f t="shared" si="47"/>
        <v>10.6776</v>
      </c>
      <c r="Q932" s="5"/>
      <c r="R932" s="5"/>
      <c r="S932" s="5">
        <f t="shared" si="48"/>
        <v>69.997600000000006</v>
      </c>
      <c r="T932" s="1" t="s">
        <v>607</v>
      </c>
      <c r="U932" s="1" t="s">
        <v>607</v>
      </c>
      <c r="V932" s="1" t="s">
        <v>788</v>
      </c>
      <c r="W932" s="1" t="s">
        <v>2740</v>
      </c>
      <c r="X932" s="1">
        <v>85381010</v>
      </c>
      <c r="Y932" s="2"/>
      <c r="Z932" s="21" t="s">
        <v>72</v>
      </c>
      <c r="AA932" s="21"/>
      <c r="AB932" s="21">
        <v>2</v>
      </c>
      <c r="AC932" s="12" t="s">
        <v>2996</v>
      </c>
      <c r="AD932" s="12" t="s">
        <v>1613</v>
      </c>
      <c r="AE932" s="23"/>
      <c r="AF932" s="1"/>
      <c r="AG932" s="26"/>
    </row>
    <row r="933" spans="1:33" s="206" customFormat="1" ht="30" x14ac:dyDescent="0.25">
      <c r="A933" s="4">
        <v>46035</v>
      </c>
      <c r="B933" s="4">
        <v>46035</v>
      </c>
      <c r="C933" s="6" t="s">
        <v>54</v>
      </c>
      <c r="D933" s="224" t="s">
        <v>3489</v>
      </c>
      <c r="E933" s="6" t="s">
        <v>2733</v>
      </c>
      <c r="F933" s="102" t="s">
        <v>1608</v>
      </c>
      <c r="G933" s="1" t="s">
        <v>1608</v>
      </c>
      <c r="H933" s="8">
        <v>1</v>
      </c>
      <c r="I933" s="8">
        <v>1</v>
      </c>
      <c r="J933" s="115">
        <f>Table224[[#This Row],[Qty]]-Table224[[#This Row],[Issue Qty]]</f>
        <v>0</v>
      </c>
      <c r="K933" s="195"/>
      <c r="L933" s="195" t="s">
        <v>3480</v>
      </c>
      <c r="M933" s="5">
        <v>970</v>
      </c>
      <c r="N933" s="5">
        <f t="shared" si="46"/>
        <v>970</v>
      </c>
      <c r="O933" s="82">
        <v>0.18</v>
      </c>
      <c r="P933" s="9">
        <f t="shared" si="47"/>
        <v>174.6</v>
      </c>
      <c r="Q933" s="5"/>
      <c r="R933" s="5"/>
      <c r="S933" s="5">
        <f t="shared" si="48"/>
        <v>1144.5999999999999</v>
      </c>
      <c r="T933" s="1" t="s">
        <v>2887</v>
      </c>
      <c r="U933" s="1" t="s">
        <v>633</v>
      </c>
      <c r="V933" s="1" t="s">
        <v>764</v>
      </c>
      <c r="W933" s="1" t="s">
        <v>2734</v>
      </c>
      <c r="X933" s="1">
        <v>84879000</v>
      </c>
      <c r="Y933" s="2" t="s">
        <v>2735</v>
      </c>
      <c r="Z933" s="21" t="s">
        <v>3349</v>
      </c>
      <c r="AA933" s="21"/>
      <c r="AB933" s="21">
        <v>1</v>
      </c>
      <c r="AC933" s="22" t="s">
        <v>1469</v>
      </c>
      <c r="AD933" s="2"/>
      <c r="AE933" s="23"/>
      <c r="AF933" s="1"/>
      <c r="AG933" s="26"/>
    </row>
    <row r="934" spans="1:33" s="206" customFormat="1" ht="30" x14ac:dyDescent="0.25">
      <c r="A934" s="4">
        <v>46035</v>
      </c>
      <c r="B934" s="4">
        <v>46035</v>
      </c>
      <c r="C934" s="6" t="s">
        <v>54</v>
      </c>
      <c r="D934" s="224" t="s">
        <v>3596</v>
      </c>
      <c r="E934" s="6" t="s">
        <v>2737</v>
      </c>
      <c r="F934" s="102" t="s">
        <v>1610</v>
      </c>
      <c r="G934" s="1" t="s">
        <v>1610</v>
      </c>
      <c r="H934" s="8">
        <v>1</v>
      </c>
      <c r="I934" s="8">
        <v>1</v>
      </c>
      <c r="J934" s="115">
        <f>Table224[[#This Row],[Qty]]-Table224[[#This Row],[Issue Qty]]</f>
        <v>0</v>
      </c>
      <c r="K934" s="195"/>
      <c r="L934" s="195" t="s">
        <v>3480</v>
      </c>
      <c r="M934" s="5">
        <v>4000</v>
      </c>
      <c r="N934" s="5">
        <f t="shared" si="46"/>
        <v>4000</v>
      </c>
      <c r="O934" s="82">
        <v>0.18</v>
      </c>
      <c r="P934" s="9">
        <f t="shared" si="47"/>
        <v>720</v>
      </c>
      <c r="Q934" s="5"/>
      <c r="R934" s="5"/>
      <c r="S934" s="5">
        <f t="shared" si="48"/>
        <v>4720</v>
      </c>
      <c r="T934" s="1" t="s">
        <v>2887</v>
      </c>
      <c r="U934" s="1" t="s">
        <v>633</v>
      </c>
      <c r="V934" s="1" t="s">
        <v>764</v>
      </c>
      <c r="W934" s="1" t="s">
        <v>2734</v>
      </c>
      <c r="X934" s="1">
        <v>84879000</v>
      </c>
      <c r="Y934" s="2" t="s">
        <v>2735</v>
      </c>
      <c r="Z934" s="21" t="s">
        <v>3349</v>
      </c>
      <c r="AA934" s="21"/>
      <c r="AB934" s="21">
        <v>1</v>
      </c>
      <c r="AC934" s="22" t="s">
        <v>1469</v>
      </c>
      <c r="AD934" s="2"/>
      <c r="AE934" s="23"/>
      <c r="AF934" s="1"/>
      <c r="AG934" s="26"/>
    </row>
    <row r="935" spans="1:33" s="206" customFormat="1" ht="30" x14ac:dyDescent="0.25">
      <c r="A935" s="4">
        <v>46035</v>
      </c>
      <c r="B935" s="4">
        <v>46035</v>
      </c>
      <c r="C935" s="6" t="s">
        <v>54</v>
      </c>
      <c r="D935" s="224" t="s">
        <v>3596</v>
      </c>
      <c r="E935" s="6" t="s">
        <v>2738</v>
      </c>
      <c r="F935" s="102" t="s">
        <v>1611</v>
      </c>
      <c r="G935" s="1" t="s">
        <v>1611</v>
      </c>
      <c r="H935" s="8">
        <v>1</v>
      </c>
      <c r="I935" s="8">
        <v>1</v>
      </c>
      <c r="J935" s="115">
        <f>Table224[[#This Row],[Qty]]-Table224[[#This Row],[Issue Qty]]</f>
        <v>0</v>
      </c>
      <c r="K935" s="195"/>
      <c r="L935" s="195" t="s">
        <v>3480</v>
      </c>
      <c r="M935" s="5">
        <v>4000</v>
      </c>
      <c r="N935" s="5">
        <f t="shared" si="46"/>
        <v>4000</v>
      </c>
      <c r="O935" s="82">
        <v>0.18</v>
      </c>
      <c r="P935" s="9">
        <f t="shared" si="47"/>
        <v>720</v>
      </c>
      <c r="Q935" s="5"/>
      <c r="R935" s="5"/>
      <c r="S935" s="5">
        <f t="shared" si="48"/>
        <v>4720</v>
      </c>
      <c r="T935" s="1" t="s">
        <v>2887</v>
      </c>
      <c r="U935" s="1" t="s">
        <v>633</v>
      </c>
      <c r="V935" s="1" t="s">
        <v>764</v>
      </c>
      <c r="W935" s="1" t="s">
        <v>2734</v>
      </c>
      <c r="X935" s="1">
        <v>84879000</v>
      </c>
      <c r="Y935" s="2" t="s">
        <v>2735</v>
      </c>
      <c r="Z935" s="21" t="s">
        <v>3349</v>
      </c>
      <c r="AA935" s="21"/>
      <c r="AB935" s="21">
        <v>1</v>
      </c>
      <c r="AC935" s="22" t="s">
        <v>1469</v>
      </c>
      <c r="AD935" s="2"/>
      <c r="AE935" s="23"/>
      <c r="AF935" s="1"/>
      <c r="AG935" s="26"/>
    </row>
    <row r="936" spans="1:33" s="206" customFormat="1" ht="30" x14ac:dyDescent="0.25">
      <c r="A936" s="4">
        <v>46035</v>
      </c>
      <c r="B936" s="4">
        <v>46035</v>
      </c>
      <c r="C936" s="6" t="s">
        <v>54</v>
      </c>
      <c r="D936" s="224" t="s">
        <v>3489</v>
      </c>
      <c r="E936" s="6" t="s">
        <v>2736</v>
      </c>
      <c r="F936" s="102" t="s">
        <v>1609</v>
      </c>
      <c r="G936" s="1" t="s">
        <v>1609</v>
      </c>
      <c r="H936" s="8">
        <v>1</v>
      </c>
      <c r="I936" s="8">
        <v>1</v>
      </c>
      <c r="J936" s="115">
        <f>Table224[[#This Row],[Qty]]-Table224[[#This Row],[Issue Qty]]</f>
        <v>0</v>
      </c>
      <c r="K936" s="195"/>
      <c r="L936" s="195" t="s">
        <v>3480</v>
      </c>
      <c r="M936" s="5">
        <v>2865</v>
      </c>
      <c r="N936" s="5">
        <f t="shared" si="46"/>
        <v>2865</v>
      </c>
      <c r="O936" s="82">
        <v>0.18</v>
      </c>
      <c r="P936" s="9">
        <f t="shared" si="47"/>
        <v>515.69999999999993</v>
      </c>
      <c r="Q936" s="5"/>
      <c r="R936" s="5"/>
      <c r="S936" s="5">
        <f t="shared" si="48"/>
        <v>3380.7</v>
      </c>
      <c r="T936" s="1" t="s">
        <v>2887</v>
      </c>
      <c r="U936" s="1" t="s">
        <v>633</v>
      </c>
      <c r="V936" s="1" t="s">
        <v>764</v>
      </c>
      <c r="W936" s="1" t="s">
        <v>2734</v>
      </c>
      <c r="X936" s="1">
        <v>84879000</v>
      </c>
      <c r="Y936" s="2" t="s">
        <v>2735</v>
      </c>
      <c r="Z936" s="21" t="s">
        <v>3349</v>
      </c>
      <c r="AA936" s="21"/>
      <c r="AB936" s="21">
        <v>1</v>
      </c>
      <c r="AC936" s="22" t="s">
        <v>1469</v>
      </c>
      <c r="AD936" s="2"/>
      <c r="AE936" s="23"/>
      <c r="AF936" s="1"/>
      <c r="AG936" s="26"/>
    </row>
    <row r="937" spans="1:33" s="206" customFormat="1" x14ac:dyDescent="0.25">
      <c r="A937" s="4">
        <v>46035</v>
      </c>
      <c r="B937" s="4">
        <v>46041</v>
      </c>
      <c r="C937" s="6" t="s">
        <v>1683</v>
      </c>
      <c r="D937" s="186" t="s">
        <v>3493</v>
      </c>
      <c r="E937" s="6" t="s">
        <v>2741</v>
      </c>
      <c r="F937" s="232" t="s">
        <v>1614</v>
      </c>
      <c r="G937" s="1" t="s">
        <v>1614</v>
      </c>
      <c r="H937" s="8">
        <v>1</v>
      </c>
      <c r="I937" s="8">
        <v>1</v>
      </c>
      <c r="J937" s="115">
        <f>Table224[[#This Row],[Qty]]-Table224[[#This Row],[Issue Qty]]</f>
        <v>0</v>
      </c>
      <c r="K937" s="195"/>
      <c r="L937" s="195" t="s">
        <v>3480</v>
      </c>
      <c r="M937" s="5">
        <v>299.99</v>
      </c>
      <c r="N937" s="5">
        <f t="shared" si="46"/>
        <v>299.99</v>
      </c>
      <c r="O937" s="82">
        <v>0.18</v>
      </c>
      <c r="P937" s="9">
        <f t="shared" si="47"/>
        <v>53.998199999999997</v>
      </c>
      <c r="Q937" s="5"/>
      <c r="R937" s="5"/>
      <c r="S937" s="5">
        <f t="shared" si="48"/>
        <v>353.98820000000001</v>
      </c>
      <c r="T937" s="1" t="s">
        <v>2887</v>
      </c>
      <c r="U937" s="1" t="s">
        <v>633</v>
      </c>
      <c r="V937" s="1" t="s">
        <v>899</v>
      </c>
      <c r="W937" s="1" t="s">
        <v>2742</v>
      </c>
      <c r="X937" s="1"/>
      <c r="Y937" s="2"/>
      <c r="Z937" s="21" t="s">
        <v>3349</v>
      </c>
      <c r="AA937" s="21"/>
      <c r="AB937" s="21">
        <v>1</v>
      </c>
      <c r="AC937" s="12" t="s">
        <v>1546</v>
      </c>
      <c r="AD937" s="2"/>
      <c r="AE937" s="23"/>
      <c r="AF937" s="1"/>
      <c r="AG937" s="26"/>
    </row>
    <row r="938" spans="1:33" s="206" customFormat="1" x14ac:dyDescent="0.25">
      <c r="A938" s="4">
        <v>46035</v>
      </c>
      <c r="B938" s="4">
        <v>46041</v>
      </c>
      <c r="C938" s="1" t="s">
        <v>1991</v>
      </c>
      <c r="D938" s="224" t="s">
        <v>3464</v>
      </c>
      <c r="E938" s="6" t="s">
        <v>2557</v>
      </c>
      <c r="F938" s="236" t="s">
        <v>1466</v>
      </c>
      <c r="G938" s="1" t="s">
        <v>1466</v>
      </c>
      <c r="H938" s="8">
        <v>2</v>
      </c>
      <c r="I938" s="8">
        <v>2</v>
      </c>
      <c r="J938" s="115">
        <f>Table224[[#This Row],[Qty]]-Table224[[#This Row],[Issue Qty]]</f>
        <v>0</v>
      </c>
      <c r="K938" s="332">
        <v>1</v>
      </c>
      <c r="L938" s="195" t="s">
        <v>3480</v>
      </c>
      <c r="M938" s="5">
        <v>34150</v>
      </c>
      <c r="N938" s="5">
        <f t="shared" si="46"/>
        <v>68300</v>
      </c>
      <c r="O938" s="82">
        <v>0.05</v>
      </c>
      <c r="P938" s="9">
        <f t="shared" si="47"/>
        <v>3415</v>
      </c>
      <c r="Q938" s="5"/>
      <c r="R938" s="5"/>
      <c r="S938" s="5">
        <f t="shared" si="48"/>
        <v>71715</v>
      </c>
      <c r="T938" s="1" t="s">
        <v>2887</v>
      </c>
      <c r="U938" s="1" t="s">
        <v>633</v>
      </c>
      <c r="V938" s="1" t="s">
        <v>794</v>
      </c>
      <c r="W938" s="1" t="s">
        <v>2743</v>
      </c>
      <c r="X938" s="1">
        <v>88073020</v>
      </c>
      <c r="Y938" s="2"/>
      <c r="Z938" s="21" t="s">
        <v>3353</v>
      </c>
      <c r="AA938" s="21"/>
      <c r="AB938" s="21">
        <v>2</v>
      </c>
      <c r="AC938" s="12" t="s">
        <v>3466</v>
      </c>
      <c r="AD938" s="2"/>
      <c r="AE938" s="23"/>
      <c r="AF938" s="1"/>
      <c r="AG938" s="26"/>
    </row>
    <row r="939" spans="1:33" s="206" customFormat="1" x14ac:dyDescent="0.25">
      <c r="A939" s="4">
        <v>46035</v>
      </c>
      <c r="B939" s="4">
        <v>46041</v>
      </c>
      <c r="C939" s="1" t="s">
        <v>1991</v>
      </c>
      <c r="D939" s="224" t="s">
        <v>3490</v>
      </c>
      <c r="E939" s="6" t="s">
        <v>2553</v>
      </c>
      <c r="F939" s="236" t="s">
        <v>1461</v>
      </c>
      <c r="G939" s="1" t="s">
        <v>1461</v>
      </c>
      <c r="H939" s="8">
        <v>7</v>
      </c>
      <c r="I939" s="8">
        <v>7</v>
      </c>
      <c r="J939" s="115">
        <f>Table224[[#This Row],[Qty]]-Table224[[#This Row],[Issue Qty]]</f>
        <v>0</v>
      </c>
      <c r="K939" s="332">
        <v>1</v>
      </c>
      <c r="L939" s="195" t="s">
        <v>3480</v>
      </c>
      <c r="M939" s="5">
        <v>6095.24</v>
      </c>
      <c r="N939" s="5">
        <f t="shared" si="46"/>
        <v>42666.68</v>
      </c>
      <c r="O939" s="82">
        <v>0.05</v>
      </c>
      <c r="P939" s="9">
        <f t="shared" si="47"/>
        <v>2133.3340000000003</v>
      </c>
      <c r="Q939" s="5"/>
      <c r="R939" s="5"/>
      <c r="S939" s="5">
        <f t="shared" si="48"/>
        <v>44800.014000000003</v>
      </c>
      <c r="T939" s="1" t="s">
        <v>2887</v>
      </c>
      <c r="U939" s="1" t="s">
        <v>633</v>
      </c>
      <c r="V939" s="1" t="s">
        <v>634</v>
      </c>
      <c r="W939" s="1" t="s">
        <v>2744</v>
      </c>
      <c r="X939" s="1">
        <v>88073000</v>
      </c>
      <c r="Y939" s="2"/>
      <c r="Z939" s="21" t="s">
        <v>3349</v>
      </c>
      <c r="AA939" s="21"/>
      <c r="AB939" s="21">
        <v>7</v>
      </c>
      <c r="AC939" s="12" t="s">
        <v>3738</v>
      </c>
      <c r="AD939" s="2"/>
      <c r="AE939" s="23"/>
      <c r="AF939" s="1"/>
      <c r="AG939" s="26"/>
    </row>
    <row r="940" spans="1:33" s="206" customFormat="1" x14ac:dyDescent="0.25">
      <c r="A940" s="4">
        <v>46039</v>
      </c>
      <c r="B940" s="4">
        <v>46042</v>
      </c>
      <c r="C940" s="1" t="s">
        <v>1991</v>
      </c>
      <c r="D940" s="186" t="s">
        <v>3443</v>
      </c>
      <c r="E940" s="6" t="s">
        <v>1687</v>
      </c>
      <c r="F940" s="102" t="s">
        <v>24</v>
      </c>
      <c r="G940" s="1" t="s">
        <v>24</v>
      </c>
      <c r="H940" s="8">
        <v>12</v>
      </c>
      <c r="I940" s="8">
        <v>6</v>
      </c>
      <c r="J940" s="115">
        <f>Table224[[#This Row],[Qty]]-Table224[[#This Row],[Issue Qty]]</f>
        <v>6</v>
      </c>
      <c r="K940" s="195"/>
      <c r="L940" s="195" t="s">
        <v>3480</v>
      </c>
      <c r="M940" s="5">
        <v>5600</v>
      </c>
      <c r="N940" s="5">
        <f t="shared" si="46"/>
        <v>67200</v>
      </c>
      <c r="O940" s="82">
        <v>0.05</v>
      </c>
      <c r="P940" s="9">
        <f t="shared" si="47"/>
        <v>3360</v>
      </c>
      <c r="Q940" s="5"/>
      <c r="R940" s="5"/>
      <c r="S940" s="5">
        <f t="shared" si="48"/>
        <v>70560</v>
      </c>
      <c r="T940" s="1" t="s">
        <v>2887</v>
      </c>
      <c r="U940" s="1" t="s">
        <v>633</v>
      </c>
      <c r="V940" s="1" t="s">
        <v>1420</v>
      </c>
      <c r="W940" s="1" t="s">
        <v>2745</v>
      </c>
      <c r="X940" s="1">
        <v>88073020</v>
      </c>
      <c r="Y940" s="2"/>
      <c r="Z940" s="21" t="s">
        <v>25</v>
      </c>
      <c r="AA940" s="21"/>
      <c r="AB940" s="21">
        <f>6+6</f>
        <v>12</v>
      </c>
      <c r="AC940" s="12" t="s">
        <v>3445</v>
      </c>
      <c r="AD940" s="2"/>
      <c r="AE940" s="23"/>
      <c r="AF940" s="1"/>
      <c r="AG940" s="26"/>
    </row>
    <row r="941" spans="1:33" s="206" customFormat="1" x14ac:dyDescent="0.25">
      <c r="A941" s="4">
        <v>46039</v>
      </c>
      <c r="B941" s="4">
        <v>46042</v>
      </c>
      <c r="C941" s="6" t="s">
        <v>1683</v>
      </c>
      <c r="D941" s="224" t="s">
        <v>3431</v>
      </c>
      <c r="E941" s="6" t="s">
        <v>2563</v>
      </c>
      <c r="F941" s="236" t="s">
        <v>1471</v>
      </c>
      <c r="G941" s="1" t="s">
        <v>1471</v>
      </c>
      <c r="H941" s="8">
        <v>6</v>
      </c>
      <c r="I941" s="8">
        <v>6</v>
      </c>
      <c r="J941" s="115">
        <f>Table224[[#This Row],[Qty]]-Table224[[#This Row],[Issue Qty]]</f>
        <v>0</v>
      </c>
      <c r="K941" s="332">
        <f>1+4</f>
        <v>5</v>
      </c>
      <c r="L941" s="195" t="s">
        <v>3480</v>
      </c>
      <c r="M941" s="5">
        <v>18200</v>
      </c>
      <c r="N941" s="5">
        <f t="shared" si="46"/>
        <v>109200</v>
      </c>
      <c r="O941" s="82">
        <v>0.05</v>
      </c>
      <c r="P941" s="9">
        <f t="shared" si="47"/>
        <v>5460</v>
      </c>
      <c r="Q941" s="5"/>
      <c r="R941" s="5"/>
      <c r="S941" s="5">
        <f t="shared" si="48"/>
        <v>114660</v>
      </c>
      <c r="T941" s="1" t="s">
        <v>2887</v>
      </c>
      <c r="U941" s="1" t="s">
        <v>633</v>
      </c>
      <c r="V941" s="1" t="s">
        <v>1420</v>
      </c>
      <c r="W941" s="1" t="s">
        <v>2745</v>
      </c>
      <c r="X941" s="1">
        <v>88073020</v>
      </c>
      <c r="Y941" s="2"/>
      <c r="Z941" s="21" t="s">
        <v>64</v>
      </c>
      <c r="AA941" s="21"/>
      <c r="AB941" s="21">
        <v>5</v>
      </c>
      <c r="AC941" s="12" t="s">
        <v>3829</v>
      </c>
      <c r="AD941" s="2"/>
      <c r="AE941" s="23"/>
      <c r="AF941" s="1"/>
      <c r="AG941" s="26"/>
    </row>
    <row r="942" spans="1:33" s="206" customFormat="1" x14ac:dyDescent="0.25">
      <c r="A942" s="4">
        <v>46039</v>
      </c>
      <c r="B942" s="4">
        <v>46042</v>
      </c>
      <c r="C942" s="6" t="s">
        <v>1683</v>
      </c>
      <c r="D942" s="224" t="s">
        <v>3431</v>
      </c>
      <c r="E942" s="6" t="s">
        <v>2746</v>
      </c>
      <c r="F942" s="102" t="s">
        <v>1615</v>
      </c>
      <c r="G942" s="1" t="s">
        <v>1615</v>
      </c>
      <c r="H942" s="8">
        <v>6</v>
      </c>
      <c r="I942" s="8">
        <v>6</v>
      </c>
      <c r="J942" s="115">
        <f>Table224[[#This Row],[Qty]]-Table224[[#This Row],[Issue Qty]]</f>
        <v>0</v>
      </c>
      <c r="K942" s="195"/>
      <c r="L942" s="195" t="s">
        <v>3480</v>
      </c>
      <c r="M942" s="5">
        <v>23400</v>
      </c>
      <c r="N942" s="5">
        <f t="shared" si="46"/>
        <v>140400</v>
      </c>
      <c r="O942" s="82">
        <v>0.05</v>
      </c>
      <c r="P942" s="9">
        <f t="shared" si="47"/>
        <v>7020</v>
      </c>
      <c r="Q942" s="5"/>
      <c r="R942" s="5"/>
      <c r="S942" s="5">
        <f t="shared" si="48"/>
        <v>147420</v>
      </c>
      <c r="T942" s="1" t="s">
        <v>2887</v>
      </c>
      <c r="U942" s="1" t="s">
        <v>633</v>
      </c>
      <c r="V942" s="1" t="s">
        <v>1420</v>
      </c>
      <c r="W942" s="1" t="s">
        <v>2745</v>
      </c>
      <c r="X942" s="1">
        <v>88073020</v>
      </c>
      <c r="Y942" s="2"/>
      <c r="Z942" s="21"/>
      <c r="AA942" s="21"/>
      <c r="AB942" s="21">
        <v>6</v>
      </c>
      <c r="AC942" s="12" t="s">
        <v>3373</v>
      </c>
      <c r="AD942" s="2"/>
      <c r="AE942" s="23"/>
      <c r="AF942" s="1"/>
      <c r="AG942" s="2"/>
    </row>
    <row r="943" spans="1:33" s="206" customFormat="1" ht="30" x14ac:dyDescent="0.25">
      <c r="A943" s="4">
        <v>46045</v>
      </c>
      <c r="B943" s="4">
        <v>46046</v>
      </c>
      <c r="C943" s="6" t="s">
        <v>1688</v>
      </c>
      <c r="D943" s="224" t="s">
        <v>3456</v>
      </c>
      <c r="E943" s="6" t="s">
        <v>2747</v>
      </c>
      <c r="F943" s="102" t="s">
        <v>1616</v>
      </c>
      <c r="G943" s="1" t="s">
        <v>1616</v>
      </c>
      <c r="H943" s="8">
        <v>1</v>
      </c>
      <c r="I943" s="8"/>
      <c r="J943" s="115">
        <f>Table224[[#This Row],[Qty]]-Table224[[#This Row],[Issue Qty]]</f>
        <v>1</v>
      </c>
      <c r="K943" s="195"/>
      <c r="L943" s="195" t="s">
        <v>3479</v>
      </c>
      <c r="M943" s="10">
        <v>3681</v>
      </c>
      <c r="N943" s="10">
        <f t="shared" si="46"/>
        <v>3681</v>
      </c>
      <c r="O943" s="82">
        <v>0.18</v>
      </c>
      <c r="P943" s="9">
        <f t="shared" si="47"/>
        <v>662.57999999999993</v>
      </c>
      <c r="Q943" s="5"/>
      <c r="R943" s="5">
        <v>0.42</v>
      </c>
      <c r="S943" s="5">
        <f t="shared" si="48"/>
        <v>4344</v>
      </c>
      <c r="T943" s="1" t="s">
        <v>1408</v>
      </c>
      <c r="U943" s="1" t="s">
        <v>1617</v>
      </c>
      <c r="V943" s="1" t="s">
        <v>792</v>
      </c>
      <c r="W943" s="1" t="s">
        <v>2748</v>
      </c>
      <c r="X943" s="1">
        <v>88079000</v>
      </c>
      <c r="Y943" s="2"/>
      <c r="Z943" s="21" t="s">
        <v>72</v>
      </c>
      <c r="AA943" s="21" t="s">
        <v>73</v>
      </c>
      <c r="AB943" s="21"/>
      <c r="AC943" s="12"/>
      <c r="AD943" s="1"/>
      <c r="AE943" s="23"/>
      <c r="AF943" s="1"/>
      <c r="AG943" s="2"/>
    </row>
    <row r="944" spans="1:33" s="24" customFormat="1" x14ac:dyDescent="0.25">
      <c r="A944" s="4">
        <v>46044</v>
      </c>
      <c r="B944" s="4">
        <v>46050</v>
      </c>
      <c r="C944" s="6" t="s">
        <v>54</v>
      </c>
      <c r="D944" s="224" t="s">
        <v>3500</v>
      </c>
      <c r="E944" s="6" t="s">
        <v>2751</v>
      </c>
      <c r="F944" s="234" t="s">
        <v>1619</v>
      </c>
      <c r="G944" s="1" t="s">
        <v>1619</v>
      </c>
      <c r="H944" s="8">
        <v>1</v>
      </c>
      <c r="I944" s="8"/>
      <c r="J944" s="115">
        <f>Table224[[#This Row],[Qty]]-Table224[[#This Row],[Issue Qty]]</f>
        <v>1</v>
      </c>
      <c r="K944" s="195"/>
      <c r="L944" s="195" t="s">
        <v>3480</v>
      </c>
      <c r="M944" s="5">
        <v>2380</v>
      </c>
      <c r="N944" s="5">
        <f t="shared" si="46"/>
        <v>2380</v>
      </c>
      <c r="O944" s="82">
        <v>0.05</v>
      </c>
      <c r="P944" s="9">
        <f t="shared" si="47"/>
        <v>119</v>
      </c>
      <c r="Q944" s="5"/>
      <c r="R944" s="5"/>
      <c r="S944" s="5">
        <f t="shared" si="48"/>
        <v>2499</v>
      </c>
      <c r="T944" s="1" t="s">
        <v>1408</v>
      </c>
      <c r="U944" s="1" t="s">
        <v>1617</v>
      </c>
      <c r="V944" s="1" t="s">
        <v>1620</v>
      </c>
      <c r="W944" s="1" t="s">
        <v>2752</v>
      </c>
      <c r="X944" s="1">
        <v>88073000</v>
      </c>
      <c r="Y944" s="2" t="s">
        <v>2753</v>
      </c>
      <c r="Z944" s="21" t="s">
        <v>2754</v>
      </c>
      <c r="AA944" s="21"/>
      <c r="AB944" s="21"/>
      <c r="AC944" s="12"/>
      <c r="AD944" s="1"/>
      <c r="AE944" s="23"/>
      <c r="AF944" s="1"/>
      <c r="AG944" s="26"/>
    </row>
    <row r="945" spans="1:33" s="24" customFormat="1" x14ac:dyDescent="0.25">
      <c r="A945" s="4">
        <v>46044</v>
      </c>
      <c r="B945" s="4">
        <v>46051</v>
      </c>
      <c r="C945" s="6" t="s">
        <v>1683</v>
      </c>
      <c r="D945" s="186" t="s">
        <v>1663</v>
      </c>
      <c r="E945" s="6" t="s">
        <v>2755</v>
      </c>
      <c r="F945" s="234" t="s">
        <v>1621</v>
      </c>
      <c r="G945" s="1" t="s">
        <v>1621</v>
      </c>
      <c r="H945" s="8">
        <v>1</v>
      </c>
      <c r="I945" s="8">
        <v>1</v>
      </c>
      <c r="J945" s="115">
        <f>Table224[[#This Row],[Qty]]-Table224[[#This Row],[Issue Qty]]</f>
        <v>0</v>
      </c>
      <c r="K945" s="195"/>
      <c r="L945" s="195" t="s">
        <v>3480</v>
      </c>
      <c r="M945" s="5">
        <v>1999.15</v>
      </c>
      <c r="N945" s="5">
        <f t="shared" si="46"/>
        <v>1999.15</v>
      </c>
      <c r="O945" s="82">
        <v>0.18</v>
      </c>
      <c r="P945" s="9">
        <f t="shared" si="47"/>
        <v>359.84699999999998</v>
      </c>
      <c r="Q945" s="5">
        <v>129</v>
      </c>
      <c r="R945" s="5"/>
      <c r="S945" s="5">
        <f t="shared" si="48"/>
        <v>2487.9970000000003</v>
      </c>
      <c r="T945" s="1" t="s">
        <v>1408</v>
      </c>
      <c r="U945" s="1" t="s">
        <v>1617</v>
      </c>
      <c r="V945" s="1" t="s">
        <v>1255</v>
      </c>
      <c r="W945" s="1" t="s">
        <v>2756</v>
      </c>
      <c r="X945" s="1">
        <v>85065000</v>
      </c>
      <c r="Y945" s="2"/>
      <c r="Z945" s="21" t="s">
        <v>398</v>
      </c>
      <c r="AA945" s="21"/>
      <c r="AB945" s="21"/>
      <c r="AC945" s="12"/>
      <c r="AD945" s="1"/>
      <c r="AE945" s="23"/>
      <c r="AF945" s="1"/>
      <c r="AG945" s="26"/>
    </row>
    <row r="946" spans="1:33" s="206" customFormat="1" x14ac:dyDescent="0.25">
      <c r="A946" s="4">
        <v>46053</v>
      </c>
      <c r="B946" s="4">
        <v>46053</v>
      </c>
      <c r="C946" s="1" t="s">
        <v>1991</v>
      </c>
      <c r="D946" s="224" t="s">
        <v>3444</v>
      </c>
      <c r="E946" s="6" t="s">
        <v>2758</v>
      </c>
      <c r="F946" s="257" t="s">
        <v>2759</v>
      </c>
      <c r="G946" s="6" t="s">
        <v>2759</v>
      </c>
      <c r="H946" s="8">
        <v>4</v>
      </c>
      <c r="I946" s="8">
        <v>4</v>
      </c>
      <c r="J946" s="115">
        <f>Table224[[#This Row],[Qty]]-Table224[[#This Row],[Issue Qty]]</f>
        <v>0</v>
      </c>
      <c r="K946" s="332">
        <v>2</v>
      </c>
      <c r="L946" s="195" t="s">
        <v>3480</v>
      </c>
      <c r="M946" s="10">
        <v>12653.61</v>
      </c>
      <c r="N946" s="5">
        <f t="shared" si="46"/>
        <v>50614.44</v>
      </c>
      <c r="O946" s="82">
        <v>0.18</v>
      </c>
      <c r="P946" s="9">
        <f t="shared" si="47"/>
        <v>9110.5992000000006</v>
      </c>
      <c r="Q946" s="5"/>
      <c r="R946" s="5"/>
      <c r="S946" s="5">
        <f t="shared" si="48"/>
        <v>59725.039199999999</v>
      </c>
      <c r="T946" s="1" t="s">
        <v>2887</v>
      </c>
      <c r="U946" s="1" t="s">
        <v>633</v>
      </c>
      <c r="V946" s="1" t="s">
        <v>893</v>
      </c>
      <c r="W946" s="1" t="s">
        <v>2760</v>
      </c>
      <c r="X946" s="1">
        <v>85177910</v>
      </c>
      <c r="Y946" s="2"/>
      <c r="Z946" s="21" t="s">
        <v>89</v>
      </c>
      <c r="AA946" s="21"/>
      <c r="AB946" s="21">
        <v>4</v>
      </c>
      <c r="AC946" s="12" t="s">
        <v>3375</v>
      </c>
      <c r="AD946" s="2"/>
      <c r="AE946" s="23"/>
      <c r="AF946" s="1"/>
      <c r="AG946" s="26"/>
    </row>
    <row r="947" spans="1:33" s="206" customFormat="1" x14ac:dyDescent="0.25">
      <c r="A947" s="4">
        <v>46053</v>
      </c>
      <c r="B947" s="4">
        <v>46056</v>
      </c>
      <c r="C947" s="1" t="s">
        <v>1991</v>
      </c>
      <c r="D947" s="224" t="s">
        <v>3553</v>
      </c>
      <c r="E947" s="6" t="s">
        <v>2739</v>
      </c>
      <c r="F947" s="234" t="s">
        <v>1612</v>
      </c>
      <c r="G947" s="1" t="s">
        <v>1612</v>
      </c>
      <c r="H947" s="8">
        <v>5</v>
      </c>
      <c r="I947" s="8">
        <v>2</v>
      </c>
      <c r="J947" s="115">
        <f>Table224[[#This Row],[Qty]]-Table224[[#This Row],[Issue Qty]]</f>
        <v>3</v>
      </c>
      <c r="K947" s="195"/>
      <c r="L947" s="195" t="s">
        <v>3480</v>
      </c>
      <c r="M947" s="5">
        <v>32.200000000000003</v>
      </c>
      <c r="N947" s="5">
        <f t="shared" ref="N947:N1010" si="49">H947*M947</f>
        <v>161</v>
      </c>
      <c r="O947" s="82">
        <v>0.18</v>
      </c>
      <c r="P947" s="9">
        <f t="shared" ref="P947:P1010" si="50">N947*O947</f>
        <v>28.98</v>
      </c>
      <c r="Q947" s="5">
        <v>58.88</v>
      </c>
      <c r="R947" s="5"/>
      <c r="S947" s="5">
        <f t="shared" ref="S947:S1010" si="51">N947+P947+Q947+R947</f>
        <v>248.85999999999999</v>
      </c>
      <c r="T947" s="1" t="s">
        <v>1623</v>
      </c>
      <c r="U947" s="1" t="s">
        <v>1623</v>
      </c>
      <c r="V947" s="1" t="s">
        <v>788</v>
      </c>
      <c r="W947" s="1" t="s">
        <v>2761</v>
      </c>
      <c r="X947" s="1">
        <v>85381010</v>
      </c>
      <c r="Y947" s="2">
        <v>55</v>
      </c>
      <c r="Z947" s="21" t="s">
        <v>72</v>
      </c>
      <c r="AA947" s="21"/>
      <c r="AB947" s="21">
        <v>2</v>
      </c>
      <c r="AC947" s="12" t="s">
        <v>3885</v>
      </c>
      <c r="AD947" s="2"/>
      <c r="AE947" s="23"/>
      <c r="AF947" s="1"/>
      <c r="AG947" s="26"/>
    </row>
    <row r="948" spans="1:33" s="206" customFormat="1" ht="45" x14ac:dyDescent="0.25">
      <c r="A948" s="4">
        <v>46057</v>
      </c>
      <c r="B948" s="4">
        <v>46058</v>
      </c>
      <c r="C948" s="1" t="s">
        <v>1991</v>
      </c>
      <c r="D948" s="224" t="s">
        <v>3453</v>
      </c>
      <c r="E948" s="6" t="s">
        <v>2726</v>
      </c>
      <c r="F948" s="234" t="s">
        <v>1602</v>
      </c>
      <c r="G948" s="1" t="s">
        <v>1602</v>
      </c>
      <c r="H948" s="8">
        <v>6</v>
      </c>
      <c r="I948" s="8">
        <v>6</v>
      </c>
      <c r="J948" s="115">
        <f>Table224[[#This Row],[Qty]]-Table224[[#This Row],[Issue Qty]]</f>
        <v>0</v>
      </c>
      <c r="K948" s="195"/>
      <c r="L948" s="195" t="s">
        <v>3480</v>
      </c>
      <c r="M948" s="5">
        <v>354.29</v>
      </c>
      <c r="N948" s="5">
        <f t="shared" si="49"/>
        <v>2125.7400000000002</v>
      </c>
      <c r="O948" s="82">
        <v>0.05</v>
      </c>
      <c r="P948" s="9">
        <f t="shared" si="50"/>
        <v>106.28700000000002</v>
      </c>
      <c r="Q948" s="5">
        <v>99</v>
      </c>
      <c r="R948" s="5"/>
      <c r="S948" s="5">
        <f t="shared" si="51"/>
        <v>2331.027</v>
      </c>
      <c r="T948" s="1" t="s">
        <v>606</v>
      </c>
      <c r="U948" s="1" t="s">
        <v>606</v>
      </c>
      <c r="V948" s="1" t="s">
        <v>634</v>
      </c>
      <c r="W948" s="1" t="s">
        <v>2762</v>
      </c>
      <c r="X948" s="1">
        <v>88073000</v>
      </c>
      <c r="Y948" s="2"/>
      <c r="Z948" s="21" t="s">
        <v>72</v>
      </c>
      <c r="AA948" s="21"/>
      <c r="AB948" s="21">
        <v>6</v>
      </c>
      <c r="AC948" s="12" t="s">
        <v>3898</v>
      </c>
      <c r="AD948" s="2"/>
      <c r="AE948" s="23"/>
      <c r="AF948" s="1"/>
      <c r="AG948" s="26"/>
    </row>
    <row r="949" spans="1:33" s="206" customFormat="1" x14ac:dyDescent="0.25">
      <c r="A949" s="4">
        <v>46058</v>
      </c>
      <c r="B949" s="4">
        <v>46058</v>
      </c>
      <c r="C949" s="1" t="s">
        <v>54</v>
      </c>
      <c r="D949" s="224" t="s">
        <v>3494</v>
      </c>
      <c r="E949" s="1" t="s">
        <v>2603</v>
      </c>
      <c r="F949" s="102" t="s">
        <v>1506</v>
      </c>
      <c r="G949" s="8" t="s">
        <v>1506</v>
      </c>
      <c r="H949" s="8">
        <v>1</v>
      </c>
      <c r="I949" s="8">
        <v>1</v>
      </c>
      <c r="J949" s="115">
        <f>Table224[[#This Row],[Qty]]-Table224[[#This Row],[Issue Qty]]</f>
        <v>0</v>
      </c>
      <c r="K949" s="195"/>
      <c r="L949" s="195" t="s">
        <v>3480</v>
      </c>
      <c r="M949" s="5">
        <v>2882.3</v>
      </c>
      <c r="N949" s="82">
        <f t="shared" si="49"/>
        <v>2882.3</v>
      </c>
      <c r="O949" s="82">
        <v>0.18</v>
      </c>
      <c r="P949" s="5">
        <f t="shared" si="50"/>
        <v>518.81399999999996</v>
      </c>
      <c r="Q949" s="5"/>
      <c r="R949" s="5"/>
      <c r="S949" s="1">
        <f t="shared" si="51"/>
        <v>3401.114</v>
      </c>
      <c r="T949" s="1" t="s">
        <v>2887</v>
      </c>
      <c r="U949" s="1" t="s">
        <v>536</v>
      </c>
      <c r="V949" s="1" t="s">
        <v>358</v>
      </c>
      <c r="W949" s="1" t="s">
        <v>2763</v>
      </c>
      <c r="X949" s="1">
        <v>39269099</v>
      </c>
      <c r="Y949" s="21">
        <v>5008</v>
      </c>
      <c r="Z949" s="21" t="s">
        <v>3349</v>
      </c>
      <c r="AA949" s="8"/>
      <c r="AB949" s="8">
        <v>1</v>
      </c>
      <c r="AC949" s="22" t="s">
        <v>3647</v>
      </c>
      <c r="AD949" s="1"/>
      <c r="AE949" s="266"/>
      <c r="AF949" s="2"/>
      <c r="AG949" s="2"/>
    </row>
    <row r="950" spans="1:33" s="206" customFormat="1" x14ac:dyDescent="0.25">
      <c r="A950" s="4">
        <v>46058</v>
      </c>
      <c r="B950" s="4">
        <v>46058</v>
      </c>
      <c r="C950" s="6" t="s">
        <v>54</v>
      </c>
      <c r="D950" s="224" t="s">
        <v>3494</v>
      </c>
      <c r="E950" s="6" t="s">
        <v>2604</v>
      </c>
      <c r="F950" s="234" t="s">
        <v>1507</v>
      </c>
      <c r="G950" s="1" t="s">
        <v>1507</v>
      </c>
      <c r="H950" s="8">
        <v>1</v>
      </c>
      <c r="I950" s="8">
        <v>1</v>
      </c>
      <c r="J950" s="115">
        <f>Table224[[#This Row],[Qty]]-Table224[[#This Row],[Issue Qty]]</f>
        <v>0</v>
      </c>
      <c r="K950" s="195"/>
      <c r="L950" s="195" t="s">
        <v>3480</v>
      </c>
      <c r="M950" s="5">
        <v>4452.6000000000004</v>
      </c>
      <c r="N950" s="5">
        <f t="shared" si="49"/>
        <v>4452.6000000000004</v>
      </c>
      <c r="O950" s="82">
        <v>0.18</v>
      </c>
      <c r="P950" s="9">
        <f t="shared" si="50"/>
        <v>801.46800000000007</v>
      </c>
      <c r="Q950" s="5"/>
      <c r="R950" s="5"/>
      <c r="S950" s="5">
        <f t="shared" si="51"/>
        <v>5254.0680000000002</v>
      </c>
      <c r="T950" s="1" t="s">
        <v>2887</v>
      </c>
      <c r="U950" s="1" t="s">
        <v>536</v>
      </c>
      <c r="V950" s="1" t="s">
        <v>358</v>
      </c>
      <c r="W950" s="1" t="s">
        <v>2763</v>
      </c>
      <c r="X950" s="1">
        <v>39269099</v>
      </c>
      <c r="Y950" s="2">
        <v>5008</v>
      </c>
      <c r="Z950" s="21" t="s">
        <v>3349</v>
      </c>
      <c r="AA950" s="21"/>
      <c r="AB950" s="21">
        <v>1</v>
      </c>
      <c r="AC950" s="22" t="s">
        <v>3643</v>
      </c>
      <c r="AD950" s="2"/>
      <c r="AE950" s="23"/>
      <c r="AF950" s="1"/>
      <c r="AG950" s="26"/>
    </row>
    <row r="951" spans="1:33" s="206" customFormat="1" x14ac:dyDescent="0.25">
      <c r="A951" s="4">
        <v>46058</v>
      </c>
      <c r="B951" s="4">
        <v>46060</v>
      </c>
      <c r="C951" s="6" t="s">
        <v>1730</v>
      </c>
      <c r="D951" s="6" t="s">
        <v>3495</v>
      </c>
      <c r="E951" s="6" t="s">
        <v>2767</v>
      </c>
      <c r="F951" s="234" t="s">
        <v>1627</v>
      </c>
      <c r="G951" s="1" t="s">
        <v>1627</v>
      </c>
      <c r="H951" s="8">
        <v>1</v>
      </c>
      <c r="I951" s="8">
        <v>1</v>
      </c>
      <c r="J951" s="115">
        <f>Table224[[#This Row],[Qty]]-Table224[[#This Row],[Issue Qty]]</f>
        <v>0</v>
      </c>
      <c r="K951" s="195"/>
      <c r="L951" s="195" t="s">
        <v>3486</v>
      </c>
      <c r="M951" s="5">
        <v>620</v>
      </c>
      <c r="N951" s="5">
        <f t="shared" si="49"/>
        <v>620</v>
      </c>
      <c r="O951" s="82">
        <v>0.18</v>
      </c>
      <c r="P951" s="9">
        <f t="shared" si="50"/>
        <v>111.6</v>
      </c>
      <c r="Q951" s="5"/>
      <c r="R951" s="5"/>
      <c r="S951" s="5">
        <f t="shared" si="51"/>
        <v>731.6</v>
      </c>
      <c r="T951" s="1" t="s">
        <v>2887</v>
      </c>
      <c r="U951" s="1" t="s">
        <v>536</v>
      </c>
      <c r="V951" s="1" t="s">
        <v>1626</v>
      </c>
      <c r="W951" s="1" t="s">
        <v>2765</v>
      </c>
      <c r="X951" s="1">
        <v>74153390</v>
      </c>
      <c r="Y951" s="2" t="s">
        <v>2766</v>
      </c>
      <c r="Z951" s="21" t="s">
        <v>268</v>
      </c>
      <c r="AA951" s="21"/>
      <c r="AB951" s="21">
        <v>1</v>
      </c>
      <c r="AC951" s="12" t="s">
        <v>3194</v>
      </c>
      <c r="AD951" s="2"/>
      <c r="AE951" s="23"/>
      <c r="AF951" s="1"/>
      <c r="AG951" s="26"/>
    </row>
    <row r="952" spans="1:33" s="206" customFormat="1" ht="30" x14ac:dyDescent="0.25">
      <c r="A952" s="4">
        <v>46058</v>
      </c>
      <c r="B952" s="4">
        <v>46060</v>
      </c>
      <c r="C952" s="6" t="s">
        <v>1730</v>
      </c>
      <c r="D952" s="6" t="s">
        <v>3495</v>
      </c>
      <c r="E952" s="6" t="s">
        <v>2764</v>
      </c>
      <c r="F952" s="234" t="s">
        <v>1625</v>
      </c>
      <c r="G952" s="1" t="s">
        <v>1625</v>
      </c>
      <c r="H952" s="8">
        <v>30</v>
      </c>
      <c r="I952" s="8">
        <v>8</v>
      </c>
      <c r="J952" s="115">
        <f>Table224[[#This Row],[Qty]]-Table224[[#This Row],[Issue Qty]]</f>
        <v>22</v>
      </c>
      <c r="K952" s="195"/>
      <c r="L952" s="195" t="s">
        <v>3486</v>
      </c>
      <c r="M952" s="5">
        <v>10.4</v>
      </c>
      <c r="N952" s="5">
        <f t="shared" si="49"/>
        <v>312</v>
      </c>
      <c r="O952" s="82">
        <v>0.18</v>
      </c>
      <c r="P952" s="9">
        <f t="shared" si="50"/>
        <v>56.16</v>
      </c>
      <c r="Q952" s="5"/>
      <c r="R952" s="5"/>
      <c r="S952" s="5">
        <f t="shared" si="51"/>
        <v>368.15999999999997</v>
      </c>
      <c r="T952" s="1" t="s">
        <v>2887</v>
      </c>
      <c r="U952" s="1" t="s">
        <v>536</v>
      </c>
      <c r="V952" s="1" t="s">
        <v>1626</v>
      </c>
      <c r="W952" s="1" t="s">
        <v>2765</v>
      </c>
      <c r="X952" s="1">
        <v>74153390</v>
      </c>
      <c r="Y952" s="2" t="s">
        <v>2766</v>
      </c>
      <c r="Z952" s="21"/>
      <c r="AA952" s="21"/>
      <c r="AB952" s="21">
        <v>8</v>
      </c>
      <c r="AC952" s="12" t="s">
        <v>2935</v>
      </c>
      <c r="AD952" s="2"/>
      <c r="AE952" s="23"/>
      <c r="AF952" s="1"/>
      <c r="AG952" s="26"/>
    </row>
    <row r="953" spans="1:33" s="24" customFormat="1" ht="30" x14ac:dyDescent="0.25">
      <c r="A953" s="4">
        <v>46053</v>
      </c>
      <c r="B953" s="4">
        <v>46060</v>
      </c>
      <c r="C953" s="1" t="s">
        <v>1991</v>
      </c>
      <c r="D953" s="186" t="s">
        <v>3492</v>
      </c>
      <c r="E953" s="6" t="s">
        <v>2768</v>
      </c>
      <c r="F953" s="234" t="s">
        <v>1628</v>
      </c>
      <c r="G953" s="1" t="s">
        <v>1628</v>
      </c>
      <c r="H953" s="8">
        <v>1</v>
      </c>
      <c r="I953" s="115"/>
      <c r="J953" s="8">
        <f>Table224[[#This Row],[Qty]]-Table224[[#This Row],[Issue Qty]]</f>
        <v>1</v>
      </c>
      <c r="K953" s="195"/>
      <c r="L953" s="195" t="s">
        <v>3480</v>
      </c>
      <c r="M953" s="5">
        <v>2380</v>
      </c>
      <c r="N953" s="5">
        <f t="shared" si="49"/>
        <v>2380</v>
      </c>
      <c r="O953" s="82">
        <v>0.05</v>
      </c>
      <c r="P953" s="9">
        <f t="shared" si="50"/>
        <v>119</v>
      </c>
      <c r="Q953" s="5">
        <v>120.39</v>
      </c>
      <c r="R953" s="5"/>
      <c r="S953" s="5">
        <f t="shared" si="51"/>
        <v>2619.39</v>
      </c>
      <c r="T953" s="1" t="s">
        <v>1629</v>
      </c>
      <c r="U953" s="1" t="s">
        <v>1629</v>
      </c>
      <c r="V953" s="1" t="s">
        <v>531</v>
      </c>
      <c r="W953" s="1">
        <v>27737</v>
      </c>
      <c r="X953" s="1">
        <v>8807</v>
      </c>
      <c r="Y953" s="2" t="s">
        <v>2769</v>
      </c>
      <c r="Z953" s="21" t="s">
        <v>72</v>
      </c>
      <c r="AA953" s="21" t="s">
        <v>262</v>
      </c>
      <c r="AB953" s="21"/>
      <c r="AC953" s="12"/>
      <c r="AD953" s="266"/>
      <c r="AE953" s="6"/>
      <c r="AF953" s="1"/>
      <c r="AG953" s="206"/>
    </row>
    <row r="954" spans="1:33" s="206" customFormat="1" ht="60" x14ac:dyDescent="0.25">
      <c r="A954" s="4">
        <v>46056</v>
      </c>
      <c r="B954" s="4">
        <v>46061</v>
      </c>
      <c r="C954" s="6" t="s">
        <v>1683</v>
      </c>
      <c r="D954" s="186" t="s">
        <v>3493</v>
      </c>
      <c r="E954" s="6" t="s">
        <v>2497</v>
      </c>
      <c r="F954" s="234" t="s">
        <v>1402</v>
      </c>
      <c r="G954" s="1" t="s">
        <v>1402</v>
      </c>
      <c r="H954" s="8">
        <v>1</v>
      </c>
      <c r="I954" s="8">
        <v>0</v>
      </c>
      <c r="J954" s="115">
        <f>Table224[[#This Row],[Qty]]-Table224[[#This Row],[Issue Qty]]</f>
        <v>1</v>
      </c>
      <c r="K954" s="195"/>
      <c r="L954" s="195" t="s">
        <v>3480</v>
      </c>
      <c r="M954" s="5">
        <v>321.22000000000003</v>
      </c>
      <c r="N954" s="5">
        <f t="shared" si="49"/>
        <v>321.22000000000003</v>
      </c>
      <c r="O954" s="82">
        <v>0.18</v>
      </c>
      <c r="P954" s="9">
        <f t="shared" si="50"/>
        <v>57.819600000000001</v>
      </c>
      <c r="Q954" s="5"/>
      <c r="R954" s="5"/>
      <c r="S954" s="5">
        <f t="shared" si="51"/>
        <v>379.03960000000001</v>
      </c>
      <c r="T954" s="1" t="s">
        <v>2887</v>
      </c>
      <c r="U954" s="1" t="s">
        <v>633</v>
      </c>
      <c r="V954" s="1" t="s">
        <v>384</v>
      </c>
      <c r="W954" s="1" t="s">
        <v>2770</v>
      </c>
      <c r="X954" s="1">
        <v>85442090</v>
      </c>
      <c r="Y954" s="2"/>
      <c r="Z954" s="21" t="s">
        <v>89</v>
      </c>
      <c r="AA954" s="21" t="s">
        <v>342</v>
      </c>
      <c r="AB954" s="21"/>
      <c r="AC954" s="12"/>
      <c r="AD954" s="2"/>
      <c r="AE954" s="23"/>
      <c r="AF954" s="1"/>
      <c r="AG954" s="26"/>
    </row>
    <row r="955" spans="1:33" s="206" customFormat="1" x14ac:dyDescent="0.25">
      <c r="A955" s="4">
        <v>46056</v>
      </c>
      <c r="B955" s="4">
        <v>46062</v>
      </c>
      <c r="C955" s="6" t="s">
        <v>1683</v>
      </c>
      <c r="D955" s="186" t="s">
        <v>3493</v>
      </c>
      <c r="E955" s="6" t="s">
        <v>2592</v>
      </c>
      <c r="F955" s="234" t="s">
        <v>1496</v>
      </c>
      <c r="G955" s="1" t="s">
        <v>1496</v>
      </c>
      <c r="H955" s="8">
        <v>50</v>
      </c>
      <c r="I955" s="8">
        <v>50</v>
      </c>
      <c r="J955" s="115">
        <f>Table224[[#This Row],[Qty]]-Table224[[#This Row],[Issue Qty]]</f>
        <v>0</v>
      </c>
      <c r="K955" s="195"/>
      <c r="L955" s="195" t="s">
        <v>3480</v>
      </c>
      <c r="M955" s="5">
        <v>88.14</v>
      </c>
      <c r="N955" s="5">
        <f t="shared" si="49"/>
        <v>4407</v>
      </c>
      <c r="O955" s="82"/>
      <c r="P955" s="9">
        <f t="shared" si="50"/>
        <v>0</v>
      </c>
      <c r="Q955" s="5"/>
      <c r="R955" s="5"/>
      <c r="S955" s="5">
        <f t="shared" si="51"/>
        <v>4407</v>
      </c>
      <c r="T955" s="1" t="s">
        <v>2887</v>
      </c>
      <c r="U955" s="1" t="s">
        <v>633</v>
      </c>
      <c r="V955" s="1" t="s">
        <v>1503</v>
      </c>
      <c r="W955" s="1">
        <v>120525597</v>
      </c>
      <c r="X955" s="1"/>
      <c r="Y955" s="2"/>
      <c r="Z955" s="21" t="s">
        <v>2777</v>
      </c>
      <c r="AA955" s="8"/>
      <c r="AB955" s="21">
        <v>50</v>
      </c>
      <c r="AC955" s="12" t="s">
        <v>3352</v>
      </c>
      <c r="AD955" s="2"/>
      <c r="AE955" s="23"/>
      <c r="AF955" s="1"/>
      <c r="AG955" s="26"/>
    </row>
    <row r="956" spans="1:33" s="206" customFormat="1" ht="39.75" customHeight="1" x14ac:dyDescent="0.25">
      <c r="A956" s="4">
        <v>46056</v>
      </c>
      <c r="B956" s="4">
        <v>46062</v>
      </c>
      <c r="C956" s="6" t="s">
        <v>1683</v>
      </c>
      <c r="D956" s="186" t="s">
        <v>3487</v>
      </c>
      <c r="E956" s="6" t="s">
        <v>2591</v>
      </c>
      <c r="F956" s="234" t="s">
        <v>1495</v>
      </c>
      <c r="G956" s="1" t="s">
        <v>1495</v>
      </c>
      <c r="H956" s="8">
        <v>20</v>
      </c>
      <c r="I956" s="8">
        <v>0</v>
      </c>
      <c r="J956" s="115">
        <f>Table224[[#This Row],[Qty]]-Table224[[#This Row],[Issue Qty]]</f>
        <v>20</v>
      </c>
      <c r="K956" s="195"/>
      <c r="L956" s="195" t="s">
        <v>3480</v>
      </c>
      <c r="M956" s="5">
        <v>13.4</v>
      </c>
      <c r="N956" s="5">
        <f t="shared" si="49"/>
        <v>268</v>
      </c>
      <c r="O956" s="82"/>
      <c r="P956" s="9">
        <f t="shared" si="50"/>
        <v>0</v>
      </c>
      <c r="Q956" s="5"/>
      <c r="R956" s="5"/>
      <c r="S956" s="5">
        <f t="shared" si="51"/>
        <v>268</v>
      </c>
      <c r="T956" s="1" t="s">
        <v>2887</v>
      </c>
      <c r="U956" s="1" t="s">
        <v>633</v>
      </c>
      <c r="V956" s="1" t="s">
        <v>1503</v>
      </c>
      <c r="W956" s="1">
        <v>120525597</v>
      </c>
      <c r="X956" s="1"/>
      <c r="Y956" s="2"/>
      <c r="Z956" s="21" t="s">
        <v>638</v>
      </c>
      <c r="AA956" s="8" t="s">
        <v>1963</v>
      </c>
      <c r="AB956" s="21"/>
      <c r="AC956" s="12"/>
      <c r="AD956" s="2"/>
      <c r="AE956" s="23"/>
      <c r="AF956" s="1"/>
      <c r="AG956" s="26"/>
    </row>
    <row r="957" spans="1:33" s="206" customFormat="1" ht="30" x14ac:dyDescent="0.25">
      <c r="A957" s="4">
        <v>46056</v>
      </c>
      <c r="B957" s="4">
        <v>46062</v>
      </c>
      <c r="C957" s="6" t="s">
        <v>1683</v>
      </c>
      <c r="D957" s="186" t="s">
        <v>3493</v>
      </c>
      <c r="E957" s="6" t="s">
        <v>2771</v>
      </c>
      <c r="F957" s="234" t="s">
        <v>1630</v>
      </c>
      <c r="G957" s="1" t="s">
        <v>1630</v>
      </c>
      <c r="H957" s="8">
        <v>42</v>
      </c>
      <c r="I957" s="8">
        <v>20</v>
      </c>
      <c r="J957" s="115">
        <f>Table224[[#This Row],[Qty]]-Table224[[#This Row],[Issue Qty]]</f>
        <v>22</v>
      </c>
      <c r="K957" s="195"/>
      <c r="L957" s="195" t="s">
        <v>3480</v>
      </c>
      <c r="M957" s="5">
        <v>30.28</v>
      </c>
      <c r="N957" s="5">
        <f t="shared" si="49"/>
        <v>1271.76</v>
      </c>
      <c r="O957" s="82"/>
      <c r="P957" s="9">
        <f t="shared" si="50"/>
        <v>0</v>
      </c>
      <c r="Q957" s="5"/>
      <c r="R957" s="5"/>
      <c r="S957" s="5">
        <f t="shared" si="51"/>
        <v>1271.76</v>
      </c>
      <c r="T957" s="1" t="s">
        <v>2887</v>
      </c>
      <c r="U957" s="1" t="s">
        <v>633</v>
      </c>
      <c r="V957" s="1" t="s">
        <v>1503</v>
      </c>
      <c r="W957" s="1">
        <v>120525597</v>
      </c>
      <c r="X957" s="1"/>
      <c r="Y957" s="2"/>
      <c r="Z957" s="21" t="s">
        <v>638</v>
      </c>
      <c r="AA957" s="21"/>
      <c r="AB957" s="21">
        <v>20</v>
      </c>
      <c r="AC957" s="12" t="s">
        <v>3312</v>
      </c>
      <c r="AD957" s="2"/>
      <c r="AE957" s="23"/>
      <c r="AF957" s="1"/>
      <c r="AG957" s="26"/>
    </row>
    <row r="958" spans="1:33" s="206" customFormat="1" x14ac:dyDescent="0.25">
      <c r="A958" s="4">
        <v>46056</v>
      </c>
      <c r="B958" s="4">
        <v>46062</v>
      </c>
      <c r="C958" s="6" t="s">
        <v>1683</v>
      </c>
      <c r="D958" s="186" t="s">
        <v>3487</v>
      </c>
      <c r="E958" s="6" t="s">
        <v>2594</v>
      </c>
      <c r="F958" s="257" t="s">
        <v>1498</v>
      </c>
      <c r="G958" s="1" t="s">
        <v>1498</v>
      </c>
      <c r="H958" s="8">
        <v>19</v>
      </c>
      <c r="I958" s="8">
        <v>12</v>
      </c>
      <c r="J958" s="115">
        <f>Table224[[#This Row],[Qty]]-Table224[[#This Row],[Issue Qty]]</f>
        <v>7</v>
      </c>
      <c r="K958" s="332">
        <v>3</v>
      </c>
      <c r="L958" s="195" t="s">
        <v>3480</v>
      </c>
      <c r="M958" s="5">
        <v>6.1</v>
      </c>
      <c r="N958" s="5">
        <f t="shared" si="49"/>
        <v>115.89999999999999</v>
      </c>
      <c r="O958" s="82"/>
      <c r="P958" s="9">
        <f t="shared" si="50"/>
        <v>0</v>
      </c>
      <c r="Q958" s="5"/>
      <c r="R958" s="5"/>
      <c r="S958" s="5">
        <f t="shared" si="51"/>
        <v>115.89999999999999</v>
      </c>
      <c r="T958" s="1" t="s">
        <v>2887</v>
      </c>
      <c r="U958" s="1" t="s">
        <v>633</v>
      </c>
      <c r="V958" s="1" t="s">
        <v>1503</v>
      </c>
      <c r="W958" s="1">
        <v>120525597</v>
      </c>
      <c r="X958" s="1"/>
      <c r="Y958" s="2"/>
      <c r="Z958" s="21" t="s">
        <v>638</v>
      </c>
      <c r="AA958" s="8"/>
      <c r="AB958" s="21">
        <v>12</v>
      </c>
      <c r="AC958" s="12" t="s">
        <v>3830</v>
      </c>
      <c r="AD958" s="2"/>
      <c r="AE958" s="23"/>
      <c r="AF958" s="1"/>
      <c r="AG958" s="26"/>
    </row>
    <row r="959" spans="1:33" s="206" customFormat="1" x14ac:dyDescent="0.25">
      <c r="A959" s="4">
        <v>46056</v>
      </c>
      <c r="B959" s="4">
        <v>46062</v>
      </c>
      <c r="C959" s="6" t="s">
        <v>1683</v>
      </c>
      <c r="D959" s="186" t="s">
        <v>3487</v>
      </c>
      <c r="E959" s="6" t="s">
        <v>2589</v>
      </c>
      <c r="F959" s="257" t="s">
        <v>1493</v>
      </c>
      <c r="G959" s="1" t="s">
        <v>1493</v>
      </c>
      <c r="H959" s="8">
        <v>19</v>
      </c>
      <c r="I959" s="8">
        <v>19</v>
      </c>
      <c r="J959" s="115">
        <f>Table224[[#This Row],[Qty]]-Table224[[#This Row],[Issue Qty]]</f>
        <v>0</v>
      </c>
      <c r="K959" s="332">
        <v>7</v>
      </c>
      <c r="L959" s="195" t="s">
        <v>3480</v>
      </c>
      <c r="M959" s="5">
        <v>6.39</v>
      </c>
      <c r="N959" s="5">
        <f t="shared" si="49"/>
        <v>121.41</v>
      </c>
      <c r="O959" s="82"/>
      <c r="P959" s="9">
        <f t="shared" si="50"/>
        <v>0</v>
      </c>
      <c r="Q959" s="5"/>
      <c r="R959" s="5"/>
      <c r="S959" s="5">
        <f t="shared" si="51"/>
        <v>121.41</v>
      </c>
      <c r="T959" s="1" t="s">
        <v>2887</v>
      </c>
      <c r="U959" s="1" t="s">
        <v>633</v>
      </c>
      <c r="V959" s="1" t="s">
        <v>1503</v>
      </c>
      <c r="W959" s="1">
        <v>120525597</v>
      </c>
      <c r="X959" s="1"/>
      <c r="Y959" s="2"/>
      <c r="Z959" s="21"/>
      <c r="AA959" s="8"/>
      <c r="AB959" s="21">
        <v>17</v>
      </c>
      <c r="AC959" s="12" t="s">
        <v>3834</v>
      </c>
      <c r="AD959" s="2"/>
      <c r="AE959" s="23"/>
      <c r="AF959" s="1"/>
      <c r="AG959" s="26"/>
    </row>
    <row r="960" spans="1:33" s="206" customFormat="1" x14ac:dyDescent="0.25">
      <c r="A960" s="4">
        <v>46056</v>
      </c>
      <c r="B960" s="4">
        <v>46062</v>
      </c>
      <c r="C960" s="6" t="s">
        <v>1683</v>
      </c>
      <c r="D960" s="186" t="s">
        <v>3487</v>
      </c>
      <c r="E960" s="6" t="s">
        <v>2660</v>
      </c>
      <c r="F960" s="234" t="s">
        <v>1557</v>
      </c>
      <c r="G960" s="1" t="s">
        <v>1557</v>
      </c>
      <c r="H960" s="8">
        <v>10</v>
      </c>
      <c r="I960" s="8">
        <v>10</v>
      </c>
      <c r="J960" s="115">
        <f>Table224[[#This Row],[Qty]]-Table224[[#This Row],[Issue Qty]]</f>
        <v>0</v>
      </c>
      <c r="K960" s="195"/>
      <c r="L960" s="195" t="s">
        <v>3480</v>
      </c>
      <c r="M960" s="5">
        <v>9.8800000000000008</v>
      </c>
      <c r="N960" s="5">
        <f t="shared" si="49"/>
        <v>98.800000000000011</v>
      </c>
      <c r="O960" s="82"/>
      <c r="P960" s="9">
        <f t="shared" si="50"/>
        <v>0</v>
      </c>
      <c r="Q960" s="10"/>
      <c r="R960" s="10"/>
      <c r="S960" s="5">
        <f t="shared" si="51"/>
        <v>98.800000000000011</v>
      </c>
      <c r="T960" s="1" t="s">
        <v>2887</v>
      </c>
      <c r="U960" s="1" t="s">
        <v>633</v>
      </c>
      <c r="V960" s="1" t="s">
        <v>1503</v>
      </c>
      <c r="W960" s="1">
        <v>120525597</v>
      </c>
      <c r="X960" s="1"/>
      <c r="Y960" s="2"/>
      <c r="Z960" s="21" t="s">
        <v>638</v>
      </c>
      <c r="AA960" s="8"/>
      <c r="AB960" s="35">
        <v>10</v>
      </c>
      <c r="AC960" s="12" t="s">
        <v>3834</v>
      </c>
      <c r="AD960" s="2"/>
      <c r="AE960" s="23"/>
      <c r="AF960" s="1"/>
      <c r="AG960" s="26"/>
    </row>
    <row r="961" spans="1:33" s="206" customFormat="1" x14ac:dyDescent="0.25">
      <c r="A961" s="4">
        <v>46056</v>
      </c>
      <c r="B961" s="4">
        <v>46062</v>
      </c>
      <c r="C961" s="6" t="s">
        <v>1683</v>
      </c>
      <c r="D961" s="186" t="s">
        <v>3487</v>
      </c>
      <c r="E961" s="6" t="s">
        <v>2195</v>
      </c>
      <c r="F961" s="102" t="s">
        <v>988</v>
      </c>
      <c r="G961" s="1" t="s">
        <v>988</v>
      </c>
      <c r="H961" s="8">
        <v>19</v>
      </c>
      <c r="I961" s="8">
        <v>1</v>
      </c>
      <c r="J961" s="115">
        <f>Table224[[#This Row],[Qty]]-Table224[[#This Row],[Issue Qty]]</f>
        <v>18</v>
      </c>
      <c r="K961" s="195"/>
      <c r="L961" s="195" t="s">
        <v>3480</v>
      </c>
      <c r="M961" s="5">
        <v>10.050000000000001</v>
      </c>
      <c r="N961" s="5">
        <f t="shared" si="49"/>
        <v>190.95000000000002</v>
      </c>
      <c r="O961" s="82"/>
      <c r="P961" s="9">
        <f t="shared" si="50"/>
        <v>0</v>
      </c>
      <c r="Q961" s="5"/>
      <c r="R961" s="5"/>
      <c r="S961" s="5">
        <f t="shared" si="51"/>
        <v>190.95000000000002</v>
      </c>
      <c r="T961" s="1" t="s">
        <v>2887</v>
      </c>
      <c r="U961" s="1" t="s">
        <v>633</v>
      </c>
      <c r="V961" s="1" t="s">
        <v>1503</v>
      </c>
      <c r="W961" s="1">
        <v>120525597</v>
      </c>
      <c r="X961" s="1"/>
      <c r="Y961" s="2"/>
      <c r="Z961" s="21" t="s">
        <v>638</v>
      </c>
      <c r="AA961" s="8"/>
      <c r="AB961" s="21">
        <v>1</v>
      </c>
      <c r="AC961" s="12" t="s">
        <v>3871</v>
      </c>
      <c r="AD961" s="2"/>
      <c r="AE961" s="23"/>
      <c r="AF961" s="1"/>
      <c r="AG961" s="26"/>
    </row>
    <row r="962" spans="1:33" s="206" customFormat="1" x14ac:dyDescent="0.25">
      <c r="A962" s="4">
        <v>46056</v>
      </c>
      <c r="B962" s="4">
        <v>46062</v>
      </c>
      <c r="C962" s="6" t="s">
        <v>1683</v>
      </c>
      <c r="D962" s="186" t="s">
        <v>3487</v>
      </c>
      <c r="E962" s="6" t="s">
        <v>2588</v>
      </c>
      <c r="F962" s="257" t="s">
        <v>1492</v>
      </c>
      <c r="G962" s="1" t="s">
        <v>1492</v>
      </c>
      <c r="H962" s="8">
        <v>20</v>
      </c>
      <c r="I962" s="8">
        <v>15</v>
      </c>
      <c r="J962" s="115">
        <f>Table224[[#This Row],[Qty]]-Table224[[#This Row],[Issue Qty]]</f>
        <v>5</v>
      </c>
      <c r="K962" s="332">
        <v>8</v>
      </c>
      <c r="L962" s="195" t="s">
        <v>3480</v>
      </c>
      <c r="M962" s="5">
        <v>10.27</v>
      </c>
      <c r="N962" s="5">
        <f t="shared" si="49"/>
        <v>205.39999999999998</v>
      </c>
      <c r="O962" s="82"/>
      <c r="P962" s="9">
        <f t="shared" si="50"/>
        <v>0</v>
      </c>
      <c r="Q962" s="5"/>
      <c r="R962" s="5"/>
      <c r="S962" s="5">
        <f t="shared" si="51"/>
        <v>205.39999999999998</v>
      </c>
      <c r="T962" s="1" t="s">
        <v>2887</v>
      </c>
      <c r="U962" s="1" t="s">
        <v>633</v>
      </c>
      <c r="V962" s="1" t="s">
        <v>1503</v>
      </c>
      <c r="W962" s="1">
        <v>120525597</v>
      </c>
      <c r="X962" s="1"/>
      <c r="Y962" s="2"/>
      <c r="Z962" s="21" t="s">
        <v>638</v>
      </c>
      <c r="AA962" s="8"/>
      <c r="AB962" s="21">
        <v>15</v>
      </c>
      <c r="AC962" s="12" t="s">
        <v>3834</v>
      </c>
      <c r="AD962" s="2"/>
      <c r="AE962" s="23"/>
      <c r="AF962" s="1"/>
      <c r="AG962" s="26"/>
    </row>
    <row r="963" spans="1:33" s="206" customFormat="1" x14ac:dyDescent="0.25">
      <c r="A963" s="4">
        <v>46056</v>
      </c>
      <c r="B963" s="4">
        <v>46062</v>
      </c>
      <c r="C963" s="6" t="s">
        <v>1683</v>
      </c>
      <c r="D963" s="186" t="s">
        <v>3487</v>
      </c>
      <c r="E963" s="6" t="s">
        <v>2590</v>
      </c>
      <c r="F963" s="234" t="s">
        <v>1494</v>
      </c>
      <c r="G963" s="1" t="s">
        <v>1494</v>
      </c>
      <c r="H963" s="8">
        <v>19</v>
      </c>
      <c r="I963" s="8">
        <v>11</v>
      </c>
      <c r="J963" s="115">
        <f>Table224[[#This Row],[Qty]]-Table224[[#This Row],[Issue Qty]]</f>
        <v>8</v>
      </c>
      <c r="K963" s="195"/>
      <c r="L963" s="195" t="s">
        <v>3480</v>
      </c>
      <c r="M963" s="5">
        <v>10.36</v>
      </c>
      <c r="N963" s="5">
        <f t="shared" si="49"/>
        <v>196.83999999999997</v>
      </c>
      <c r="O963" s="82"/>
      <c r="P963" s="9">
        <f t="shared" si="50"/>
        <v>0</v>
      </c>
      <c r="Q963" s="5"/>
      <c r="R963" s="5"/>
      <c r="S963" s="5">
        <f t="shared" si="51"/>
        <v>196.83999999999997</v>
      </c>
      <c r="T963" s="1" t="s">
        <v>2887</v>
      </c>
      <c r="U963" s="1" t="s">
        <v>633</v>
      </c>
      <c r="V963" s="1" t="s">
        <v>1503</v>
      </c>
      <c r="W963" s="1">
        <v>120525597</v>
      </c>
      <c r="X963" s="1"/>
      <c r="Y963" s="2"/>
      <c r="Z963" s="21" t="s">
        <v>638</v>
      </c>
      <c r="AA963" s="8"/>
      <c r="AB963" s="21">
        <v>11</v>
      </c>
      <c r="AC963" s="12" t="s">
        <v>3834</v>
      </c>
      <c r="AD963" s="2"/>
      <c r="AE963" s="23"/>
      <c r="AF963" s="1"/>
      <c r="AG963" s="26"/>
    </row>
    <row r="964" spans="1:33" s="206" customFormat="1" ht="45" x14ac:dyDescent="0.25">
      <c r="A964" s="4">
        <v>46064</v>
      </c>
      <c r="B964" s="4">
        <v>46065</v>
      </c>
      <c r="C964" s="6" t="s">
        <v>1730</v>
      </c>
      <c r="D964" s="224" t="s">
        <v>1730</v>
      </c>
      <c r="E964" s="6" t="s">
        <v>1644</v>
      </c>
      <c r="F964" s="243" t="s">
        <v>1631</v>
      </c>
      <c r="G964" s="6" t="s">
        <v>1631</v>
      </c>
      <c r="H964" s="8">
        <v>1</v>
      </c>
      <c r="I964" s="8"/>
      <c r="J964" s="115">
        <f>Table224[[#This Row],[Qty]]-Table224[[#This Row],[Issue Qty]]</f>
        <v>1</v>
      </c>
      <c r="K964" s="195"/>
      <c r="L964" s="195" t="s">
        <v>3480</v>
      </c>
      <c r="M964" s="5">
        <v>468.58</v>
      </c>
      <c r="N964" s="5">
        <f t="shared" si="49"/>
        <v>468.58</v>
      </c>
      <c r="O964" s="82">
        <v>0.05</v>
      </c>
      <c r="P964" s="9">
        <f t="shared" si="50"/>
        <v>23.429000000000002</v>
      </c>
      <c r="Q964" s="5"/>
      <c r="R964" s="5"/>
      <c r="S964" s="5">
        <f t="shared" si="51"/>
        <v>492.00900000000001</v>
      </c>
      <c r="T964" s="1" t="s">
        <v>1408</v>
      </c>
      <c r="U964" s="1" t="s">
        <v>1408</v>
      </c>
      <c r="V964" s="1" t="s">
        <v>384</v>
      </c>
      <c r="W964" s="1" t="s">
        <v>2772</v>
      </c>
      <c r="X964" s="1">
        <v>95030030</v>
      </c>
      <c r="Y964" s="2"/>
      <c r="Z964" s="21" t="s">
        <v>420</v>
      </c>
      <c r="AA964" s="21"/>
      <c r="AB964" s="21"/>
      <c r="AC964" s="12"/>
      <c r="AD964" s="2"/>
      <c r="AE964" s="23"/>
      <c r="AF964" s="1"/>
      <c r="AG964" s="26"/>
    </row>
    <row r="965" spans="1:33" s="206" customFormat="1" x14ac:dyDescent="0.25">
      <c r="A965" s="4">
        <v>46063</v>
      </c>
      <c r="B965" s="4">
        <v>46069</v>
      </c>
      <c r="C965" s="6" t="s">
        <v>1730</v>
      </c>
      <c r="D965" s="224" t="s">
        <v>3590</v>
      </c>
      <c r="E965" s="6" t="s">
        <v>2581</v>
      </c>
      <c r="F965" s="226" t="s">
        <v>1486</v>
      </c>
      <c r="G965" s="6" t="s">
        <v>1486</v>
      </c>
      <c r="H965" s="8">
        <v>1</v>
      </c>
      <c r="I965" s="8">
        <v>1</v>
      </c>
      <c r="J965" s="115">
        <f>Table224[[#This Row],[Qty]]-Table224[[#This Row],[Issue Qty]]</f>
        <v>0</v>
      </c>
      <c r="K965" s="195"/>
      <c r="L965" s="195" t="s">
        <v>3480</v>
      </c>
      <c r="M965" s="5">
        <v>6500</v>
      </c>
      <c r="N965" s="5">
        <f t="shared" si="49"/>
        <v>6500</v>
      </c>
      <c r="O965" s="82">
        <v>0.18</v>
      </c>
      <c r="P965" s="9">
        <f t="shared" si="50"/>
        <v>1170</v>
      </c>
      <c r="Q965" s="5">
        <v>1770</v>
      </c>
      <c r="R965" s="5"/>
      <c r="S965" s="5">
        <f t="shared" si="51"/>
        <v>9440</v>
      </c>
      <c r="T965" s="1" t="s">
        <v>2887</v>
      </c>
      <c r="U965" s="1" t="s">
        <v>1408</v>
      </c>
      <c r="V965" s="1" t="s">
        <v>1210</v>
      </c>
      <c r="W965" s="1" t="s">
        <v>2773</v>
      </c>
      <c r="X965" s="1"/>
      <c r="Y965" s="2"/>
      <c r="Z965" s="21" t="s">
        <v>3179</v>
      </c>
      <c r="AA965" s="21"/>
      <c r="AB965" s="21">
        <v>1</v>
      </c>
      <c r="AC965" s="12" t="s">
        <v>1546</v>
      </c>
      <c r="AD965" s="2"/>
      <c r="AE965" s="23"/>
      <c r="AF965" s="1"/>
      <c r="AG965" s="26"/>
    </row>
    <row r="966" spans="1:33" s="206" customFormat="1" x14ac:dyDescent="0.25">
      <c r="A966" s="4">
        <v>46063</v>
      </c>
      <c r="B966" s="4">
        <v>46069</v>
      </c>
      <c r="C966" s="6" t="s">
        <v>1730</v>
      </c>
      <c r="D966" s="224" t="s">
        <v>3590</v>
      </c>
      <c r="E966" s="6" t="s">
        <v>2583</v>
      </c>
      <c r="F966" s="226" t="s">
        <v>1487</v>
      </c>
      <c r="G966" s="6" t="s">
        <v>1487</v>
      </c>
      <c r="H966" s="8">
        <v>1</v>
      </c>
      <c r="I966" s="8">
        <v>1</v>
      </c>
      <c r="J966" s="115">
        <f>Table224[[#This Row],[Qty]]-Table224[[#This Row],[Issue Qty]]</f>
        <v>0</v>
      </c>
      <c r="K966" s="195"/>
      <c r="L966" s="195" t="s">
        <v>3480</v>
      </c>
      <c r="M966" s="5">
        <v>2500</v>
      </c>
      <c r="N966" s="5">
        <f t="shared" si="49"/>
        <v>2500</v>
      </c>
      <c r="O966" s="82">
        <v>0.18</v>
      </c>
      <c r="P966" s="9">
        <f t="shared" si="50"/>
        <v>450</v>
      </c>
      <c r="Q966" s="5"/>
      <c r="R966" s="5"/>
      <c r="S966" s="5">
        <f t="shared" si="51"/>
        <v>2950</v>
      </c>
      <c r="T966" s="1" t="s">
        <v>2887</v>
      </c>
      <c r="U966" s="1" t="s">
        <v>1408</v>
      </c>
      <c r="V966" s="1" t="s">
        <v>1210</v>
      </c>
      <c r="W966" s="1" t="s">
        <v>2773</v>
      </c>
      <c r="X966" s="1"/>
      <c r="Y966" s="2"/>
      <c r="Z966" s="21" t="s">
        <v>3179</v>
      </c>
      <c r="AA966" s="21"/>
      <c r="AB966" s="21">
        <v>1</v>
      </c>
      <c r="AC966" s="123" t="s">
        <v>1546</v>
      </c>
      <c r="AD966" s="2"/>
      <c r="AE966" s="23"/>
      <c r="AF966" s="1"/>
      <c r="AG966" s="26"/>
    </row>
    <row r="967" spans="1:33" s="206" customFormat="1" x14ac:dyDescent="0.25">
      <c r="A967" s="4">
        <v>46064</v>
      </c>
      <c r="B967" s="4">
        <v>46069</v>
      </c>
      <c r="C967" s="6" t="s">
        <v>1730</v>
      </c>
      <c r="D967" s="6" t="s">
        <v>3594</v>
      </c>
      <c r="E967" s="6" t="s">
        <v>1644</v>
      </c>
      <c r="F967" s="234" t="s">
        <v>1632</v>
      </c>
      <c r="G967" s="6" t="s">
        <v>1632</v>
      </c>
      <c r="H967" s="8">
        <v>2</v>
      </c>
      <c r="I967" s="8">
        <v>1</v>
      </c>
      <c r="J967" s="115">
        <f>Table224[[#This Row],[Qty]]-Table224[[#This Row],[Issue Qty]]</f>
        <v>1</v>
      </c>
      <c r="K967" s="195"/>
      <c r="L967" s="195" t="s">
        <v>3480</v>
      </c>
      <c r="M967" s="5">
        <v>1136.1600000000001</v>
      </c>
      <c r="N967" s="5">
        <f t="shared" si="49"/>
        <v>2272.3200000000002</v>
      </c>
      <c r="O967" s="82">
        <v>0.18</v>
      </c>
      <c r="P967" s="9">
        <f t="shared" si="50"/>
        <v>409.01760000000002</v>
      </c>
      <c r="Q967" s="5">
        <v>199</v>
      </c>
      <c r="R967" s="5"/>
      <c r="S967" s="5">
        <f t="shared" si="51"/>
        <v>2880.3376000000003</v>
      </c>
      <c r="T967" s="1" t="s">
        <v>1408</v>
      </c>
      <c r="U967" s="1" t="s">
        <v>1408</v>
      </c>
      <c r="V967" s="1" t="s">
        <v>634</v>
      </c>
      <c r="W967" s="1" t="s">
        <v>2774</v>
      </c>
      <c r="X967" s="1">
        <v>84439990</v>
      </c>
      <c r="Y967" s="2"/>
      <c r="Z967" s="21" t="s">
        <v>3349</v>
      </c>
      <c r="AA967" s="21"/>
      <c r="AB967" s="21">
        <v>1</v>
      </c>
      <c r="AC967" s="12" t="s">
        <v>2887</v>
      </c>
      <c r="AD967" s="2"/>
      <c r="AE967" s="23"/>
      <c r="AF967" s="1"/>
      <c r="AG967" s="26"/>
    </row>
    <row r="968" spans="1:33" s="206" customFormat="1" x14ac:dyDescent="0.25">
      <c r="A968" s="4">
        <v>46064</v>
      </c>
      <c r="B968" s="4">
        <v>46069</v>
      </c>
      <c r="C968" s="6" t="s">
        <v>1730</v>
      </c>
      <c r="D968" s="224" t="s">
        <v>3594</v>
      </c>
      <c r="E968" s="6" t="s">
        <v>1644</v>
      </c>
      <c r="F968" s="234" t="s">
        <v>1633</v>
      </c>
      <c r="G968" s="6" t="s">
        <v>1633</v>
      </c>
      <c r="H968" s="8">
        <v>2</v>
      </c>
      <c r="I968" s="8">
        <v>1</v>
      </c>
      <c r="J968" s="115">
        <f>Table224[[#This Row],[Qty]]-Table224[[#This Row],[Issue Qty]]</f>
        <v>1</v>
      </c>
      <c r="K968" s="195"/>
      <c r="L968" s="195" t="s">
        <v>3480</v>
      </c>
      <c r="M968" s="5">
        <v>1041.1600000000001</v>
      </c>
      <c r="N968" s="5">
        <f t="shared" si="49"/>
        <v>2082.3200000000002</v>
      </c>
      <c r="O968" s="82">
        <v>0.18</v>
      </c>
      <c r="P968" s="9">
        <f t="shared" si="50"/>
        <v>374.81760000000003</v>
      </c>
      <c r="Q968" s="5"/>
      <c r="R968" s="5"/>
      <c r="S968" s="5">
        <f t="shared" si="51"/>
        <v>2457.1376</v>
      </c>
      <c r="T968" s="1" t="s">
        <v>1408</v>
      </c>
      <c r="U968" s="1" t="s">
        <v>1408</v>
      </c>
      <c r="V968" s="1" t="s">
        <v>634</v>
      </c>
      <c r="W968" s="1" t="s">
        <v>2774</v>
      </c>
      <c r="X968" s="1">
        <v>84439990</v>
      </c>
      <c r="Y968" s="2"/>
      <c r="Z968" s="21" t="s">
        <v>3349</v>
      </c>
      <c r="AA968" s="21"/>
      <c r="AB968" s="21">
        <v>1</v>
      </c>
      <c r="AC968" s="12" t="s">
        <v>2887</v>
      </c>
      <c r="AD968" s="2"/>
      <c r="AE968" s="23"/>
      <c r="AF968" s="1"/>
      <c r="AG968" s="26"/>
    </row>
    <row r="969" spans="1:33" s="206" customFormat="1" x14ac:dyDescent="0.25">
      <c r="A969" s="4">
        <v>46065</v>
      </c>
      <c r="B969" s="4">
        <v>46070</v>
      </c>
      <c r="C969" s="6" t="s">
        <v>1683</v>
      </c>
      <c r="D969" s="186" t="s">
        <v>3487</v>
      </c>
      <c r="E969" s="6" t="s">
        <v>2660</v>
      </c>
      <c r="F969" s="234" t="s">
        <v>1557</v>
      </c>
      <c r="G969" s="6" t="s">
        <v>1557</v>
      </c>
      <c r="H969" s="8">
        <v>10</v>
      </c>
      <c r="I969" s="8">
        <v>3</v>
      </c>
      <c r="J969" s="115">
        <f>Table224[[#This Row],[Qty]]-Table224[[#This Row],[Issue Qty]]</f>
        <v>7</v>
      </c>
      <c r="K969" s="195"/>
      <c r="L969" s="195" t="s">
        <v>3480</v>
      </c>
      <c r="M969" s="5">
        <v>9.8800000000000008</v>
      </c>
      <c r="N969" s="5">
        <f t="shared" si="49"/>
        <v>98.800000000000011</v>
      </c>
      <c r="O969" s="82"/>
      <c r="P969" s="9">
        <f t="shared" si="50"/>
        <v>0</v>
      </c>
      <c r="Q969" s="5"/>
      <c r="R969" s="5"/>
      <c r="S969" s="5">
        <f t="shared" si="51"/>
        <v>98.800000000000011</v>
      </c>
      <c r="T969" s="1" t="s">
        <v>2887</v>
      </c>
      <c r="U969" s="12" t="s">
        <v>1674</v>
      </c>
      <c r="V969" s="1" t="s">
        <v>1503</v>
      </c>
      <c r="W969" s="1">
        <v>120525597</v>
      </c>
      <c r="X969" s="1"/>
      <c r="Y969" s="2"/>
      <c r="Z969" s="21" t="s">
        <v>638</v>
      </c>
      <c r="AA969" s="8"/>
      <c r="AB969" s="21">
        <v>7</v>
      </c>
      <c r="AC969" s="12" t="s">
        <v>2887</v>
      </c>
      <c r="AD969" s="2"/>
      <c r="AE969" s="23"/>
      <c r="AF969" s="1"/>
      <c r="AG969" s="26"/>
    </row>
    <row r="970" spans="1:33" s="206" customFormat="1" x14ac:dyDescent="0.25">
      <c r="A970" s="4">
        <v>46070</v>
      </c>
      <c r="B970" s="4">
        <v>46070</v>
      </c>
      <c r="C970" s="6" t="s">
        <v>1688</v>
      </c>
      <c r="D970" s="186" t="s">
        <v>3450</v>
      </c>
      <c r="E970" s="6" t="s">
        <v>2414</v>
      </c>
      <c r="F970" s="234" t="s">
        <v>1313</v>
      </c>
      <c r="G970" s="6" t="s">
        <v>1313</v>
      </c>
      <c r="H970" s="8">
        <v>2</v>
      </c>
      <c r="I970" s="8"/>
      <c r="J970" s="115">
        <f>Table224[[#This Row],[Qty]]-Table224[[#This Row],[Issue Qty]]</f>
        <v>2</v>
      </c>
      <c r="K970" s="195"/>
      <c r="L970" s="195" t="s">
        <v>3480</v>
      </c>
      <c r="M970" s="5">
        <v>1779.66</v>
      </c>
      <c r="N970" s="5">
        <f t="shared" si="49"/>
        <v>3559.32</v>
      </c>
      <c r="O970" s="82">
        <v>0.18</v>
      </c>
      <c r="P970" s="9">
        <f t="shared" si="50"/>
        <v>640.67759999999998</v>
      </c>
      <c r="Q970" s="5"/>
      <c r="R970" s="5"/>
      <c r="S970" s="5">
        <f t="shared" si="51"/>
        <v>4199.9976000000006</v>
      </c>
      <c r="T970" s="1" t="s">
        <v>2887</v>
      </c>
      <c r="U970" s="12" t="s">
        <v>1674</v>
      </c>
      <c r="V970" s="1" t="s">
        <v>1314</v>
      </c>
      <c r="W970" s="1" t="s">
        <v>2775</v>
      </c>
      <c r="X970" s="1">
        <v>84733099</v>
      </c>
      <c r="Y970" s="2"/>
      <c r="Z970" s="21" t="s">
        <v>29</v>
      </c>
      <c r="AA970" s="21"/>
      <c r="AB970" s="21">
        <v>1</v>
      </c>
      <c r="AC970" s="12" t="s">
        <v>1546</v>
      </c>
      <c r="AD970" s="2"/>
      <c r="AE970" s="23"/>
      <c r="AF970" s="1"/>
      <c r="AG970" s="26"/>
    </row>
    <row r="971" spans="1:33" s="206" customFormat="1" x14ac:dyDescent="0.25">
      <c r="A971" s="4">
        <v>46055</v>
      </c>
      <c r="B971" s="4">
        <v>46074</v>
      </c>
      <c r="C971" s="6" t="s">
        <v>1683</v>
      </c>
      <c r="D971" s="186" t="s">
        <v>3493</v>
      </c>
      <c r="E971" s="6" t="s">
        <v>2741</v>
      </c>
      <c r="F971" s="226" t="s">
        <v>1614</v>
      </c>
      <c r="G971" s="6" t="s">
        <v>1614</v>
      </c>
      <c r="H971" s="8">
        <v>4</v>
      </c>
      <c r="I971" s="8">
        <v>4</v>
      </c>
      <c r="J971" s="115">
        <f>Table224[[#This Row],[Qty]]-Table224[[#This Row],[Issue Qty]]</f>
        <v>0</v>
      </c>
      <c r="K971" s="195"/>
      <c r="L971" s="195" t="s">
        <v>3480</v>
      </c>
      <c r="M971" s="5">
        <v>180</v>
      </c>
      <c r="N971" s="5">
        <f t="shared" si="49"/>
        <v>720</v>
      </c>
      <c r="O971" s="82">
        <v>0.18</v>
      </c>
      <c r="P971" s="9">
        <f t="shared" si="50"/>
        <v>129.6</v>
      </c>
      <c r="Q971" s="5">
        <v>0</v>
      </c>
      <c r="R971" s="5">
        <v>0</v>
      </c>
      <c r="S971" s="5">
        <f t="shared" si="51"/>
        <v>849.6</v>
      </c>
      <c r="T971" s="1" t="s">
        <v>2887</v>
      </c>
      <c r="U971" s="12" t="s">
        <v>1674</v>
      </c>
      <c r="V971" s="1" t="s">
        <v>343</v>
      </c>
      <c r="W971" s="1" t="s">
        <v>2731</v>
      </c>
      <c r="X971" s="1">
        <v>853690</v>
      </c>
      <c r="Y971" s="2"/>
      <c r="Z971" s="21" t="s">
        <v>3349</v>
      </c>
      <c r="AA971" s="21"/>
      <c r="AB971" s="21">
        <v>4</v>
      </c>
      <c r="AC971" s="12" t="s">
        <v>3364</v>
      </c>
      <c r="AD971" s="2"/>
      <c r="AE971" s="23"/>
      <c r="AF971" s="1"/>
      <c r="AG971" s="26"/>
    </row>
    <row r="972" spans="1:33" s="206" customFormat="1" x14ac:dyDescent="0.25">
      <c r="A972" s="4">
        <v>46074</v>
      </c>
      <c r="B972" s="4">
        <v>46074</v>
      </c>
      <c r="C972" s="6" t="s">
        <v>1730</v>
      </c>
      <c r="D972" s="224" t="s">
        <v>3595</v>
      </c>
      <c r="E972" s="6"/>
      <c r="F972" s="234" t="s">
        <v>1642</v>
      </c>
      <c r="G972" s="6" t="s">
        <v>1642</v>
      </c>
      <c r="H972" s="8">
        <v>4</v>
      </c>
      <c r="I972" s="8">
        <v>4</v>
      </c>
      <c r="J972" s="115">
        <f>Table224[[#This Row],[Qty]]-Table224[[#This Row],[Issue Qty]]</f>
        <v>0</v>
      </c>
      <c r="K972" s="195"/>
      <c r="L972" s="195" t="s">
        <v>3514</v>
      </c>
      <c r="M972" s="5">
        <v>425</v>
      </c>
      <c r="N972" s="5">
        <f t="shared" si="49"/>
        <v>1700</v>
      </c>
      <c r="O972" s="82">
        <v>0.18</v>
      </c>
      <c r="P972" s="9">
        <f t="shared" si="50"/>
        <v>306</v>
      </c>
      <c r="Q972" s="5"/>
      <c r="R972" s="5"/>
      <c r="S972" s="5">
        <f t="shared" si="51"/>
        <v>2006</v>
      </c>
      <c r="T972" s="1" t="s">
        <v>1408</v>
      </c>
      <c r="U972" s="1" t="s">
        <v>1408</v>
      </c>
      <c r="V972" s="1" t="s">
        <v>1645</v>
      </c>
      <c r="W972" s="1" t="s">
        <v>2776</v>
      </c>
      <c r="X972" s="1">
        <v>39189090</v>
      </c>
      <c r="Y972" s="2"/>
      <c r="Z972" s="21" t="s">
        <v>2777</v>
      </c>
      <c r="AA972" s="21"/>
      <c r="AB972" s="21">
        <v>4</v>
      </c>
      <c r="AC972" s="12"/>
      <c r="AD972" s="2"/>
      <c r="AE972" s="23"/>
      <c r="AF972" s="1"/>
      <c r="AG972" s="26"/>
    </row>
    <row r="973" spans="1:33" s="206" customFormat="1" x14ac:dyDescent="0.25">
      <c r="A973" s="4">
        <v>46073</v>
      </c>
      <c r="B973" s="4">
        <v>46076</v>
      </c>
      <c r="C973" s="6" t="s">
        <v>1730</v>
      </c>
      <c r="D973" s="224" t="s">
        <v>3594</v>
      </c>
      <c r="E973" s="6" t="s">
        <v>1644</v>
      </c>
      <c r="F973" s="234" t="s">
        <v>1643</v>
      </c>
      <c r="G973" s="1" t="s">
        <v>1643</v>
      </c>
      <c r="H973" s="8">
        <v>1</v>
      </c>
      <c r="I973" s="8">
        <v>0</v>
      </c>
      <c r="J973" s="115">
        <f>Table224[[#This Row],[Qty]]-Table224[[#This Row],[Issue Qty]]</f>
        <v>1</v>
      </c>
      <c r="K973" s="195"/>
      <c r="L973" s="195" t="s">
        <v>3480</v>
      </c>
      <c r="M973" s="5">
        <v>1247.81</v>
      </c>
      <c r="N973" s="5">
        <f t="shared" si="49"/>
        <v>1247.81</v>
      </c>
      <c r="O973" s="82">
        <v>0.18</v>
      </c>
      <c r="P973" s="9">
        <f t="shared" si="50"/>
        <v>224.60579999999999</v>
      </c>
      <c r="Q973" s="5"/>
      <c r="R973" s="5"/>
      <c r="S973" s="5">
        <f t="shared" si="51"/>
        <v>1472.4158</v>
      </c>
      <c r="T973" s="1" t="s">
        <v>1408</v>
      </c>
      <c r="U973" s="1" t="s">
        <v>1408</v>
      </c>
      <c r="V973" s="1" t="s">
        <v>634</v>
      </c>
      <c r="W973" s="1" t="s">
        <v>2778</v>
      </c>
      <c r="X973" s="1">
        <v>84439990</v>
      </c>
      <c r="Y973" s="2"/>
      <c r="Z973" s="21" t="s">
        <v>1317</v>
      </c>
      <c r="AA973" s="21"/>
      <c r="AB973" s="21"/>
      <c r="AC973" s="12"/>
      <c r="AD973" s="2"/>
      <c r="AE973" s="23"/>
      <c r="AF973" s="1"/>
      <c r="AG973" s="209"/>
    </row>
    <row r="974" spans="1:33" s="206" customFormat="1" x14ac:dyDescent="0.25">
      <c r="A974" s="4">
        <v>46071</v>
      </c>
      <c r="B974" s="4">
        <v>46078</v>
      </c>
      <c r="C974" s="6" t="s">
        <v>1683</v>
      </c>
      <c r="D974" s="224" t="s">
        <v>3493</v>
      </c>
      <c r="E974" s="6" t="s">
        <v>2779</v>
      </c>
      <c r="F974" s="234" t="s">
        <v>1660</v>
      </c>
      <c r="G974" s="6" t="s">
        <v>1660</v>
      </c>
      <c r="H974" s="8">
        <v>50</v>
      </c>
      <c r="I974" s="8">
        <v>10</v>
      </c>
      <c r="J974" s="115">
        <f>Table224[[#This Row],[Qty]]-Table224[[#This Row],[Issue Qty]]</f>
        <v>40</v>
      </c>
      <c r="K974" s="195"/>
      <c r="L974" s="195" t="s">
        <v>3480</v>
      </c>
      <c r="M974" s="5">
        <v>26.300999999999998</v>
      </c>
      <c r="N974" s="5">
        <f t="shared" si="49"/>
        <v>1315.05</v>
      </c>
      <c r="O974" s="82"/>
      <c r="P974" s="9">
        <f t="shared" si="50"/>
        <v>0</v>
      </c>
      <c r="Q974" s="5"/>
      <c r="R974" s="5"/>
      <c r="S974" s="5">
        <f t="shared" si="51"/>
        <v>1315.05</v>
      </c>
      <c r="T974" s="1" t="s">
        <v>1408</v>
      </c>
      <c r="U974" s="1" t="s">
        <v>1408</v>
      </c>
      <c r="V974" s="1" t="s">
        <v>1503</v>
      </c>
      <c r="W974" s="1"/>
      <c r="X974" s="1"/>
      <c r="Y974" s="2"/>
      <c r="Z974" s="21" t="s">
        <v>638</v>
      </c>
      <c r="AA974" s="8" t="s">
        <v>1963</v>
      </c>
      <c r="AB974" s="21">
        <v>10</v>
      </c>
      <c r="AC974" s="12" t="s">
        <v>2931</v>
      </c>
      <c r="AD974" s="2"/>
      <c r="AE974" s="23"/>
      <c r="AF974" s="1"/>
      <c r="AG974" s="209"/>
    </row>
    <row r="975" spans="1:33" s="206" customFormat="1" x14ac:dyDescent="0.25">
      <c r="A975" s="4">
        <v>46083</v>
      </c>
      <c r="B975" s="4">
        <v>46086</v>
      </c>
      <c r="C975" s="1" t="s">
        <v>1991</v>
      </c>
      <c r="D975" s="224" t="s">
        <v>3463</v>
      </c>
      <c r="E975" s="6" t="s">
        <v>1644</v>
      </c>
      <c r="F975" s="234" t="s">
        <v>1661</v>
      </c>
      <c r="G975" s="6" t="s">
        <v>1661</v>
      </c>
      <c r="H975" s="8">
        <v>1</v>
      </c>
      <c r="I975" s="8">
        <v>1</v>
      </c>
      <c r="J975" s="115">
        <f>Table224[[#This Row],[Qty]]-Table224[[#This Row],[Issue Qty]]</f>
        <v>0</v>
      </c>
      <c r="K975" s="195"/>
      <c r="L975" s="195" t="s">
        <v>3480</v>
      </c>
      <c r="M975" s="5">
        <v>127.11</v>
      </c>
      <c r="N975" s="5">
        <f t="shared" si="49"/>
        <v>127.11</v>
      </c>
      <c r="O975" s="82">
        <v>0.18</v>
      </c>
      <c r="P975" s="9">
        <f t="shared" si="50"/>
        <v>22.879799999999999</v>
      </c>
      <c r="Q975" s="5">
        <v>95</v>
      </c>
      <c r="R975" s="5"/>
      <c r="S975" s="5">
        <f t="shared" si="51"/>
        <v>244.9898</v>
      </c>
      <c r="T975" s="1" t="s">
        <v>1408</v>
      </c>
      <c r="U975" s="1" t="s">
        <v>1408</v>
      </c>
      <c r="V975" s="1" t="s">
        <v>899</v>
      </c>
      <c r="W975" s="1" t="s">
        <v>2780</v>
      </c>
      <c r="X975" s="1">
        <v>85437099</v>
      </c>
      <c r="Y975" s="2"/>
      <c r="Z975" s="21"/>
      <c r="AA975" s="21"/>
      <c r="AB975" s="21">
        <v>1</v>
      </c>
      <c r="AC975" s="12" t="s">
        <v>2781</v>
      </c>
      <c r="AD975" s="2"/>
      <c r="AE975" s="23"/>
      <c r="AF975" s="1"/>
      <c r="AG975" s="209"/>
    </row>
    <row r="976" spans="1:33" s="206" customFormat="1" x14ac:dyDescent="0.25">
      <c r="A976" s="4">
        <v>46086</v>
      </c>
      <c r="B976" s="4">
        <v>46088</v>
      </c>
      <c r="C976" s="6" t="s">
        <v>54</v>
      </c>
      <c r="D976" s="224" t="s">
        <v>3489</v>
      </c>
      <c r="E976" s="6" t="s">
        <v>1644</v>
      </c>
      <c r="F976" s="234" t="s">
        <v>1662</v>
      </c>
      <c r="G976" s="6" t="s">
        <v>1662</v>
      </c>
      <c r="H976" s="8">
        <v>2</v>
      </c>
      <c r="I976" s="8">
        <v>2</v>
      </c>
      <c r="J976" s="115">
        <f>Table224[[#This Row],[Qty]]-Table224[[#This Row],[Issue Qty]]</f>
        <v>0</v>
      </c>
      <c r="K976" s="195"/>
      <c r="L976" s="195" t="s">
        <v>3480</v>
      </c>
      <c r="M976" s="10">
        <v>0</v>
      </c>
      <c r="N976" s="10">
        <f t="shared" si="49"/>
        <v>0</v>
      </c>
      <c r="O976" s="82"/>
      <c r="P976" s="79">
        <f t="shared" si="50"/>
        <v>0</v>
      </c>
      <c r="Q976" s="10"/>
      <c r="R976" s="10"/>
      <c r="S976" s="10">
        <f t="shared" si="51"/>
        <v>0</v>
      </c>
      <c r="T976" s="1" t="s">
        <v>2887</v>
      </c>
      <c r="U976" s="1" t="s">
        <v>633</v>
      </c>
      <c r="V976" s="1" t="s">
        <v>1519</v>
      </c>
      <c r="W976" s="1">
        <v>169</v>
      </c>
      <c r="X976" s="1"/>
      <c r="Y976" s="2"/>
      <c r="Z976" s="21" t="s">
        <v>48</v>
      </c>
      <c r="AA976" s="21"/>
      <c r="AB976" s="21">
        <v>2</v>
      </c>
      <c r="AC976" s="12" t="s">
        <v>1368</v>
      </c>
      <c r="AD976" s="2"/>
      <c r="AE976" s="23"/>
      <c r="AF976" s="1"/>
      <c r="AG976" s="26"/>
    </row>
    <row r="977" spans="1:33" s="206" customFormat="1" x14ac:dyDescent="0.25">
      <c r="A977" s="4">
        <v>46090</v>
      </c>
      <c r="B977" s="4">
        <v>46090</v>
      </c>
      <c r="C977" s="6" t="s">
        <v>54</v>
      </c>
      <c r="D977" s="224" t="s">
        <v>3494</v>
      </c>
      <c r="E977" s="6" t="s">
        <v>2062</v>
      </c>
      <c r="F977" s="234" t="s">
        <v>810</v>
      </c>
      <c r="G977" s="1" t="s">
        <v>810</v>
      </c>
      <c r="H977" s="8">
        <v>1</v>
      </c>
      <c r="I977" s="8">
        <v>0</v>
      </c>
      <c r="J977" s="115">
        <f>Table224[[#This Row],[Qty]]-Table224[[#This Row],[Issue Qty]]</f>
        <v>1</v>
      </c>
      <c r="K977" s="195"/>
      <c r="L977" s="195" t="s">
        <v>3480</v>
      </c>
      <c r="M977" s="10">
        <v>3600</v>
      </c>
      <c r="N977" s="5">
        <f t="shared" si="49"/>
        <v>3600</v>
      </c>
      <c r="O977" s="82">
        <v>0.18</v>
      </c>
      <c r="P977" s="9">
        <f t="shared" si="50"/>
        <v>648</v>
      </c>
      <c r="Q977" s="10"/>
      <c r="R977" s="10"/>
      <c r="S977" s="5">
        <f t="shared" si="51"/>
        <v>4248</v>
      </c>
      <c r="T977" s="1" t="s">
        <v>606</v>
      </c>
      <c r="U977" s="1" t="s">
        <v>606</v>
      </c>
      <c r="V977" s="1" t="s">
        <v>1670</v>
      </c>
      <c r="W977" s="1" t="s">
        <v>2782</v>
      </c>
      <c r="X977" s="1"/>
      <c r="Y977" s="2"/>
      <c r="Z977" s="21" t="s">
        <v>809</v>
      </c>
      <c r="AA977" s="21"/>
      <c r="AB977" s="21"/>
      <c r="AC977" s="12"/>
      <c r="AD977" s="2"/>
      <c r="AE977" s="23"/>
      <c r="AF977" s="1"/>
      <c r="AG977" s="209"/>
    </row>
    <row r="978" spans="1:33" s="206" customFormat="1" x14ac:dyDescent="0.25">
      <c r="A978" s="4">
        <v>46093</v>
      </c>
      <c r="B978" s="4">
        <v>46094</v>
      </c>
      <c r="C978" s="6" t="s">
        <v>1730</v>
      </c>
      <c r="D978" s="224" t="s">
        <v>1730</v>
      </c>
      <c r="E978" s="6" t="s">
        <v>1644</v>
      </c>
      <c r="F978" s="234" t="s">
        <v>1665</v>
      </c>
      <c r="G978" s="1" t="s">
        <v>1665</v>
      </c>
      <c r="H978" s="8">
        <v>6</v>
      </c>
      <c r="I978" s="8"/>
      <c r="J978" s="115">
        <f>Table224[[#This Row],[Qty]]-Table224[[#This Row],[Issue Qty]]</f>
        <v>6</v>
      </c>
      <c r="K978" s="195"/>
      <c r="L978" s="195" t="s">
        <v>3480</v>
      </c>
      <c r="M978" s="10">
        <v>26.37</v>
      </c>
      <c r="N978" s="5">
        <f t="shared" si="49"/>
        <v>158.22</v>
      </c>
      <c r="O978" s="82">
        <v>0.18</v>
      </c>
      <c r="P978" s="9">
        <f t="shared" si="50"/>
        <v>28.479599999999998</v>
      </c>
      <c r="Q978" s="5"/>
      <c r="R978" s="5"/>
      <c r="S978" s="5">
        <f t="shared" si="51"/>
        <v>186.6996</v>
      </c>
      <c r="T978" s="1" t="s">
        <v>1408</v>
      </c>
      <c r="U978" s="1" t="s">
        <v>1408</v>
      </c>
      <c r="V978" s="6" t="s">
        <v>634</v>
      </c>
      <c r="W978" s="1" t="s">
        <v>2784</v>
      </c>
      <c r="X978" s="1">
        <v>84799090</v>
      </c>
      <c r="Y978" s="2"/>
      <c r="Z978" s="21" t="s">
        <v>944</v>
      </c>
      <c r="AA978" s="21"/>
      <c r="AB978" s="21"/>
      <c r="AC978" s="12"/>
      <c r="AD978" s="2"/>
      <c r="AE978" s="23"/>
      <c r="AF978" s="1"/>
      <c r="AG978" s="26"/>
    </row>
    <row r="979" spans="1:33" s="206" customFormat="1" x14ac:dyDescent="0.25">
      <c r="A979" s="4">
        <v>46093</v>
      </c>
      <c r="B979" s="4">
        <v>46094</v>
      </c>
      <c r="C979" s="6" t="s">
        <v>1730</v>
      </c>
      <c r="D979" s="6" t="s">
        <v>1730</v>
      </c>
      <c r="E979" s="6"/>
      <c r="F979" s="234" t="s">
        <v>1664</v>
      </c>
      <c r="G979" s="1" t="s">
        <v>1664</v>
      </c>
      <c r="H979" s="8">
        <v>7</v>
      </c>
      <c r="I979" s="8">
        <v>7</v>
      </c>
      <c r="J979" s="115">
        <f>Table224[[#This Row],[Qty]]-Table224[[#This Row],[Issue Qty]]</f>
        <v>0</v>
      </c>
      <c r="K979" s="195"/>
      <c r="L979" s="195" t="s">
        <v>3480</v>
      </c>
      <c r="M979" s="10">
        <v>491.01</v>
      </c>
      <c r="N979" s="5">
        <f t="shared" si="49"/>
        <v>3437.0699999999997</v>
      </c>
      <c r="O979" s="82">
        <v>0.18</v>
      </c>
      <c r="P979" s="9">
        <f t="shared" si="50"/>
        <v>618.67259999999987</v>
      </c>
      <c r="Q979" s="5"/>
      <c r="R979" s="5"/>
      <c r="S979" s="5">
        <f t="shared" si="51"/>
        <v>4055.7425999999996</v>
      </c>
      <c r="T979" s="1" t="s">
        <v>1408</v>
      </c>
      <c r="U979" s="1" t="s">
        <v>1408</v>
      </c>
      <c r="V979" s="6" t="s">
        <v>634</v>
      </c>
      <c r="W979" s="1" t="s">
        <v>2784</v>
      </c>
      <c r="X979" s="1">
        <v>84799090</v>
      </c>
      <c r="Y979" s="2"/>
      <c r="Z979" s="21" t="s">
        <v>398</v>
      </c>
      <c r="AA979" s="21"/>
      <c r="AB979" s="21">
        <v>7</v>
      </c>
      <c r="AC979" s="12" t="s">
        <v>3164</v>
      </c>
      <c r="AD979" s="2"/>
      <c r="AE979" s="23"/>
      <c r="AF979" s="1"/>
      <c r="AG979" s="209"/>
    </row>
    <row r="980" spans="1:33" s="206" customFormat="1" x14ac:dyDescent="0.25">
      <c r="A980" s="4">
        <v>46093</v>
      </c>
      <c r="B980" s="4">
        <v>46094</v>
      </c>
      <c r="C980" s="6" t="s">
        <v>1730</v>
      </c>
      <c r="D980" s="224" t="s">
        <v>1730</v>
      </c>
      <c r="E980" s="6" t="s">
        <v>1644</v>
      </c>
      <c r="F980" s="234" t="s">
        <v>1666</v>
      </c>
      <c r="G980" s="1" t="s">
        <v>1666</v>
      </c>
      <c r="H980" s="8">
        <v>6</v>
      </c>
      <c r="I980" s="8"/>
      <c r="J980" s="115">
        <f>Table224[[#This Row],[Qty]]-Table224[[#This Row],[Issue Qty]]</f>
        <v>6</v>
      </c>
      <c r="K980" s="195"/>
      <c r="L980" s="195" t="s">
        <v>3480</v>
      </c>
      <c r="M980" s="10">
        <v>199.15</v>
      </c>
      <c r="N980" s="5">
        <f t="shared" si="49"/>
        <v>1194.9000000000001</v>
      </c>
      <c r="O980" s="82">
        <v>0.18</v>
      </c>
      <c r="P980" s="9">
        <f t="shared" si="50"/>
        <v>215.08200000000002</v>
      </c>
      <c r="Q980" s="5">
        <v>258</v>
      </c>
      <c r="R980" s="5"/>
      <c r="S980" s="5">
        <f t="shared" si="51"/>
        <v>1667.9820000000002</v>
      </c>
      <c r="T980" s="1" t="s">
        <v>1408</v>
      </c>
      <c r="U980" s="1" t="s">
        <v>1408</v>
      </c>
      <c r="V980" s="6" t="s">
        <v>634</v>
      </c>
      <c r="W980" s="1" t="s">
        <v>2784</v>
      </c>
      <c r="X980" s="1">
        <v>84799090</v>
      </c>
      <c r="Y980" s="2"/>
      <c r="Z980" s="21" t="s">
        <v>944</v>
      </c>
      <c r="AA980" s="21"/>
      <c r="AB980" s="21"/>
      <c r="AC980" s="12"/>
      <c r="AD980" s="2"/>
      <c r="AE980" s="23"/>
      <c r="AF980" s="1"/>
      <c r="AG980" s="26"/>
    </row>
    <row r="981" spans="1:33" s="206" customFormat="1" ht="21" customHeight="1" x14ac:dyDescent="0.25">
      <c r="A981" s="4" t="s">
        <v>1644</v>
      </c>
      <c r="B981" s="4">
        <v>46101</v>
      </c>
      <c r="C981" s="6" t="s">
        <v>1695</v>
      </c>
      <c r="D981" s="6" t="s">
        <v>3499</v>
      </c>
      <c r="E981" s="6" t="s">
        <v>2785</v>
      </c>
      <c r="F981" s="234" t="s">
        <v>1036</v>
      </c>
      <c r="G981" s="1" t="s">
        <v>1036</v>
      </c>
      <c r="H981" s="8">
        <v>2</v>
      </c>
      <c r="I981" s="8">
        <v>1</v>
      </c>
      <c r="J981" s="115">
        <f>Table224[[#This Row],[Qty]]-Table224[[#This Row],[Issue Qty]]</f>
        <v>1</v>
      </c>
      <c r="K981" s="195"/>
      <c r="L981" s="195" t="s">
        <v>3480</v>
      </c>
      <c r="M981" s="10">
        <v>0</v>
      </c>
      <c r="N981" s="5">
        <f t="shared" si="49"/>
        <v>0</v>
      </c>
      <c r="O981" s="82">
        <v>0</v>
      </c>
      <c r="P981" s="9">
        <f t="shared" si="50"/>
        <v>0</v>
      </c>
      <c r="Q981" s="5"/>
      <c r="R981" s="5"/>
      <c r="S981" s="5">
        <f t="shared" si="51"/>
        <v>0</v>
      </c>
      <c r="T981" s="1" t="s">
        <v>1408</v>
      </c>
      <c r="U981" s="1" t="s">
        <v>1408</v>
      </c>
      <c r="V981" s="1"/>
      <c r="W981" s="1" t="s">
        <v>1644</v>
      </c>
      <c r="X981" s="1" t="s">
        <v>1644</v>
      </c>
      <c r="Y981" s="2"/>
      <c r="Z981" s="21" t="s">
        <v>1624</v>
      </c>
      <c r="AA981" s="21"/>
      <c r="AB981" s="21">
        <v>1</v>
      </c>
      <c r="AC981" s="12" t="s">
        <v>3655</v>
      </c>
      <c r="AD981" s="2" t="s">
        <v>2786</v>
      </c>
      <c r="AE981" s="23"/>
      <c r="AF981" s="1"/>
      <c r="AG981" s="26" t="s">
        <v>2787</v>
      </c>
    </row>
    <row r="982" spans="1:33" s="206" customFormat="1" x14ac:dyDescent="0.25">
      <c r="A982" s="4">
        <v>46105</v>
      </c>
      <c r="B982" s="4">
        <v>46107</v>
      </c>
      <c r="C982" s="6" t="s">
        <v>1688</v>
      </c>
      <c r="D982" s="224" t="s">
        <v>3455</v>
      </c>
      <c r="E982" s="6" t="s">
        <v>2795</v>
      </c>
      <c r="F982" s="234" t="s">
        <v>1669</v>
      </c>
      <c r="G982" s="1" t="s">
        <v>1669</v>
      </c>
      <c r="H982" s="8">
        <v>3</v>
      </c>
      <c r="I982" s="8"/>
      <c r="J982" s="115">
        <f>Table224[[#This Row],[Qty]]-Table224[[#This Row],[Issue Qty]]</f>
        <v>3</v>
      </c>
      <c r="K982" s="195"/>
      <c r="L982" s="195" t="s">
        <v>3480</v>
      </c>
      <c r="M982" s="10">
        <v>13034.65</v>
      </c>
      <c r="N982" s="5">
        <f t="shared" si="49"/>
        <v>39103.949999999997</v>
      </c>
      <c r="O982" s="82">
        <v>0.18</v>
      </c>
      <c r="P982" s="9">
        <f t="shared" si="50"/>
        <v>7038.7109999999993</v>
      </c>
      <c r="Q982" s="5"/>
      <c r="R982" s="5">
        <v>0.34</v>
      </c>
      <c r="S982" s="5">
        <f t="shared" si="51"/>
        <v>46143.000999999989</v>
      </c>
      <c r="T982" s="1" t="s">
        <v>2887</v>
      </c>
      <c r="U982" s="12" t="s">
        <v>1674</v>
      </c>
      <c r="V982" s="1" t="s">
        <v>312</v>
      </c>
      <c r="W982" s="1" t="s">
        <v>2796</v>
      </c>
      <c r="X982" s="1">
        <v>85177100</v>
      </c>
      <c r="Y982" s="2"/>
      <c r="Z982" s="21" t="s">
        <v>327</v>
      </c>
      <c r="AA982" s="21" t="s">
        <v>328</v>
      </c>
      <c r="AB982" s="21"/>
      <c r="AC982" s="12" t="s">
        <v>2790</v>
      </c>
      <c r="AD982" s="2"/>
      <c r="AE982" s="23"/>
      <c r="AF982" s="1"/>
      <c r="AG982" s="209"/>
    </row>
    <row r="983" spans="1:33" s="206" customFormat="1" x14ac:dyDescent="0.25">
      <c r="A983" s="4">
        <v>46106</v>
      </c>
      <c r="B983" s="4">
        <v>46107</v>
      </c>
      <c r="C983" s="1" t="s">
        <v>1991</v>
      </c>
      <c r="D983" s="186" t="s">
        <v>3443</v>
      </c>
      <c r="E983" s="6" t="s">
        <v>1741</v>
      </c>
      <c r="F983" s="257" t="s">
        <v>165</v>
      </c>
      <c r="G983" s="1" t="s">
        <v>165</v>
      </c>
      <c r="H983" s="8">
        <v>2</v>
      </c>
      <c r="I983" s="8">
        <v>2</v>
      </c>
      <c r="J983" s="115">
        <f>Table224[[#This Row],[Qty]]-Table224[[#This Row],[Issue Qty]]</f>
        <v>0</v>
      </c>
      <c r="K983" s="332">
        <v>2</v>
      </c>
      <c r="L983" s="195" t="s">
        <v>3480</v>
      </c>
      <c r="M983" s="10">
        <v>2500</v>
      </c>
      <c r="N983" s="5">
        <f t="shared" si="49"/>
        <v>5000</v>
      </c>
      <c r="O983" s="82">
        <v>0.05</v>
      </c>
      <c r="P983" s="9">
        <f t="shared" si="50"/>
        <v>250</v>
      </c>
      <c r="Q983" s="5"/>
      <c r="R983" s="5"/>
      <c r="S983" s="5">
        <f t="shared" si="51"/>
        <v>5250</v>
      </c>
      <c r="T983" s="1" t="s">
        <v>2887</v>
      </c>
      <c r="U983" s="12" t="s">
        <v>1674</v>
      </c>
      <c r="V983" s="1" t="s">
        <v>1420</v>
      </c>
      <c r="W983" s="1" t="s">
        <v>2792</v>
      </c>
      <c r="X983" s="1">
        <v>88073020</v>
      </c>
      <c r="Y983" s="2"/>
      <c r="Z983" s="21" t="s">
        <v>25</v>
      </c>
      <c r="AA983" s="21"/>
      <c r="AB983" s="21">
        <v>6</v>
      </c>
      <c r="AC983" s="12" t="s">
        <v>3359</v>
      </c>
      <c r="AD983" s="2"/>
      <c r="AE983" s="23"/>
      <c r="AF983" s="1"/>
      <c r="AG983" s="26"/>
    </row>
    <row r="984" spans="1:33" s="206" customFormat="1" ht="33.75" customHeight="1" x14ac:dyDescent="0.25">
      <c r="A984" s="4">
        <v>46106</v>
      </c>
      <c r="B984" s="4">
        <v>46107</v>
      </c>
      <c r="C984" s="112" t="s">
        <v>1683</v>
      </c>
      <c r="D984" s="224" t="s">
        <v>3431</v>
      </c>
      <c r="E984" s="6" t="s">
        <v>2791</v>
      </c>
      <c r="F984" s="234" t="s">
        <v>1667</v>
      </c>
      <c r="G984" s="1" t="s">
        <v>1667</v>
      </c>
      <c r="H984" s="8">
        <v>6</v>
      </c>
      <c r="I984" s="8"/>
      <c r="J984" s="115">
        <f>Table224[[#This Row],[Qty]]-Table224[[#This Row],[Issue Qty]]</f>
        <v>6</v>
      </c>
      <c r="K984" s="195"/>
      <c r="L984" s="195" t="s">
        <v>3480</v>
      </c>
      <c r="M984" s="10">
        <v>8900</v>
      </c>
      <c r="N984" s="5">
        <f t="shared" si="49"/>
        <v>53400</v>
      </c>
      <c r="O984" s="82">
        <v>0.05</v>
      </c>
      <c r="P984" s="9">
        <f t="shared" si="50"/>
        <v>2670</v>
      </c>
      <c r="Q984" s="5"/>
      <c r="R984" s="5"/>
      <c r="S984" s="5">
        <f t="shared" si="51"/>
        <v>56070</v>
      </c>
      <c r="T984" s="1" t="s">
        <v>2887</v>
      </c>
      <c r="U984" s="12" t="s">
        <v>1674</v>
      </c>
      <c r="V984" s="1" t="s">
        <v>1420</v>
      </c>
      <c r="W984" s="1" t="s">
        <v>2792</v>
      </c>
      <c r="X984" s="1">
        <v>88073020</v>
      </c>
      <c r="Y984" s="2"/>
      <c r="Z984" s="21" t="s">
        <v>573</v>
      </c>
      <c r="AA984" s="21" t="s">
        <v>2793</v>
      </c>
      <c r="AB984" s="21"/>
      <c r="AC984" s="12"/>
      <c r="AD984" s="2"/>
      <c r="AE984" s="23"/>
      <c r="AF984" s="1"/>
      <c r="AG984" s="209"/>
    </row>
    <row r="985" spans="1:33" s="206" customFormat="1" x14ac:dyDescent="0.25">
      <c r="A985" s="4">
        <v>46106</v>
      </c>
      <c r="B985" s="4">
        <v>46107</v>
      </c>
      <c r="C985" s="112" t="s">
        <v>54</v>
      </c>
      <c r="D985" s="186" t="s">
        <v>3430</v>
      </c>
      <c r="E985" s="6" t="s">
        <v>2794</v>
      </c>
      <c r="F985" s="234" t="s">
        <v>1668</v>
      </c>
      <c r="G985" s="1" t="s">
        <v>1668</v>
      </c>
      <c r="H985" s="8">
        <v>6</v>
      </c>
      <c r="I985" s="8"/>
      <c r="J985" s="115">
        <f>Table224[[#This Row],[Qty]]-Table224[[#This Row],[Issue Qty]]</f>
        <v>6</v>
      </c>
      <c r="K985" s="195"/>
      <c r="L985" s="195" t="s">
        <v>3479</v>
      </c>
      <c r="M985" s="10">
        <v>12500</v>
      </c>
      <c r="N985" s="5">
        <f t="shared" si="49"/>
        <v>75000</v>
      </c>
      <c r="O985" s="82">
        <v>0.05</v>
      </c>
      <c r="P985" s="9">
        <f t="shared" si="50"/>
        <v>3750</v>
      </c>
      <c r="Q985" s="5"/>
      <c r="R985" s="5"/>
      <c r="S985" s="5">
        <f t="shared" si="51"/>
        <v>78750</v>
      </c>
      <c r="T985" s="1" t="s">
        <v>2887</v>
      </c>
      <c r="U985" s="12" t="s">
        <v>1674</v>
      </c>
      <c r="V985" s="1" t="s">
        <v>1420</v>
      </c>
      <c r="W985" s="1" t="s">
        <v>2792</v>
      </c>
      <c r="X985" s="1">
        <v>88073020</v>
      </c>
      <c r="Y985" s="2"/>
      <c r="Z985" s="21" t="s">
        <v>126</v>
      </c>
      <c r="AA985" s="21"/>
      <c r="AB985" s="21"/>
      <c r="AC985" s="12"/>
      <c r="AD985" s="2"/>
      <c r="AE985" s="23"/>
      <c r="AF985" s="1"/>
      <c r="AG985" s="26"/>
    </row>
    <row r="986" spans="1:33" s="206" customFormat="1" x14ac:dyDescent="0.25">
      <c r="A986" s="4">
        <v>46108</v>
      </c>
      <c r="B986" s="4">
        <v>46108</v>
      </c>
      <c r="C986" s="1" t="s">
        <v>1991</v>
      </c>
      <c r="D986" s="224" t="s">
        <v>3490</v>
      </c>
      <c r="E986" s="6" t="s">
        <v>2785</v>
      </c>
      <c r="F986" s="234" t="s">
        <v>1584</v>
      </c>
      <c r="G986" s="6" t="s">
        <v>1584</v>
      </c>
      <c r="H986" s="8">
        <v>1</v>
      </c>
      <c r="I986" s="8">
        <v>0</v>
      </c>
      <c r="J986" s="115">
        <f>Table224[[#This Row],[Qty]]-Table224[[#This Row],[Issue Qty]]</f>
        <v>1</v>
      </c>
      <c r="K986" s="195"/>
      <c r="L986" s="195" t="s">
        <v>3480</v>
      </c>
      <c r="M986" s="10">
        <v>26500</v>
      </c>
      <c r="N986" s="5">
        <f t="shared" si="49"/>
        <v>26500</v>
      </c>
      <c r="O986" s="82">
        <v>0.05</v>
      </c>
      <c r="P986" s="9">
        <f t="shared" si="50"/>
        <v>1325</v>
      </c>
      <c r="Q986" s="10"/>
      <c r="R986" s="10"/>
      <c r="S986" s="5">
        <f t="shared" si="51"/>
        <v>27825</v>
      </c>
      <c r="T986" s="1" t="s">
        <v>1673</v>
      </c>
      <c r="U986" s="1" t="s">
        <v>1673</v>
      </c>
      <c r="V986" s="1" t="s">
        <v>444</v>
      </c>
      <c r="W986" s="1" t="s">
        <v>2788</v>
      </c>
      <c r="X986" s="1">
        <v>88073000</v>
      </c>
      <c r="Y986" s="2"/>
      <c r="Z986" s="21" t="s">
        <v>3567</v>
      </c>
      <c r="AA986" s="21" t="s">
        <v>53</v>
      </c>
      <c r="AB986" s="21">
        <v>2</v>
      </c>
      <c r="AC986" s="12" t="s">
        <v>2942</v>
      </c>
      <c r="AD986" s="2"/>
      <c r="AE986" s="23"/>
      <c r="AF986" s="1"/>
      <c r="AG986" s="209"/>
    </row>
    <row r="987" spans="1:33" s="267" customFormat="1" x14ac:dyDescent="0.25">
      <c r="A987" s="4">
        <v>46112</v>
      </c>
      <c r="B987" s="4">
        <v>46112</v>
      </c>
      <c r="C987" s="1" t="s">
        <v>1991</v>
      </c>
      <c r="D987" s="224" t="s">
        <v>3634</v>
      </c>
      <c r="E987" s="6" t="s">
        <v>2868</v>
      </c>
      <c r="F987" s="289" t="s">
        <v>2869</v>
      </c>
      <c r="G987" s="6" t="s">
        <v>2869</v>
      </c>
      <c r="H987" s="8">
        <v>10</v>
      </c>
      <c r="I987" s="8">
        <v>10</v>
      </c>
      <c r="J987" s="115">
        <f>Table224[[#This Row],[Qty]]-Table224[[#This Row],[Issue Qty]]</f>
        <v>0</v>
      </c>
      <c r="K987" s="195"/>
      <c r="L987" s="195" t="s">
        <v>3480</v>
      </c>
      <c r="M987" s="48">
        <v>15969</v>
      </c>
      <c r="N987" s="5">
        <f t="shared" si="49"/>
        <v>159690</v>
      </c>
      <c r="O987" s="82">
        <v>0.18</v>
      </c>
      <c r="P987" s="9">
        <f t="shared" si="50"/>
        <v>28744.2</v>
      </c>
      <c r="Q987" s="71"/>
      <c r="R987" s="71"/>
      <c r="S987" s="5">
        <f t="shared" si="51"/>
        <v>188434.2</v>
      </c>
      <c r="T987" s="1" t="s">
        <v>2844</v>
      </c>
      <c r="U987" s="1" t="s">
        <v>2844</v>
      </c>
      <c r="V987" s="1" t="s">
        <v>2845</v>
      </c>
      <c r="W987" s="1" t="s">
        <v>2853</v>
      </c>
      <c r="X987" s="1">
        <v>88079000</v>
      </c>
      <c r="Y987" s="2"/>
      <c r="Z987" s="21"/>
      <c r="AA987" s="21"/>
      <c r="AB987" s="21"/>
      <c r="AC987" s="12"/>
      <c r="AD987" s="2"/>
      <c r="AE987" s="23"/>
      <c r="AF987" s="1"/>
      <c r="AG987" s="26"/>
    </row>
    <row r="988" spans="1:33" s="206" customFormat="1" ht="30" x14ac:dyDescent="0.25">
      <c r="A988" s="4">
        <v>46112</v>
      </c>
      <c r="B988" s="4">
        <v>46112</v>
      </c>
      <c r="C988" s="6" t="s">
        <v>1683</v>
      </c>
      <c r="D988" s="224" t="s">
        <v>3431</v>
      </c>
      <c r="E988" s="6" t="s">
        <v>2856</v>
      </c>
      <c r="F988" s="289" t="s">
        <v>2857</v>
      </c>
      <c r="G988" s="6" t="s">
        <v>2857</v>
      </c>
      <c r="H988" s="8">
        <v>50</v>
      </c>
      <c r="I988" s="8">
        <v>50</v>
      </c>
      <c r="J988" s="115">
        <f>Table224[[#This Row],[Qty]]-Table224[[#This Row],[Issue Qty]]</f>
        <v>0</v>
      </c>
      <c r="K988" s="195"/>
      <c r="L988" s="195" t="s">
        <v>3480</v>
      </c>
      <c r="M988" s="81">
        <v>1544</v>
      </c>
      <c r="N988" s="10">
        <f t="shared" si="49"/>
        <v>77200</v>
      </c>
      <c r="O988" s="82">
        <v>0.18</v>
      </c>
      <c r="P988" s="79">
        <f t="shared" si="50"/>
        <v>13896</v>
      </c>
      <c r="Q988" s="310"/>
      <c r="R988" s="81"/>
      <c r="S988" s="10">
        <f t="shared" si="51"/>
        <v>91096</v>
      </c>
      <c r="T988" s="1" t="s">
        <v>2844</v>
      </c>
      <c r="U988" s="1" t="s">
        <v>2844</v>
      </c>
      <c r="V988" s="1" t="s">
        <v>2845</v>
      </c>
      <c r="W988" s="1" t="s">
        <v>2853</v>
      </c>
      <c r="X988" s="1">
        <v>88079000</v>
      </c>
      <c r="Y988" s="2"/>
      <c r="Z988" s="21"/>
      <c r="AA988" s="21"/>
      <c r="AB988" s="21">
        <v>50</v>
      </c>
      <c r="AC988" s="12" t="s">
        <v>3442</v>
      </c>
      <c r="AD988" s="2"/>
      <c r="AE988" s="23"/>
      <c r="AF988" s="1"/>
      <c r="AG988" s="26"/>
    </row>
    <row r="989" spans="1:33" s="206" customFormat="1" x14ac:dyDescent="0.25">
      <c r="A989" s="4">
        <v>46112</v>
      </c>
      <c r="B989" s="4">
        <v>46112</v>
      </c>
      <c r="C989" s="1" t="s">
        <v>1991</v>
      </c>
      <c r="D989" s="224" t="s">
        <v>3464</v>
      </c>
      <c r="E989" s="6" t="s">
        <v>1892</v>
      </c>
      <c r="F989" s="289" t="s">
        <v>501</v>
      </c>
      <c r="G989" s="6" t="s">
        <v>501</v>
      </c>
      <c r="H989" s="8">
        <v>50</v>
      </c>
      <c r="I989" s="73">
        <v>50</v>
      </c>
      <c r="J989" s="73">
        <f>Table224[[#This Row],[Qty]]-Table224[[#This Row],[Issue Qty]]</f>
        <v>0</v>
      </c>
      <c r="K989" s="73"/>
      <c r="L989" s="73" t="s">
        <v>3480</v>
      </c>
      <c r="M989" s="263">
        <v>35350</v>
      </c>
      <c r="N989" s="67">
        <f t="shared" si="49"/>
        <v>1767500</v>
      </c>
      <c r="O989" s="82">
        <v>0.05</v>
      </c>
      <c r="P989" s="68">
        <f t="shared" si="50"/>
        <v>88375</v>
      </c>
      <c r="Q989" s="263"/>
      <c r="R989" s="263"/>
      <c r="S989" s="5">
        <f t="shared" si="51"/>
        <v>1855875</v>
      </c>
      <c r="T989" s="1" t="s">
        <v>2844</v>
      </c>
      <c r="U989" s="1" t="s">
        <v>2844</v>
      </c>
      <c r="V989" s="1" t="s">
        <v>2845</v>
      </c>
      <c r="W989" s="1" t="s">
        <v>2850</v>
      </c>
      <c r="X989" s="1">
        <v>88073000</v>
      </c>
      <c r="Y989" s="2"/>
      <c r="Z989" s="21"/>
      <c r="AA989" s="21"/>
      <c r="AB989" s="21">
        <v>50</v>
      </c>
      <c r="AC989" s="12"/>
      <c r="AD989" s="2"/>
      <c r="AE989" s="23"/>
      <c r="AF989" s="1"/>
      <c r="AG989" s="26"/>
    </row>
    <row r="990" spans="1:33" s="206" customFormat="1" x14ac:dyDescent="0.25">
      <c r="A990" s="4">
        <v>46112</v>
      </c>
      <c r="B990" s="4">
        <v>46112</v>
      </c>
      <c r="C990" s="1" t="s">
        <v>1991</v>
      </c>
      <c r="D990" s="224" t="s">
        <v>3464</v>
      </c>
      <c r="E990" s="6" t="s">
        <v>1892</v>
      </c>
      <c r="F990" s="289" t="s">
        <v>501</v>
      </c>
      <c r="G990" s="6" t="s">
        <v>501</v>
      </c>
      <c r="H990" s="69">
        <v>5</v>
      </c>
      <c r="I990" s="69">
        <v>5</v>
      </c>
      <c r="J990" s="69">
        <f>Table224[[#This Row],[Qty]]-Table224[[#This Row],[Issue Qty]]</f>
        <v>0</v>
      </c>
      <c r="K990" s="69"/>
      <c r="L990" s="69" t="s">
        <v>3480</v>
      </c>
      <c r="M990" s="48">
        <v>35715</v>
      </c>
      <c r="N990" s="67">
        <f t="shared" si="49"/>
        <v>178575</v>
      </c>
      <c r="O990" s="82">
        <v>0.18</v>
      </c>
      <c r="P990" s="68">
        <f t="shared" si="50"/>
        <v>32143.5</v>
      </c>
      <c r="Q990" s="71"/>
      <c r="R990" s="71"/>
      <c r="S990" s="5">
        <f t="shared" si="51"/>
        <v>210718.5</v>
      </c>
      <c r="T990" s="1" t="s">
        <v>2844</v>
      </c>
      <c r="U990" s="70" t="s">
        <v>2844</v>
      </c>
      <c r="V990" s="1" t="s">
        <v>2845</v>
      </c>
      <c r="W990" s="1" t="s">
        <v>2853</v>
      </c>
      <c r="X990" s="1">
        <v>85437099</v>
      </c>
      <c r="Y990" s="2"/>
      <c r="Z990" s="21"/>
      <c r="AA990" s="21"/>
      <c r="AB990" s="21">
        <v>5</v>
      </c>
      <c r="AC990" s="12"/>
      <c r="AD990" s="2"/>
      <c r="AE990" s="6"/>
      <c r="AF990" s="1"/>
      <c r="AG990" s="26"/>
    </row>
    <row r="991" spans="1:33" s="206" customFormat="1" ht="45" x14ac:dyDescent="0.25">
      <c r="A991" s="4">
        <v>46112</v>
      </c>
      <c r="B991" s="4">
        <v>46112</v>
      </c>
      <c r="C991" s="112" t="s">
        <v>1688</v>
      </c>
      <c r="D991" s="186" t="s">
        <v>3450</v>
      </c>
      <c r="E991" s="6" t="s">
        <v>2851</v>
      </c>
      <c r="F991" s="289" t="s">
        <v>2852</v>
      </c>
      <c r="G991" s="6" t="s">
        <v>2852</v>
      </c>
      <c r="H991" s="69">
        <v>50</v>
      </c>
      <c r="I991" s="69">
        <v>50</v>
      </c>
      <c r="J991" s="69">
        <f>Table224[[#This Row],[Qty]]-Table224[[#This Row],[Issue Qty]]</f>
        <v>0</v>
      </c>
      <c r="K991" s="69"/>
      <c r="L991" s="69" t="s">
        <v>3480</v>
      </c>
      <c r="M991" s="48">
        <v>4030</v>
      </c>
      <c r="N991" s="67">
        <f t="shared" si="49"/>
        <v>201500</v>
      </c>
      <c r="O991" s="82">
        <v>0.18</v>
      </c>
      <c r="P991" s="68">
        <f t="shared" si="50"/>
        <v>36270</v>
      </c>
      <c r="Q991" s="48"/>
      <c r="R991" s="48"/>
      <c r="S991" s="5">
        <f t="shared" si="51"/>
        <v>237770</v>
      </c>
      <c r="T991" s="1" t="s">
        <v>2844</v>
      </c>
      <c r="U991" s="70" t="s">
        <v>2844</v>
      </c>
      <c r="V991" s="1" t="s">
        <v>2845</v>
      </c>
      <c r="W991" s="1" t="s">
        <v>2853</v>
      </c>
      <c r="X991" s="1">
        <v>85269200</v>
      </c>
      <c r="Y991" s="2"/>
      <c r="Z991" s="21"/>
      <c r="AA991" s="21"/>
      <c r="AB991" s="21">
        <v>50</v>
      </c>
      <c r="AC991" s="12"/>
      <c r="AD991" s="2"/>
      <c r="AE991" s="6"/>
      <c r="AF991" s="1"/>
      <c r="AG991" s="26"/>
    </row>
    <row r="992" spans="1:33" s="206" customFormat="1" x14ac:dyDescent="0.25">
      <c r="A992" s="4">
        <v>46112</v>
      </c>
      <c r="B992" s="4">
        <v>46112</v>
      </c>
      <c r="C992" s="1" t="s">
        <v>1991</v>
      </c>
      <c r="D992" s="224" t="s">
        <v>3490</v>
      </c>
      <c r="E992" s="6" t="s">
        <v>2860</v>
      </c>
      <c r="F992" s="289" t="s">
        <v>2861</v>
      </c>
      <c r="G992" s="6" t="s">
        <v>2861</v>
      </c>
      <c r="H992" s="69">
        <v>5</v>
      </c>
      <c r="I992" s="69">
        <v>5</v>
      </c>
      <c r="J992" s="69">
        <f>Table224[[#This Row],[Qty]]-Table224[[#This Row],[Issue Qty]]</f>
        <v>0</v>
      </c>
      <c r="K992" s="69"/>
      <c r="L992" s="69" t="s">
        <v>3480</v>
      </c>
      <c r="M992" s="48">
        <v>130</v>
      </c>
      <c r="N992" s="67">
        <f t="shared" si="49"/>
        <v>650</v>
      </c>
      <c r="O992" s="82">
        <v>0.18</v>
      </c>
      <c r="P992" s="68">
        <f t="shared" si="50"/>
        <v>117</v>
      </c>
      <c r="Q992" s="71"/>
      <c r="R992" s="71"/>
      <c r="S992" s="5">
        <f t="shared" si="51"/>
        <v>767</v>
      </c>
      <c r="T992" s="1" t="s">
        <v>2844</v>
      </c>
      <c r="U992" s="70" t="s">
        <v>2844</v>
      </c>
      <c r="V992" s="1" t="s">
        <v>2845</v>
      </c>
      <c r="W992" s="1" t="s">
        <v>2853</v>
      </c>
      <c r="X992" s="1">
        <v>85176290</v>
      </c>
      <c r="Y992" s="2"/>
      <c r="Z992" s="21"/>
      <c r="AA992" s="21"/>
      <c r="AB992" s="21"/>
      <c r="AC992" s="12"/>
      <c r="AD992" s="2"/>
      <c r="AE992" s="6"/>
      <c r="AF992" s="1"/>
      <c r="AG992" s="26"/>
    </row>
    <row r="993" spans="1:33" s="206" customFormat="1" ht="15" customHeight="1" x14ac:dyDescent="0.25">
      <c r="A993" s="4">
        <v>46112</v>
      </c>
      <c r="B993" s="4">
        <v>46112</v>
      </c>
      <c r="C993" s="6" t="s">
        <v>1683</v>
      </c>
      <c r="D993" s="224" t="s">
        <v>3444</v>
      </c>
      <c r="E993" s="6" t="s">
        <v>2862</v>
      </c>
      <c r="F993" s="289" t="s">
        <v>2863</v>
      </c>
      <c r="G993" s="6" t="s">
        <v>2863</v>
      </c>
      <c r="H993" s="69">
        <v>5</v>
      </c>
      <c r="I993" s="69">
        <v>5</v>
      </c>
      <c r="J993" s="69">
        <f>Table224[[#This Row],[Qty]]-Table224[[#This Row],[Issue Qty]]</f>
        <v>0</v>
      </c>
      <c r="K993" s="69"/>
      <c r="L993" s="195" t="s">
        <v>3480</v>
      </c>
      <c r="M993" s="48">
        <v>287</v>
      </c>
      <c r="N993" s="67">
        <f t="shared" si="49"/>
        <v>1435</v>
      </c>
      <c r="O993" s="82">
        <v>0.18</v>
      </c>
      <c r="P993" s="68">
        <f t="shared" si="50"/>
        <v>258.3</v>
      </c>
      <c r="Q993" s="71"/>
      <c r="R993" s="71"/>
      <c r="S993" s="5">
        <f t="shared" si="51"/>
        <v>1693.3</v>
      </c>
      <c r="T993" s="1" t="s">
        <v>2844</v>
      </c>
      <c r="U993" s="70" t="s">
        <v>2844</v>
      </c>
      <c r="V993" s="1" t="s">
        <v>2845</v>
      </c>
      <c r="W993" s="1" t="s">
        <v>2853</v>
      </c>
      <c r="X993" s="1">
        <v>85044040</v>
      </c>
      <c r="Y993" s="2"/>
      <c r="Z993" s="21"/>
      <c r="AA993" s="21"/>
      <c r="AB993" s="21">
        <v>5</v>
      </c>
      <c r="AC993" s="12" t="s">
        <v>2844</v>
      </c>
      <c r="AD993" s="2"/>
      <c r="AE993" s="6"/>
      <c r="AF993" s="1"/>
      <c r="AG993" s="26"/>
    </row>
    <row r="994" spans="1:33" s="206" customFormat="1" ht="15" customHeight="1" x14ac:dyDescent="0.25">
      <c r="A994" s="4">
        <v>46112</v>
      </c>
      <c r="B994" s="4">
        <v>46112</v>
      </c>
      <c r="C994" s="1" t="s">
        <v>1991</v>
      </c>
      <c r="D994" s="224" t="s">
        <v>3464</v>
      </c>
      <c r="E994" s="6" t="s">
        <v>1828</v>
      </c>
      <c r="F994" s="289" t="s">
        <v>354</v>
      </c>
      <c r="G994" s="6" t="s">
        <v>354</v>
      </c>
      <c r="H994" s="69">
        <v>50</v>
      </c>
      <c r="I994" s="69">
        <v>50</v>
      </c>
      <c r="J994" s="69">
        <f>Table224[[#This Row],[Qty]]-Table224[[#This Row],[Issue Qty]]</f>
        <v>0</v>
      </c>
      <c r="K994" s="69"/>
      <c r="L994" s="69" t="s">
        <v>3480</v>
      </c>
      <c r="M994" s="48">
        <v>5480</v>
      </c>
      <c r="N994" s="67">
        <f t="shared" si="49"/>
        <v>274000</v>
      </c>
      <c r="O994" s="82">
        <v>0.18</v>
      </c>
      <c r="P994" s="68">
        <f t="shared" si="50"/>
        <v>49320</v>
      </c>
      <c r="Q994" s="71"/>
      <c r="R994" s="71"/>
      <c r="S994" s="5">
        <f t="shared" si="51"/>
        <v>323320</v>
      </c>
      <c r="T994" s="1" t="s">
        <v>2844</v>
      </c>
      <c r="U994" s="70" t="s">
        <v>2844</v>
      </c>
      <c r="V994" s="1" t="s">
        <v>2845</v>
      </c>
      <c r="W994" s="1" t="s">
        <v>2853</v>
      </c>
      <c r="X994" s="1">
        <v>85437099</v>
      </c>
      <c r="Y994" s="2"/>
      <c r="Z994" s="21"/>
      <c r="AA994" s="21"/>
      <c r="AB994" s="21"/>
      <c r="AC994" s="12"/>
      <c r="AD994" s="2"/>
      <c r="AE994" s="6"/>
      <c r="AF994" s="1"/>
      <c r="AG994" s="26"/>
    </row>
    <row r="995" spans="1:33" s="206" customFormat="1" ht="15" customHeight="1" x14ac:dyDescent="0.25">
      <c r="A995" s="4">
        <v>46112</v>
      </c>
      <c r="B995" s="4">
        <v>46112</v>
      </c>
      <c r="C995" s="1" t="s">
        <v>1991</v>
      </c>
      <c r="D995" s="224" t="s">
        <v>3492</v>
      </c>
      <c r="E995" s="6" t="s">
        <v>2854</v>
      </c>
      <c r="F995" s="289" t="s">
        <v>2855</v>
      </c>
      <c r="G995" s="6" t="s">
        <v>2855</v>
      </c>
      <c r="H995" s="69">
        <v>50</v>
      </c>
      <c r="I995" s="69">
        <v>50</v>
      </c>
      <c r="J995" s="69">
        <f>Table224[[#This Row],[Qty]]-Table224[[#This Row],[Issue Qty]]</f>
        <v>0</v>
      </c>
      <c r="K995" s="69"/>
      <c r="L995" s="69" t="s">
        <v>3480</v>
      </c>
      <c r="M995" s="48">
        <v>504</v>
      </c>
      <c r="N995" s="67">
        <f t="shared" si="49"/>
        <v>25200</v>
      </c>
      <c r="O995" s="82">
        <v>0.18</v>
      </c>
      <c r="P995" s="68">
        <f t="shared" si="50"/>
        <v>4536</v>
      </c>
      <c r="Q995" s="71"/>
      <c r="R995" s="71"/>
      <c r="S995" s="5">
        <f t="shared" si="51"/>
        <v>29736</v>
      </c>
      <c r="T995" s="1" t="s">
        <v>2844</v>
      </c>
      <c r="U995" s="70" t="s">
        <v>2844</v>
      </c>
      <c r="V995" s="1" t="s">
        <v>2845</v>
      </c>
      <c r="W995" s="1" t="s">
        <v>2853</v>
      </c>
      <c r="X995" s="1">
        <v>85365090</v>
      </c>
      <c r="Y995" s="2"/>
      <c r="Z995" s="21"/>
      <c r="AA995" s="21"/>
      <c r="AB995" s="21"/>
      <c r="AC995" s="12"/>
      <c r="AD995" s="2"/>
      <c r="AE995" s="6"/>
      <c r="AF995" s="1"/>
      <c r="AG995" s="26"/>
    </row>
    <row r="996" spans="1:33" s="206" customFormat="1" x14ac:dyDescent="0.25">
      <c r="A996" s="4"/>
      <c r="B996" s="4">
        <v>46112</v>
      </c>
      <c r="C996" s="114" t="s">
        <v>54</v>
      </c>
      <c r="D996" s="224" t="s">
        <v>3469</v>
      </c>
      <c r="E996" s="1" t="s">
        <v>2207</v>
      </c>
      <c r="F996" s="102" t="s">
        <v>1005</v>
      </c>
      <c r="G996" s="1" t="s">
        <v>1006</v>
      </c>
      <c r="H996" s="69">
        <v>2</v>
      </c>
      <c r="I996" s="69">
        <v>2</v>
      </c>
      <c r="J996" s="69">
        <f>Table224[[#This Row],[Qty]]-Table224[[#This Row],[Issue Qty]]</f>
        <v>0</v>
      </c>
      <c r="K996" s="69"/>
      <c r="L996" s="69" t="s">
        <v>3480</v>
      </c>
      <c r="M996" s="5">
        <v>663</v>
      </c>
      <c r="N996" s="67">
        <f t="shared" si="49"/>
        <v>1326</v>
      </c>
      <c r="O996" s="82">
        <v>0.12</v>
      </c>
      <c r="P996" s="68">
        <f t="shared" si="50"/>
        <v>159.12</v>
      </c>
      <c r="Q996" s="5">
        <v>0</v>
      </c>
      <c r="R996" s="5"/>
      <c r="S996" s="5">
        <f t="shared" si="51"/>
        <v>1485.12</v>
      </c>
      <c r="T996" s="1" t="s">
        <v>890</v>
      </c>
      <c r="U996" s="1" t="s">
        <v>890</v>
      </c>
      <c r="V996" s="1" t="s">
        <v>601</v>
      </c>
      <c r="W996" s="1">
        <v>50138</v>
      </c>
      <c r="X996" s="1"/>
      <c r="Y996" s="26"/>
      <c r="Z996" s="21"/>
      <c r="AA996" s="204"/>
      <c r="AB996" s="21">
        <v>2</v>
      </c>
      <c r="AC996" s="22" t="s">
        <v>145</v>
      </c>
      <c r="AD996" s="26"/>
      <c r="AE996" s="1" t="s">
        <v>1007</v>
      </c>
      <c r="AF996" s="26"/>
      <c r="AG996" s="50"/>
    </row>
    <row r="997" spans="1:33" s="206" customFormat="1" ht="45" x14ac:dyDescent="0.25">
      <c r="A997" s="4">
        <v>46045</v>
      </c>
      <c r="B997" s="4">
        <v>46112</v>
      </c>
      <c r="C997" s="6" t="s">
        <v>1683</v>
      </c>
      <c r="D997" s="186" t="s">
        <v>1663</v>
      </c>
      <c r="E997" s="6" t="s">
        <v>2749</v>
      </c>
      <c r="F997" s="234" t="s">
        <v>1618</v>
      </c>
      <c r="G997" s="6" t="s">
        <v>1618</v>
      </c>
      <c r="H997" s="69">
        <v>2</v>
      </c>
      <c r="I997" s="69"/>
      <c r="J997" s="73">
        <f>Table224[[#This Row],[Qty]]-Table224[[#This Row],[Issue Qty]]</f>
        <v>2</v>
      </c>
      <c r="K997" s="73"/>
      <c r="L997" s="73" t="s">
        <v>3486</v>
      </c>
      <c r="M997" s="67">
        <v>5961.99</v>
      </c>
      <c r="N997" s="67">
        <f t="shared" si="49"/>
        <v>11923.98</v>
      </c>
      <c r="O997" s="82">
        <v>0.18</v>
      </c>
      <c r="P997" s="68">
        <f t="shared" si="50"/>
        <v>2146.3163999999997</v>
      </c>
      <c r="Q997" s="5">
        <v>241.06</v>
      </c>
      <c r="R997" s="5"/>
      <c r="S997" s="5">
        <f t="shared" si="51"/>
        <v>14311.356399999999</v>
      </c>
      <c r="T997" s="1" t="s">
        <v>1408</v>
      </c>
      <c r="U997" s="1" t="s">
        <v>1617</v>
      </c>
      <c r="V997" s="1" t="s">
        <v>634</v>
      </c>
      <c r="W997" s="1" t="s">
        <v>2750</v>
      </c>
      <c r="X997" s="1">
        <v>85076000</v>
      </c>
      <c r="Y997" s="2"/>
      <c r="Z997" s="21" t="s">
        <v>638</v>
      </c>
      <c r="AA997" s="21"/>
      <c r="AB997" s="21"/>
      <c r="AC997" s="12"/>
      <c r="AD997" s="1"/>
      <c r="AE997" s="6"/>
      <c r="AF997" s="1"/>
    </row>
    <row r="998" spans="1:33" s="206" customFormat="1" x14ac:dyDescent="0.25">
      <c r="A998" s="4">
        <v>46112</v>
      </c>
      <c r="B998" s="4">
        <v>46112</v>
      </c>
      <c r="C998" s="112" t="s">
        <v>1730</v>
      </c>
      <c r="D998" s="224" t="s">
        <v>1730</v>
      </c>
      <c r="E998" s="6" t="s">
        <v>2858</v>
      </c>
      <c r="F998" s="289" t="s">
        <v>2859</v>
      </c>
      <c r="G998" s="6" t="s">
        <v>2859</v>
      </c>
      <c r="H998" s="69">
        <v>50</v>
      </c>
      <c r="I998" s="69">
        <v>50</v>
      </c>
      <c r="J998" s="69">
        <f>Table224[[#This Row],[Qty]]-Table224[[#This Row],[Issue Qty]]</f>
        <v>0</v>
      </c>
      <c r="K998" s="69"/>
      <c r="L998" s="69" t="s">
        <v>3479</v>
      </c>
      <c r="M998" s="48">
        <v>1240</v>
      </c>
      <c r="N998" s="67">
        <f t="shared" si="49"/>
        <v>62000</v>
      </c>
      <c r="O998" s="82">
        <v>0.18</v>
      </c>
      <c r="P998" s="68">
        <f t="shared" si="50"/>
        <v>11160</v>
      </c>
      <c r="Q998" s="71"/>
      <c r="R998" s="71"/>
      <c r="S998" s="5">
        <f t="shared" si="51"/>
        <v>73160</v>
      </c>
      <c r="T998" s="1" t="s">
        <v>2844</v>
      </c>
      <c r="U998" s="1" t="s">
        <v>2844</v>
      </c>
      <c r="V998" s="1" t="s">
        <v>2845</v>
      </c>
      <c r="W998" s="265" t="s">
        <v>2853</v>
      </c>
      <c r="X998" s="265">
        <v>998719</v>
      </c>
      <c r="Y998" s="2"/>
      <c r="Z998" s="21"/>
      <c r="AA998" s="21"/>
      <c r="AB998" s="21"/>
      <c r="AC998" s="12"/>
      <c r="AD998" s="2"/>
      <c r="AE998" s="6"/>
      <c r="AF998" s="1"/>
      <c r="AG998" s="26"/>
    </row>
    <row r="999" spans="1:33" s="206" customFormat="1" ht="30" x14ac:dyDescent="0.25">
      <c r="A999" s="4">
        <v>46112</v>
      </c>
      <c r="B999" s="4">
        <v>46112</v>
      </c>
      <c r="C999" s="112" t="s">
        <v>1683</v>
      </c>
      <c r="D999" s="186" t="s">
        <v>3488</v>
      </c>
      <c r="E999" s="6" t="s">
        <v>2864</v>
      </c>
      <c r="F999" s="289" t="s">
        <v>2865</v>
      </c>
      <c r="G999" s="6" t="s">
        <v>2865</v>
      </c>
      <c r="H999" s="69">
        <v>25</v>
      </c>
      <c r="I999" s="69">
        <v>25</v>
      </c>
      <c r="J999" s="69">
        <f>Table224[[#This Row],[Qty]]-Table224[[#This Row],[Issue Qty]]</f>
        <v>0</v>
      </c>
      <c r="K999" s="69"/>
      <c r="L999" s="69" t="s">
        <v>3480</v>
      </c>
      <c r="M999" s="48">
        <v>11476</v>
      </c>
      <c r="N999" s="67">
        <f t="shared" si="49"/>
        <v>286900</v>
      </c>
      <c r="O999" s="82">
        <v>0.18</v>
      </c>
      <c r="P999" s="68">
        <f t="shared" si="50"/>
        <v>51642</v>
      </c>
      <c r="Q999" s="71"/>
      <c r="R999" s="71"/>
      <c r="S999" s="5">
        <f t="shared" si="51"/>
        <v>338542</v>
      </c>
      <c r="T999" s="1" t="s">
        <v>2844</v>
      </c>
      <c r="U999" s="1" t="s">
        <v>2844</v>
      </c>
      <c r="V999" s="1" t="s">
        <v>2845</v>
      </c>
      <c r="W999" s="265" t="s">
        <v>2853</v>
      </c>
      <c r="X999" s="265">
        <v>85044030</v>
      </c>
      <c r="Y999" s="2"/>
      <c r="Z999" s="21"/>
      <c r="AA999" s="21"/>
      <c r="AB999" s="21"/>
      <c r="AC999" s="12"/>
      <c r="AD999" s="2"/>
      <c r="AE999" s="6"/>
      <c r="AF999" s="1"/>
      <c r="AG999" s="26"/>
    </row>
    <row r="1000" spans="1:33" s="206" customFormat="1" x14ac:dyDescent="0.25">
      <c r="A1000" s="4">
        <v>46112</v>
      </c>
      <c r="B1000" s="4">
        <v>46112</v>
      </c>
      <c r="C1000" s="6" t="s">
        <v>1730</v>
      </c>
      <c r="D1000" s="224" t="s">
        <v>1730</v>
      </c>
      <c r="E1000" s="6" t="s">
        <v>2866</v>
      </c>
      <c r="F1000" s="289" t="s">
        <v>2867</v>
      </c>
      <c r="G1000" s="6" t="s">
        <v>2867</v>
      </c>
      <c r="H1000" s="69">
        <v>10</v>
      </c>
      <c r="I1000" s="69">
        <v>10</v>
      </c>
      <c r="J1000" s="69">
        <f>Table224[[#This Row],[Qty]]-Table224[[#This Row],[Issue Qty]]</f>
        <v>0</v>
      </c>
      <c r="K1000" s="69"/>
      <c r="L1000" s="69" t="s">
        <v>3480</v>
      </c>
      <c r="M1000" s="48">
        <v>281500</v>
      </c>
      <c r="N1000" s="67">
        <f t="shared" si="49"/>
        <v>2815000</v>
      </c>
      <c r="O1000" s="82">
        <v>0.18</v>
      </c>
      <c r="P1000" s="68">
        <f t="shared" si="50"/>
        <v>506700</v>
      </c>
      <c r="Q1000" s="71"/>
      <c r="R1000" s="71"/>
      <c r="S1000" s="5">
        <f t="shared" si="51"/>
        <v>3321700</v>
      </c>
      <c r="T1000" s="70" t="s">
        <v>2844</v>
      </c>
      <c r="U1000" s="70" t="s">
        <v>2844</v>
      </c>
      <c r="V1000" s="1" t="s">
        <v>2845</v>
      </c>
      <c r="W1000" s="1" t="s">
        <v>2853</v>
      </c>
      <c r="X1000" s="1">
        <v>85176290</v>
      </c>
      <c r="Y1000" s="2"/>
      <c r="Z1000" s="21"/>
      <c r="AA1000" s="21"/>
      <c r="AB1000" s="21"/>
      <c r="AC1000" s="12"/>
      <c r="AD1000" s="2"/>
      <c r="AE1000" s="6"/>
      <c r="AF1000" s="1"/>
      <c r="AG1000" s="26"/>
    </row>
    <row r="1001" spans="1:33" s="206" customFormat="1" ht="15" customHeight="1" x14ac:dyDescent="0.25">
      <c r="A1001" s="4">
        <v>46112</v>
      </c>
      <c r="B1001" s="4">
        <v>46112</v>
      </c>
      <c r="C1001" s="1" t="s">
        <v>1991</v>
      </c>
      <c r="D1001" s="186" t="s">
        <v>3443</v>
      </c>
      <c r="E1001" s="6" t="s">
        <v>1741</v>
      </c>
      <c r="F1001" s="289" t="s">
        <v>165</v>
      </c>
      <c r="G1001" s="6" t="s">
        <v>165</v>
      </c>
      <c r="H1001" s="69">
        <v>50</v>
      </c>
      <c r="I1001" s="69">
        <v>50</v>
      </c>
      <c r="J1001" s="69">
        <f>Table224[[#This Row],[Qty]]-Table224[[#This Row],[Issue Qty]]</f>
        <v>0</v>
      </c>
      <c r="K1001" s="69"/>
      <c r="L1001" s="69" t="s">
        <v>3480</v>
      </c>
      <c r="M1001" s="48">
        <v>3037</v>
      </c>
      <c r="N1001" s="5">
        <f t="shared" si="49"/>
        <v>151850</v>
      </c>
      <c r="O1001" s="82">
        <v>0.18</v>
      </c>
      <c r="P1001" s="9">
        <f t="shared" si="50"/>
        <v>27333</v>
      </c>
      <c r="Q1001" s="71"/>
      <c r="R1001" s="71"/>
      <c r="S1001" s="5">
        <f t="shared" si="51"/>
        <v>179183</v>
      </c>
      <c r="T1001" s="1" t="s">
        <v>2844</v>
      </c>
      <c r="U1001" s="70" t="s">
        <v>2844</v>
      </c>
      <c r="V1001" s="1" t="s">
        <v>2845</v>
      </c>
      <c r="W1001" s="1" t="s">
        <v>2853</v>
      </c>
      <c r="X1001" s="1">
        <v>853810</v>
      </c>
      <c r="Y1001" s="2"/>
      <c r="Z1001" s="21"/>
      <c r="AA1001" s="21"/>
      <c r="AB1001" s="21"/>
      <c r="AC1001" s="12"/>
      <c r="AD1001" s="2"/>
      <c r="AE1001" s="6"/>
      <c r="AF1001" s="1"/>
      <c r="AG1001" s="26"/>
    </row>
    <row r="1002" spans="1:33" s="206" customFormat="1" ht="30" x14ac:dyDescent="0.25">
      <c r="A1002" s="4">
        <v>46112</v>
      </c>
      <c r="B1002" s="4">
        <v>46112</v>
      </c>
      <c r="C1002" s="1" t="s">
        <v>1991</v>
      </c>
      <c r="D1002" s="186" t="s">
        <v>3464</v>
      </c>
      <c r="E1002" s="6" t="s">
        <v>1754</v>
      </c>
      <c r="F1002" s="289" t="s">
        <v>198</v>
      </c>
      <c r="G1002" s="6" t="s">
        <v>198</v>
      </c>
      <c r="H1002" s="69">
        <v>50</v>
      </c>
      <c r="I1002" s="69">
        <v>50</v>
      </c>
      <c r="J1002" s="69">
        <f>Table224[[#This Row],[Qty]]-Table224[[#This Row],[Issue Qty]]</f>
        <v>0</v>
      </c>
      <c r="K1002" s="69"/>
      <c r="L1002" s="69" t="s">
        <v>3480</v>
      </c>
      <c r="M1002" s="48">
        <v>1467</v>
      </c>
      <c r="N1002" s="5">
        <f t="shared" si="49"/>
        <v>73350</v>
      </c>
      <c r="O1002" s="82">
        <v>0.18</v>
      </c>
      <c r="P1002" s="9">
        <f t="shared" si="50"/>
        <v>13203</v>
      </c>
      <c r="Q1002" s="71"/>
      <c r="R1002" s="71"/>
      <c r="S1002" s="5">
        <f t="shared" si="51"/>
        <v>86553</v>
      </c>
      <c r="T1002" s="1" t="s">
        <v>2844</v>
      </c>
      <c r="U1002" s="70" t="s">
        <v>2844</v>
      </c>
      <c r="V1002" s="1" t="s">
        <v>2845</v>
      </c>
      <c r="W1002" s="1" t="s">
        <v>2853</v>
      </c>
      <c r="X1002" s="1">
        <v>85176290</v>
      </c>
      <c r="Y1002" s="2"/>
      <c r="Z1002" s="21"/>
      <c r="AA1002" s="21"/>
      <c r="AB1002" s="21"/>
      <c r="AC1002" s="12"/>
      <c r="AD1002" s="2"/>
      <c r="AE1002" s="6"/>
      <c r="AF1002" s="1"/>
      <c r="AG1002" s="26"/>
    </row>
    <row r="1003" spans="1:33" s="206" customFormat="1" ht="30" x14ac:dyDescent="0.25">
      <c r="A1003" s="4">
        <v>46112</v>
      </c>
      <c r="B1003" s="4">
        <v>46112</v>
      </c>
      <c r="C1003" s="1" t="s">
        <v>1991</v>
      </c>
      <c r="D1003" s="186" t="s">
        <v>3464</v>
      </c>
      <c r="E1003" s="6" t="s">
        <v>1754</v>
      </c>
      <c r="F1003" s="289" t="s">
        <v>198</v>
      </c>
      <c r="G1003" s="6" t="s">
        <v>198</v>
      </c>
      <c r="H1003" s="69">
        <v>5</v>
      </c>
      <c r="I1003" s="69">
        <v>5</v>
      </c>
      <c r="J1003" s="69">
        <f>Table224[[#This Row],[Qty]]-Table224[[#This Row],[Issue Qty]]</f>
        <v>0</v>
      </c>
      <c r="K1003" s="69"/>
      <c r="L1003" s="69" t="s">
        <v>3480</v>
      </c>
      <c r="M1003" s="48">
        <v>1483</v>
      </c>
      <c r="N1003" s="67">
        <f t="shared" si="49"/>
        <v>7415</v>
      </c>
      <c r="O1003" s="82">
        <v>0.18</v>
      </c>
      <c r="P1003" s="68">
        <f t="shared" si="50"/>
        <v>1334.7</v>
      </c>
      <c r="Q1003" s="71"/>
      <c r="R1003" s="71"/>
      <c r="S1003" s="5">
        <f t="shared" si="51"/>
        <v>8749.7000000000007</v>
      </c>
      <c r="T1003" s="1" t="s">
        <v>2844</v>
      </c>
      <c r="U1003" s="70" t="s">
        <v>2844</v>
      </c>
      <c r="V1003" s="1" t="s">
        <v>2845</v>
      </c>
      <c r="W1003" s="1" t="s">
        <v>2853</v>
      </c>
      <c r="X1003" s="1">
        <v>85176290</v>
      </c>
      <c r="Y1003" s="2"/>
      <c r="Z1003" s="21"/>
      <c r="AA1003" s="21"/>
      <c r="AB1003" s="21"/>
      <c r="AC1003" s="12"/>
      <c r="AD1003" s="2"/>
      <c r="AE1003" s="6"/>
      <c r="AF1003" s="1"/>
      <c r="AG1003" s="26"/>
    </row>
    <row r="1004" spans="1:33" s="206" customFormat="1" x14ac:dyDescent="0.25">
      <c r="A1004" s="4">
        <v>46115</v>
      </c>
      <c r="B1004" s="4">
        <v>46116</v>
      </c>
      <c r="C1004" s="112" t="s">
        <v>1730</v>
      </c>
      <c r="D1004" s="224" t="s">
        <v>1576</v>
      </c>
      <c r="E1004" s="6" t="s">
        <v>2924</v>
      </c>
      <c r="F1004" s="234" t="s">
        <v>2925</v>
      </c>
      <c r="G1004" s="6" t="s">
        <v>2925</v>
      </c>
      <c r="H1004" s="69">
        <v>200</v>
      </c>
      <c r="I1004" s="69">
        <v>120</v>
      </c>
      <c r="J1004" s="69">
        <f>Table224[[#This Row],[Qty]]-Table224[[#This Row],[Issue Qty]]</f>
        <v>80</v>
      </c>
      <c r="K1004" s="69"/>
      <c r="L1004" s="69" t="s">
        <v>3480</v>
      </c>
      <c r="M1004" s="5">
        <v>5</v>
      </c>
      <c r="N1004" s="67">
        <f t="shared" si="49"/>
        <v>1000</v>
      </c>
      <c r="O1004" s="82">
        <v>0.18</v>
      </c>
      <c r="P1004" s="68">
        <f t="shared" si="50"/>
        <v>180</v>
      </c>
      <c r="Q1004" s="48"/>
      <c r="R1004" s="5"/>
      <c r="S1004" s="5">
        <f t="shared" si="51"/>
        <v>1180</v>
      </c>
      <c r="T1004" s="1" t="s">
        <v>2887</v>
      </c>
      <c r="U1004" s="264" t="s">
        <v>1674</v>
      </c>
      <c r="V1004" s="1" t="s">
        <v>2926</v>
      </c>
      <c r="W1004" s="1" t="s">
        <v>2927</v>
      </c>
      <c r="X1004" s="1">
        <v>7223</v>
      </c>
      <c r="Y1004" s="21"/>
      <c r="Z1004" s="21" t="s">
        <v>650</v>
      </c>
      <c r="AA1004" s="21" t="s">
        <v>2928</v>
      </c>
      <c r="AB1004" s="12"/>
      <c r="AC1004" s="12"/>
      <c r="AD1004" s="6"/>
      <c r="AE1004" s="1"/>
      <c r="AF1004" s="26"/>
      <c r="AG1004" s="26"/>
    </row>
    <row r="1005" spans="1:33" s="206" customFormat="1" x14ac:dyDescent="0.25">
      <c r="A1005" s="4"/>
      <c r="B1005" s="4">
        <v>46119</v>
      </c>
      <c r="C1005" s="112" t="s">
        <v>54</v>
      </c>
      <c r="D1005" s="224" t="s">
        <v>3489</v>
      </c>
      <c r="E1005" s="6" t="s">
        <v>1644</v>
      </c>
      <c r="F1005" s="234" t="s">
        <v>2800</v>
      </c>
      <c r="G1005" s="6" t="s">
        <v>2800</v>
      </c>
      <c r="H1005" s="69">
        <v>1</v>
      </c>
      <c r="I1005" s="69">
        <v>1</v>
      </c>
      <c r="J1005" s="69">
        <f>Table224[[#This Row],[Qty]]-Table224[[#This Row],[Issue Qty]]</f>
        <v>0</v>
      </c>
      <c r="K1005" s="69"/>
      <c r="L1005" s="69" t="s">
        <v>3480</v>
      </c>
      <c r="M1005" s="48">
        <v>0</v>
      </c>
      <c r="N1005" s="67">
        <f t="shared" si="49"/>
        <v>0</v>
      </c>
      <c r="O1005" s="82"/>
      <c r="P1005" s="68">
        <f t="shared" si="50"/>
        <v>0</v>
      </c>
      <c r="Q1005" s="48"/>
      <c r="R1005" s="48"/>
      <c r="S1005" s="5">
        <f t="shared" si="51"/>
        <v>0</v>
      </c>
      <c r="T1005" s="1" t="s">
        <v>2887</v>
      </c>
      <c r="U1005" s="70" t="s">
        <v>1674</v>
      </c>
      <c r="V1005" s="1" t="s">
        <v>764</v>
      </c>
      <c r="W1005" s="1"/>
      <c r="X1005" s="1"/>
      <c r="Y1005" s="2"/>
      <c r="Z1005" s="21" t="s">
        <v>268</v>
      </c>
      <c r="AA1005" s="21"/>
      <c r="AB1005" s="21">
        <v>1</v>
      </c>
      <c r="AC1005" s="12" t="s">
        <v>2790</v>
      </c>
      <c r="AD1005" s="2" t="s">
        <v>2798</v>
      </c>
      <c r="AE1005" s="6"/>
      <c r="AF1005" s="1"/>
      <c r="AG1005" s="26"/>
    </row>
    <row r="1006" spans="1:33" s="206" customFormat="1" x14ac:dyDescent="0.25">
      <c r="A1006" s="4"/>
      <c r="B1006" s="4">
        <v>46119</v>
      </c>
      <c r="C1006" s="6" t="s">
        <v>1730</v>
      </c>
      <c r="D1006" s="224" t="s">
        <v>3664</v>
      </c>
      <c r="E1006" s="6" t="s">
        <v>1644</v>
      </c>
      <c r="F1006" s="234" t="s">
        <v>2801</v>
      </c>
      <c r="G1006" s="6" t="s">
        <v>2801</v>
      </c>
      <c r="H1006" s="69">
        <v>1</v>
      </c>
      <c r="I1006" s="69">
        <v>1</v>
      </c>
      <c r="J1006" s="69">
        <f>Table224[[#This Row],[Qty]]-Table224[[#This Row],[Issue Qty]]</f>
        <v>0</v>
      </c>
      <c r="K1006" s="69"/>
      <c r="L1006" s="69" t="s">
        <v>3480</v>
      </c>
      <c r="M1006" s="48">
        <v>0</v>
      </c>
      <c r="N1006" s="67">
        <f t="shared" si="49"/>
        <v>0</v>
      </c>
      <c r="O1006" s="82"/>
      <c r="P1006" s="68">
        <f t="shared" si="50"/>
        <v>0</v>
      </c>
      <c r="Q1006" s="48"/>
      <c r="R1006" s="48"/>
      <c r="S1006" s="5">
        <f t="shared" si="51"/>
        <v>0</v>
      </c>
      <c r="T1006" s="1" t="s">
        <v>2887</v>
      </c>
      <c r="U1006" s="70" t="s">
        <v>1674</v>
      </c>
      <c r="V1006" s="1" t="s">
        <v>764</v>
      </c>
      <c r="W1006" s="1"/>
      <c r="X1006" s="1"/>
      <c r="Y1006" s="2"/>
      <c r="Z1006" s="21" t="s">
        <v>268</v>
      </c>
      <c r="AA1006" s="21"/>
      <c r="AB1006" s="21">
        <v>1</v>
      </c>
      <c r="AC1006" s="12" t="s">
        <v>2790</v>
      </c>
      <c r="AD1006" s="2" t="s">
        <v>2798</v>
      </c>
      <c r="AE1006" s="6"/>
      <c r="AF1006" s="1"/>
      <c r="AG1006" s="26"/>
    </row>
    <row r="1007" spans="1:33" s="206" customFormat="1" x14ac:dyDescent="0.25">
      <c r="A1007" s="4"/>
      <c r="B1007" s="4">
        <v>46119</v>
      </c>
      <c r="C1007" s="6" t="s">
        <v>54</v>
      </c>
      <c r="D1007" s="224" t="s">
        <v>3489</v>
      </c>
      <c r="E1007" s="6" t="s">
        <v>1644</v>
      </c>
      <c r="F1007" s="234" t="s">
        <v>2797</v>
      </c>
      <c r="G1007" s="6" t="s">
        <v>2797</v>
      </c>
      <c r="H1007" s="69">
        <v>1</v>
      </c>
      <c r="I1007" s="69">
        <v>1</v>
      </c>
      <c r="J1007" s="69">
        <f>Table224[[#This Row],[Qty]]-Table224[[#This Row],[Issue Qty]]</f>
        <v>0</v>
      </c>
      <c r="K1007" s="69"/>
      <c r="L1007" s="69" t="s">
        <v>3480</v>
      </c>
      <c r="M1007" s="48">
        <v>0</v>
      </c>
      <c r="N1007" s="67">
        <f t="shared" si="49"/>
        <v>0</v>
      </c>
      <c r="O1007" s="82"/>
      <c r="P1007" s="68">
        <f t="shared" si="50"/>
        <v>0</v>
      </c>
      <c r="Q1007" s="48"/>
      <c r="R1007" s="48"/>
      <c r="S1007" s="5">
        <f t="shared" si="51"/>
        <v>0</v>
      </c>
      <c r="T1007" s="1" t="s">
        <v>2887</v>
      </c>
      <c r="U1007" s="70" t="s">
        <v>1674</v>
      </c>
      <c r="V1007" s="1" t="s">
        <v>764</v>
      </c>
      <c r="W1007" s="1"/>
      <c r="X1007" s="1"/>
      <c r="Y1007" s="2"/>
      <c r="Z1007" s="21" t="s">
        <v>268</v>
      </c>
      <c r="AA1007" s="21"/>
      <c r="AB1007" s="21">
        <v>1</v>
      </c>
      <c r="AC1007" s="12" t="s">
        <v>2790</v>
      </c>
      <c r="AD1007" s="2" t="s">
        <v>2798</v>
      </c>
      <c r="AE1007" s="6"/>
      <c r="AF1007" s="1"/>
      <c r="AG1007" s="26"/>
    </row>
    <row r="1008" spans="1:33" s="206" customFormat="1" x14ac:dyDescent="0.25">
      <c r="A1008" s="4"/>
      <c r="B1008" s="4">
        <v>46119</v>
      </c>
      <c r="C1008" s="6" t="s">
        <v>54</v>
      </c>
      <c r="D1008" s="224" t="s">
        <v>3489</v>
      </c>
      <c r="E1008" s="6" t="s">
        <v>1644</v>
      </c>
      <c r="F1008" s="234" t="s">
        <v>2802</v>
      </c>
      <c r="G1008" s="6" t="s">
        <v>2802</v>
      </c>
      <c r="H1008" s="69">
        <v>1</v>
      </c>
      <c r="I1008" s="69">
        <v>1</v>
      </c>
      <c r="J1008" s="69">
        <f>Table224[[#This Row],[Qty]]-Table224[[#This Row],[Issue Qty]]</f>
        <v>0</v>
      </c>
      <c r="K1008" s="69"/>
      <c r="L1008" s="69" t="s">
        <v>3480</v>
      </c>
      <c r="M1008" s="48">
        <v>0</v>
      </c>
      <c r="N1008" s="67">
        <f t="shared" si="49"/>
        <v>0</v>
      </c>
      <c r="O1008" s="82"/>
      <c r="P1008" s="68">
        <f t="shared" si="50"/>
        <v>0</v>
      </c>
      <c r="Q1008" s="48"/>
      <c r="R1008" s="48"/>
      <c r="S1008" s="5">
        <f t="shared" si="51"/>
        <v>0</v>
      </c>
      <c r="T1008" s="1" t="s">
        <v>2887</v>
      </c>
      <c r="U1008" s="70" t="s">
        <v>1674</v>
      </c>
      <c r="V1008" s="1" t="s">
        <v>764</v>
      </c>
      <c r="W1008" s="1"/>
      <c r="X1008" s="1"/>
      <c r="Y1008" s="2"/>
      <c r="Z1008" s="21" t="s">
        <v>268</v>
      </c>
      <c r="AA1008" s="21"/>
      <c r="AB1008" s="21">
        <v>1</v>
      </c>
      <c r="AC1008" s="12" t="s">
        <v>2790</v>
      </c>
      <c r="AD1008" s="2" t="s">
        <v>2798</v>
      </c>
      <c r="AE1008" s="6"/>
      <c r="AF1008" s="1"/>
      <c r="AG1008" s="26"/>
    </row>
    <row r="1009" spans="1:33" s="206" customFormat="1" x14ac:dyDescent="0.25">
      <c r="A1009" s="4"/>
      <c r="B1009" s="4">
        <v>46119</v>
      </c>
      <c r="C1009" s="112" t="s">
        <v>54</v>
      </c>
      <c r="D1009" s="224" t="s">
        <v>3489</v>
      </c>
      <c r="E1009" s="6" t="s">
        <v>1644</v>
      </c>
      <c r="F1009" s="234" t="s">
        <v>2803</v>
      </c>
      <c r="G1009" s="6" t="s">
        <v>2803</v>
      </c>
      <c r="H1009" s="69">
        <v>1</v>
      </c>
      <c r="I1009" s="69">
        <v>1</v>
      </c>
      <c r="J1009" s="69">
        <f>Table224[[#This Row],[Qty]]-Table224[[#This Row],[Issue Qty]]</f>
        <v>0</v>
      </c>
      <c r="K1009" s="69"/>
      <c r="L1009" s="69" t="s">
        <v>3480</v>
      </c>
      <c r="M1009" s="48">
        <v>0</v>
      </c>
      <c r="N1009" s="67">
        <f t="shared" si="49"/>
        <v>0</v>
      </c>
      <c r="O1009" s="82"/>
      <c r="P1009" s="68">
        <f t="shared" si="50"/>
        <v>0</v>
      </c>
      <c r="Q1009" s="48"/>
      <c r="R1009" s="48"/>
      <c r="S1009" s="5">
        <f t="shared" si="51"/>
        <v>0</v>
      </c>
      <c r="T1009" s="1" t="s">
        <v>2887</v>
      </c>
      <c r="U1009" s="70" t="s">
        <v>1674</v>
      </c>
      <c r="V1009" s="1" t="s">
        <v>764</v>
      </c>
      <c r="W1009" s="1"/>
      <c r="X1009" s="1"/>
      <c r="Y1009" s="2"/>
      <c r="Z1009" s="21" t="s">
        <v>268</v>
      </c>
      <c r="AA1009" s="21"/>
      <c r="AB1009" s="21">
        <v>1</v>
      </c>
      <c r="AC1009" s="12" t="s">
        <v>2790</v>
      </c>
      <c r="AD1009" s="2" t="s">
        <v>2798</v>
      </c>
      <c r="AE1009" s="6"/>
      <c r="AF1009" s="1"/>
      <c r="AG1009" s="26"/>
    </row>
    <row r="1010" spans="1:33" s="206" customFormat="1" x14ac:dyDescent="0.25">
      <c r="A1010" s="4"/>
      <c r="B1010" s="4">
        <v>46119</v>
      </c>
      <c r="C1010" s="112" t="s">
        <v>54</v>
      </c>
      <c r="D1010" s="224" t="s">
        <v>3489</v>
      </c>
      <c r="E1010" s="6" t="s">
        <v>1644</v>
      </c>
      <c r="F1010" s="234" t="s">
        <v>2799</v>
      </c>
      <c r="G1010" s="6" t="s">
        <v>2799</v>
      </c>
      <c r="H1010" s="69">
        <v>1</v>
      </c>
      <c r="I1010" s="69">
        <v>1</v>
      </c>
      <c r="J1010" s="69">
        <f>Table224[[#This Row],[Qty]]-Table224[[#This Row],[Issue Qty]]</f>
        <v>0</v>
      </c>
      <c r="K1010" s="69"/>
      <c r="L1010" s="69" t="s">
        <v>3480</v>
      </c>
      <c r="M1010" s="48">
        <v>0</v>
      </c>
      <c r="N1010" s="67">
        <f t="shared" si="49"/>
        <v>0</v>
      </c>
      <c r="O1010" s="82"/>
      <c r="P1010" s="68">
        <f t="shared" si="50"/>
        <v>0</v>
      </c>
      <c r="Q1010" s="48"/>
      <c r="R1010" s="48"/>
      <c r="S1010" s="5">
        <f t="shared" si="51"/>
        <v>0</v>
      </c>
      <c r="T1010" s="1" t="s">
        <v>2887</v>
      </c>
      <c r="U1010" s="70" t="s">
        <v>1674</v>
      </c>
      <c r="V1010" s="1" t="s">
        <v>764</v>
      </c>
      <c r="W1010" s="1"/>
      <c r="X1010" s="1"/>
      <c r="Y1010" s="2"/>
      <c r="Z1010" s="21" t="s">
        <v>268</v>
      </c>
      <c r="AA1010" s="21"/>
      <c r="AB1010" s="21">
        <v>1</v>
      </c>
      <c r="AC1010" s="12" t="s">
        <v>2790</v>
      </c>
      <c r="AD1010" s="2" t="s">
        <v>2798</v>
      </c>
      <c r="AE1010" s="6"/>
      <c r="AF1010" s="1"/>
      <c r="AG1010" s="26"/>
    </row>
    <row r="1011" spans="1:33" s="206" customFormat="1" ht="30" x14ac:dyDescent="0.25">
      <c r="A1011" s="4">
        <v>46116</v>
      </c>
      <c r="B1011" s="4">
        <v>46120</v>
      </c>
      <c r="C1011" s="112" t="s">
        <v>1683</v>
      </c>
      <c r="D1011" s="186" t="s">
        <v>1663</v>
      </c>
      <c r="E1011" s="6" t="s">
        <v>2804</v>
      </c>
      <c r="F1011" s="289" t="s">
        <v>2805</v>
      </c>
      <c r="G1011" s="6" t="s">
        <v>2805</v>
      </c>
      <c r="H1011" s="69">
        <v>50</v>
      </c>
      <c r="I1011" s="69">
        <v>50</v>
      </c>
      <c r="J1011" s="69">
        <f>Table224[[#This Row],[Qty]]-Table224[[#This Row],[Issue Qty]]</f>
        <v>0</v>
      </c>
      <c r="K1011" s="69"/>
      <c r="L1011" s="69" t="s">
        <v>3480</v>
      </c>
      <c r="M1011" s="48">
        <v>6700</v>
      </c>
      <c r="N1011" s="67">
        <f t="shared" ref="N1011:N1038" si="52">H1011*M1011</f>
        <v>335000</v>
      </c>
      <c r="O1011" s="82">
        <v>0.18</v>
      </c>
      <c r="P1011" s="68">
        <f t="shared" ref="P1011:P1038" si="53">N1011*O1011</f>
        <v>60300</v>
      </c>
      <c r="Q1011" s="48"/>
      <c r="R1011" s="48"/>
      <c r="S1011" s="5">
        <f t="shared" ref="S1011:S1038" si="54">N1011+P1011+Q1011+R1011</f>
        <v>395300</v>
      </c>
      <c r="T1011" s="12" t="s">
        <v>2844</v>
      </c>
      <c r="U1011" s="264" t="s">
        <v>2844</v>
      </c>
      <c r="V1011" s="12" t="s">
        <v>792</v>
      </c>
      <c r="W1011" s="1" t="s">
        <v>3193</v>
      </c>
      <c r="X1011" s="1">
        <v>850760</v>
      </c>
      <c r="Y1011" s="2"/>
      <c r="Z1011" s="21"/>
      <c r="AA1011" s="21"/>
      <c r="AB1011" s="21">
        <v>50</v>
      </c>
      <c r="AC1011" s="12" t="s">
        <v>1673</v>
      </c>
      <c r="AD1011" s="2"/>
      <c r="AE1011" s="6"/>
      <c r="AF1011" s="1"/>
      <c r="AG1011" s="26"/>
    </row>
    <row r="1012" spans="1:33" s="206" customFormat="1" ht="30" x14ac:dyDescent="0.25">
      <c r="A1012" s="4">
        <v>46121</v>
      </c>
      <c r="B1012" s="4">
        <v>46121</v>
      </c>
      <c r="C1012" s="1" t="s">
        <v>1991</v>
      </c>
      <c r="D1012" s="224" t="s">
        <v>3560</v>
      </c>
      <c r="E1012" s="6" t="s">
        <v>2806</v>
      </c>
      <c r="F1012" s="234" t="s">
        <v>2807</v>
      </c>
      <c r="G1012" s="6" t="s">
        <v>2807</v>
      </c>
      <c r="H1012" s="69">
        <v>25</v>
      </c>
      <c r="I1012" s="69">
        <v>1</v>
      </c>
      <c r="J1012" s="69">
        <f>Table224[[#This Row],[Qty]]-Table224[[#This Row],[Issue Qty]]</f>
        <v>24</v>
      </c>
      <c r="K1012" s="69"/>
      <c r="L1012" s="69" t="s">
        <v>3480</v>
      </c>
      <c r="M1012" s="48">
        <v>2.66</v>
      </c>
      <c r="N1012" s="67">
        <f t="shared" si="52"/>
        <v>66.5</v>
      </c>
      <c r="O1012" s="82"/>
      <c r="P1012" s="68">
        <f t="shared" si="53"/>
        <v>0</v>
      </c>
      <c r="Q1012" s="48"/>
      <c r="R1012" s="48"/>
      <c r="S1012" s="5">
        <f t="shared" si="54"/>
        <v>66.5</v>
      </c>
      <c r="T1012" s="1" t="s">
        <v>2887</v>
      </c>
      <c r="U1012" s="70" t="s">
        <v>1674</v>
      </c>
      <c r="V1012" s="1" t="s">
        <v>2875</v>
      </c>
      <c r="W1012" s="3">
        <v>262700409</v>
      </c>
      <c r="X1012" s="3">
        <v>8532</v>
      </c>
      <c r="Y1012" s="2"/>
      <c r="Z1012" s="21" t="s">
        <v>38</v>
      </c>
      <c r="AA1012" s="21" t="s">
        <v>2809</v>
      </c>
      <c r="AB1012" s="21">
        <v>1</v>
      </c>
      <c r="AC1012" s="12" t="s">
        <v>474</v>
      </c>
      <c r="AD1012" s="2"/>
      <c r="AE1012" s="6"/>
      <c r="AF1012" s="1"/>
      <c r="AG1012" s="26"/>
    </row>
    <row r="1013" spans="1:33" s="206" customFormat="1" ht="30" x14ac:dyDescent="0.25">
      <c r="A1013" s="4">
        <v>46121</v>
      </c>
      <c r="B1013" s="4">
        <v>46121</v>
      </c>
      <c r="C1013" s="112" t="s">
        <v>1730</v>
      </c>
      <c r="D1013" s="224" t="s">
        <v>3631</v>
      </c>
      <c r="E1013" s="6" t="s">
        <v>1644</v>
      </c>
      <c r="F1013" s="234" t="s">
        <v>2812</v>
      </c>
      <c r="G1013" s="6" t="s">
        <v>2812</v>
      </c>
      <c r="H1013" s="69">
        <v>3</v>
      </c>
      <c r="I1013" s="69">
        <v>3</v>
      </c>
      <c r="J1013" s="69">
        <f>Table224[[#This Row],[Qty]]-Table224[[#This Row],[Issue Qty]]</f>
        <v>0</v>
      </c>
      <c r="K1013" s="69"/>
      <c r="L1013" s="69" t="s">
        <v>3480</v>
      </c>
      <c r="M1013" s="48">
        <v>4000</v>
      </c>
      <c r="N1013" s="67">
        <f t="shared" si="52"/>
        <v>12000</v>
      </c>
      <c r="O1013" s="82">
        <v>0.18</v>
      </c>
      <c r="P1013" s="68">
        <f t="shared" si="53"/>
        <v>2160</v>
      </c>
      <c r="Q1013" s="48">
        <v>600</v>
      </c>
      <c r="R1013" s="48"/>
      <c r="S1013" s="5">
        <f t="shared" si="54"/>
        <v>14760</v>
      </c>
      <c r="T1013" s="70" t="s">
        <v>1408</v>
      </c>
      <c r="U1013" s="70" t="s">
        <v>1408</v>
      </c>
      <c r="V1013" s="1" t="s">
        <v>3333</v>
      </c>
      <c r="W1013" s="1"/>
      <c r="X1013" s="1"/>
      <c r="Y1013" s="2"/>
      <c r="Z1013" s="21"/>
      <c r="AA1013" s="21"/>
      <c r="AB1013" s="21">
        <v>3</v>
      </c>
      <c r="AC1013" s="12"/>
      <c r="AD1013" s="2" t="s">
        <v>2813</v>
      </c>
      <c r="AE1013" s="6"/>
      <c r="AF1013" s="1"/>
      <c r="AG1013" s="26"/>
    </row>
    <row r="1014" spans="1:33" s="206" customFormat="1" x14ac:dyDescent="0.25">
      <c r="A1014" s="4">
        <v>46121</v>
      </c>
      <c r="B1014" s="4">
        <v>46121</v>
      </c>
      <c r="C1014" s="1" t="s">
        <v>1991</v>
      </c>
      <c r="D1014" s="224" t="s">
        <v>3576</v>
      </c>
      <c r="E1014" s="6" t="s">
        <v>2810</v>
      </c>
      <c r="F1014" s="234" t="s">
        <v>2811</v>
      </c>
      <c r="G1014" s="6" t="s">
        <v>2811</v>
      </c>
      <c r="H1014" s="69">
        <v>8</v>
      </c>
      <c r="I1014" s="69"/>
      <c r="J1014" s="69">
        <f>Table224[[#This Row],[Qty]]-Table224[[#This Row],[Issue Qty]]</f>
        <v>8</v>
      </c>
      <c r="K1014" s="69"/>
      <c r="L1014" s="69" t="s">
        <v>3480</v>
      </c>
      <c r="M1014" s="48">
        <v>23.1</v>
      </c>
      <c r="N1014" s="67">
        <f t="shared" si="52"/>
        <v>184.8</v>
      </c>
      <c r="O1014" s="82"/>
      <c r="P1014" s="68">
        <f t="shared" si="53"/>
        <v>0</v>
      </c>
      <c r="Q1014" s="48">
        <v>118</v>
      </c>
      <c r="R1014" s="48"/>
      <c r="S1014" s="5">
        <f t="shared" si="54"/>
        <v>302.8</v>
      </c>
      <c r="T1014" s="70" t="s">
        <v>2887</v>
      </c>
      <c r="U1014" s="70" t="s">
        <v>1674</v>
      </c>
      <c r="V1014" s="1" t="s">
        <v>2875</v>
      </c>
      <c r="W1014" s="3">
        <v>262700409</v>
      </c>
      <c r="X1014" s="3">
        <v>85423100</v>
      </c>
      <c r="Y1014" s="2"/>
      <c r="Z1014" s="21" t="s">
        <v>38</v>
      </c>
      <c r="AA1014" s="21" t="s">
        <v>2809</v>
      </c>
      <c r="AB1014" s="21"/>
      <c r="AC1014" s="12"/>
      <c r="AD1014" s="2"/>
      <c r="AE1014" s="6"/>
      <c r="AF1014" s="1"/>
      <c r="AG1014" s="26"/>
    </row>
    <row r="1015" spans="1:33" s="206" customFormat="1" x14ac:dyDescent="0.25">
      <c r="A1015" s="4">
        <v>46121</v>
      </c>
      <c r="B1015" s="4">
        <v>46122</v>
      </c>
      <c r="C1015" s="1" t="s">
        <v>1991</v>
      </c>
      <c r="D1015" s="224" t="s">
        <v>3579</v>
      </c>
      <c r="E1015" s="6" t="s">
        <v>2835</v>
      </c>
      <c r="F1015" s="234" t="s">
        <v>2836</v>
      </c>
      <c r="G1015" s="6" t="s">
        <v>2836</v>
      </c>
      <c r="H1015" s="69">
        <v>40</v>
      </c>
      <c r="I1015" s="69"/>
      <c r="J1015" s="69">
        <f>Table224[[#This Row],[Qty]]-Table224[[#This Row],[Issue Qty]]</f>
        <v>40</v>
      </c>
      <c r="K1015" s="69"/>
      <c r="L1015" s="195" t="s">
        <v>3480</v>
      </c>
      <c r="M1015" s="48">
        <v>0.25</v>
      </c>
      <c r="N1015" s="67">
        <f t="shared" si="52"/>
        <v>10</v>
      </c>
      <c r="O1015" s="82">
        <v>0.18</v>
      </c>
      <c r="P1015" s="68">
        <f t="shared" si="53"/>
        <v>1.7999999999999998</v>
      </c>
      <c r="Q1015" s="48"/>
      <c r="R1015" s="48"/>
      <c r="S1015" s="5">
        <f t="shared" si="54"/>
        <v>11.8</v>
      </c>
      <c r="T1015" s="70" t="s">
        <v>2887</v>
      </c>
      <c r="U1015" s="70" t="s">
        <v>2816</v>
      </c>
      <c r="V1015" s="1" t="s">
        <v>634</v>
      </c>
      <c r="W1015" s="1" t="s">
        <v>2929</v>
      </c>
      <c r="X1015" s="1">
        <v>85322990</v>
      </c>
      <c r="Y1015" s="2"/>
      <c r="Z1015" s="21" t="s">
        <v>38</v>
      </c>
      <c r="AA1015" s="21" t="s">
        <v>2809</v>
      </c>
      <c r="AB1015" s="21"/>
      <c r="AC1015" s="12"/>
      <c r="AD1015" s="2"/>
      <c r="AE1015" s="6"/>
      <c r="AF1015" s="1"/>
      <c r="AG1015" s="26"/>
    </row>
    <row r="1016" spans="1:33" s="206" customFormat="1" ht="45" x14ac:dyDescent="0.25">
      <c r="A1016" s="4">
        <v>46121</v>
      </c>
      <c r="B1016" s="4">
        <v>46122</v>
      </c>
      <c r="C1016" s="1" t="s">
        <v>1991</v>
      </c>
      <c r="D1016" s="224" t="s">
        <v>3579</v>
      </c>
      <c r="E1016" s="6" t="s">
        <v>2831</v>
      </c>
      <c r="F1016" s="234" t="s">
        <v>2832</v>
      </c>
      <c r="G1016" s="6" t="s">
        <v>2832</v>
      </c>
      <c r="H1016" s="69">
        <v>85</v>
      </c>
      <c r="I1016" s="69"/>
      <c r="J1016" s="69">
        <f>Table224[[#This Row],[Qty]]-Table224[[#This Row],[Issue Qty]]</f>
        <v>85</v>
      </c>
      <c r="K1016" s="69"/>
      <c r="L1016" s="69" t="s">
        <v>3480</v>
      </c>
      <c r="M1016" s="48">
        <v>0.11</v>
      </c>
      <c r="N1016" s="67">
        <f t="shared" si="52"/>
        <v>9.35</v>
      </c>
      <c r="O1016" s="82">
        <v>0.18</v>
      </c>
      <c r="P1016" s="68">
        <f t="shared" si="53"/>
        <v>1.6829999999999998</v>
      </c>
      <c r="Q1016" s="48"/>
      <c r="R1016" s="48"/>
      <c r="S1016" s="5">
        <f t="shared" si="54"/>
        <v>11.032999999999999</v>
      </c>
      <c r="T1016" s="70" t="s">
        <v>2887</v>
      </c>
      <c r="U1016" s="70" t="s">
        <v>2816</v>
      </c>
      <c r="V1016" s="1" t="s">
        <v>634</v>
      </c>
      <c r="W1016" s="1" t="s">
        <v>2929</v>
      </c>
      <c r="X1016" s="1">
        <v>85322990</v>
      </c>
      <c r="Y1016" s="2"/>
      <c r="Z1016" s="21" t="s">
        <v>38</v>
      </c>
      <c r="AA1016" s="21" t="s">
        <v>2809</v>
      </c>
      <c r="AB1016" s="21"/>
      <c r="AC1016" s="12"/>
      <c r="AD1016" s="2"/>
      <c r="AE1016" s="6"/>
      <c r="AF1016" s="1"/>
      <c r="AG1016" s="26"/>
    </row>
    <row r="1017" spans="1:33" s="206" customFormat="1" ht="45" x14ac:dyDescent="0.25">
      <c r="A1017" s="4">
        <v>46121</v>
      </c>
      <c r="B1017" s="4">
        <v>46122</v>
      </c>
      <c r="C1017" s="1" t="s">
        <v>1991</v>
      </c>
      <c r="D1017" s="224" t="s">
        <v>3579</v>
      </c>
      <c r="E1017" s="6" t="s">
        <v>2840</v>
      </c>
      <c r="F1017" s="234" t="s">
        <v>2841</v>
      </c>
      <c r="G1017" s="6" t="s">
        <v>2841</v>
      </c>
      <c r="H1017" s="69">
        <v>32</v>
      </c>
      <c r="I1017" s="69">
        <v>1</v>
      </c>
      <c r="J1017" s="69">
        <f>Table224[[#This Row],[Qty]]-Table224[[#This Row],[Issue Qty]]</f>
        <v>31</v>
      </c>
      <c r="K1017" s="69"/>
      <c r="L1017" s="195" t="s">
        <v>3480</v>
      </c>
      <c r="M1017" s="48">
        <v>0.34</v>
      </c>
      <c r="N1017" s="67">
        <f t="shared" si="52"/>
        <v>10.88</v>
      </c>
      <c r="O1017" s="82">
        <v>0.18</v>
      </c>
      <c r="P1017" s="68">
        <f t="shared" si="53"/>
        <v>1.9584000000000001</v>
      </c>
      <c r="Q1017" s="48">
        <v>49</v>
      </c>
      <c r="R1017" s="48"/>
      <c r="S1017" s="5">
        <f t="shared" si="54"/>
        <v>61.8384</v>
      </c>
      <c r="T1017" s="70" t="s">
        <v>2887</v>
      </c>
      <c r="U1017" s="70" t="s">
        <v>2816</v>
      </c>
      <c r="V1017" s="1" t="s">
        <v>634</v>
      </c>
      <c r="W1017" s="1" t="s">
        <v>2929</v>
      </c>
      <c r="X1017" s="1">
        <v>85322990</v>
      </c>
      <c r="Y1017" s="2"/>
      <c r="Z1017" s="21" t="s">
        <v>38</v>
      </c>
      <c r="AA1017" s="21" t="s">
        <v>2809</v>
      </c>
      <c r="AB1017" s="21">
        <v>1</v>
      </c>
      <c r="AC1017" s="12" t="s">
        <v>474</v>
      </c>
      <c r="AD1017" s="2"/>
      <c r="AE1017" s="6"/>
      <c r="AF1017" s="1"/>
      <c r="AG1017" s="26"/>
    </row>
    <row r="1018" spans="1:33" s="206" customFormat="1" ht="45" x14ac:dyDescent="0.25">
      <c r="A1018" s="4">
        <v>46121</v>
      </c>
      <c r="B1018" s="4">
        <v>46122</v>
      </c>
      <c r="C1018" s="1" t="s">
        <v>1991</v>
      </c>
      <c r="D1018" s="224" t="s">
        <v>3560</v>
      </c>
      <c r="E1018" s="6" t="s">
        <v>2825</v>
      </c>
      <c r="F1018" s="234" t="s">
        <v>2826</v>
      </c>
      <c r="G1018" s="6" t="s">
        <v>2826</v>
      </c>
      <c r="H1018" s="69">
        <v>9</v>
      </c>
      <c r="I1018" s="69"/>
      <c r="J1018" s="69">
        <f>Table224[[#This Row],[Qty]]-Table224[[#This Row],[Issue Qty]]</f>
        <v>9</v>
      </c>
      <c r="K1018" s="69"/>
      <c r="L1018" s="69" t="s">
        <v>3480</v>
      </c>
      <c r="M1018" s="48">
        <v>1.32</v>
      </c>
      <c r="N1018" s="67">
        <f t="shared" si="52"/>
        <v>11.88</v>
      </c>
      <c r="O1018" s="82">
        <v>0.18</v>
      </c>
      <c r="P1018" s="68">
        <f t="shared" si="53"/>
        <v>2.1383999999999999</v>
      </c>
      <c r="Q1018" s="48"/>
      <c r="R1018" s="48"/>
      <c r="S1018" s="5">
        <f t="shared" si="54"/>
        <v>14.0184</v>
      </c>
      <c r="T1018" s="70" t="s">
        <v>2887</v>
      </c>
      <c r="U1018" s="70" t="s">
        <v>2816</v>
      </c>
      <c r="V1018" s="1" t="s">
        <v>634</v>
      </c>
      <c r="W1018" s="1" t="s">
        <v>2929</v>
      </c>
      <c r="X1018" s="1">
        <v>85322990</v>
      </c>
      <c r="Y1018" s="2"/>
      <c r="Z1018" s="21" t="s">
        <v>38</v>
      </c>
      <c r="AA1018" s="21" t="s">
        <v>2809</v>
      </c>
      <c r="AB1018" s="21"/>
      <c r="AC1018" s="12"/>
      <c r="AD1018" s="2"/>
      <c r="AE1018" s="6"/>
      <c r="AF1018" s="1"/>
      <c r="AG1018" s="26"/>
    </row>
    <row r="1019" spans="1:33" s="206" customFormat="1" ht="30" x14ac:dyDescent="0.25">
      <c r="A1019" s="4">
        <v>46121</v>
      </c>
      <c r="B1019" s="4">
        <v>46122</v>
      </c>
      <c r="C1019" s="1" t="s">
        <v>1991</v>
      </c>
      <c r="D1019" s="224" t="s">
        <v>3560</v>
      </c>
      <c r="E1019" s="6" t="s">
        <v>2821</v>
      </c>
      <c r="F1019" s="234" t="s">
        <v>2822</v>
      </c>
      <c r="G1019" s="6" t="s">
        <v>2822</v>
      </c>
      <c r="H1019" s="69">
        <v>50</v>
      </c>
      <c r="I1019" s="69"/>
      <c r="J1019" s="69">
        <f>Table224[[#This Row],[Qty]]-Table224[[#This Row],[Issue Qty]]</f>
        <v>50</v>
      </c>
      <c r="K1019" s="69"/>
      <c r="L1019" s="69" t="s">
        <v>3480</v>
      </c>
      <c r="M1019" s="48">
        <v>0.48</v>
      </c>
      <c r="N1019" s="67">
        <f t="shared" si="52"/>
        <v>24</v>
      </c>
      <c r="O1019" s="82">
        <v>0.18</v>
      </c>
      <c r="P1019" s="68">
        <f t="shared" si="53"/>
        <v>4.32</v>
      </c>
      <c r="Q1019" s="48"/>
      <c r="R1019" s="48"/>
      <c r="S1019" s="5">
        <f t="shared" si="54"/>
        <v>28.32</v>
      </c>
      <c r="T1019" s="70" t="s">
        <v>2887</v>
      </c>
      <c r="U1019" s="70" t="s">
        <v>2816</v>
      </c>
      <c r="V1019" s="1" t="s">
        <v>634</v>
      </c>
      <c r="W1019" s="1" t="s">
        <v>2929</v>
      </c>
      <c r="X1019" s="1">
        <v>85322990</v>
      </c>
      <c r="Y1019" s="2"/>
      <c r="Z1019" s="21" t="s">
        <v>38</v>
      </c>
      <c r="AA1019" s="21" t="s">
        <v>2809</v>
      </c>
      <c r="AB1019" s="21"/>
      <c r="AC1019" s="12"/>
      <c r="AD1019" s="2"/>
      <c r="AE1019" s="6"/>
      <c r="AF1019" s="1"/>
      <c r="AG1019" s="26"/>
    </row>
    <row r="1020" spans="1:33" s="206" customFormat="1" ht="45" x14ac:dyDescent="0.25">
      <c r="A1020" s="4">
        <v>46121</v>
      </c>
      <c r="B1020" s="4">
        <v>46122</v>
      </c>
      <c r="C1020" s="1" t="s">
        <v>1991</v>
      </c>
      <c r="D1020" s="224" t="s">
        <v>3560</v>
      </c>
      <c r="E1020" s="6" t="s">
        <v>2823</v>
      </c>
      <c r="F1020" s="234" t="s">
        <v>2824</v>
      </c>
      <c r="G1020" s="6" t="s">
        <v>2824</v>
      </c>
      <c r="H1020" s="69">
        <v>18</v>
      </c>
      <c r="I1020" s="69"/>
      <c r="J1020" s="69">
        <f>Table224[[#This Row],[Qty]]-Table224[[#This Row],[Issue Qty]]</f>
        <v>18</v>
      </c>
      <c r="K1020" s="69"/>
      <c r="L1020" s="69" t="s">
        <v>3480</v>
      </c>
      <c r="M1020" s="48">
        <v>0.51</v>
      </c>
      <c r="N1020" s="67">
        <f t="shared" si="52"/>
        <v>9.18</v>
      </c>
      <c r="O1020" s="82">
        <v>0.18</v>
      </c>
      <c r="P1020" s="68">
        <f t="shared" si="53"/>
        <v>1.6523999999999999</v>
      </c>
      <c r="Q1020" s="48"/>
      <c r="R1020" s="48"/>
      <c r="S1020" s="5">
        <f t="shared" si="54"/>
        <v>10.8324</v>
      </c>
      <c r="T1020" s="70" t="s">
        <v>2887</v>
      </c>
      <c r="U1020" s="70" t="s">
        <v>2816</v>
      </c>
      <c r="V1020" s="1" t="s">
        <v>634</v>
      </c>
      <c r="W1020" s="1" t="s">
        <v>2929</v>
      </c>
      <c r="X1020" s="1">
        <v>85322990</v>
      </c>
      <c r="Y1020" s="2"/>
      <c r="Z1020" s="21" t="s">
        <v>38</v>
      </c>
      <c r="AA1020" s="21" t="s">
        <v>2809</v>
      </c>
      <c r="AB1020" s="21"/>
      <c r="AC1020" s="12"/>
      <c r="AD1020" s="2"/>
      <c r="AE1020" s="6"/>
      <c r="AF1020" s="1"/>
      <c r="AG1020" s="26"/>
    </row>
    <row r="1021" spans="1:33" s="206" customFormat="1" ht="21" customHeight="1" x14ac:dyDescent="0.25">
      <c r="A1021" s="4">
        <v>46121</v>
      </c>
      <c r="B1021" s="4">
        <v>46122</v>
      </c>
      <c r="C1021" s="1" t="s">
        <v>1991</v>
      </c>
      <c r="D1021" s="224" t="s">
        <v>3579</v>
      </c>
      <c r="E1021" s="6" t="s">
        <v>2827</v>
      </c>
      <c r="F1021" s="234" t="s">
        <v>2828</v>
      </c>
      <c r="G1021" s="6" t="s">
        <v>2828</v>
      </c>
      <c r="H1021" s="69">
        <v>30</v>
      </c>
      <c r="I1021" s="115"/>
      <c r="J1021" s="115">
        <f>Table224[[#This Row],[Qty]]-Table224[[#This Row],[Issue Qty]]</f>
        <v>30</v>
      </c>
      <c r="K1021" s="195"/>
      <c r="L1021" s="195" t="s">
        <v>3480</v>
      </c>
      <c r="M1021" s="48">
        <v>0.3</v>
      </c>
      <c r="N1021" s="67">
        <f t="shared" si="52"/>
        <v>9</v>
      </c>
      <c r="O1021" s="82">
        <v>0.18</v>
      </c>
      <c r="P1021" s="68">
        <f t="shared" si="53"/>
        <v>1.6199999999999999</v>
      </c>
      <c r="Q1021" s="48"/>
      <c r="R1021" s="48"/>
      <c r="S1021" s="5">
        <f t="shared" si="54"/>
        <v>10.62</v>
      </c>
      <c r="T1021" s="70" t="s">
        <v>2887</v>
      </c>
      <c r="U1021" s="70" t="s">
        <v>2816</v>
      </c>
      <c r="V1021" s="1" t="s">
        <v>634</v>
      </c>
      <c r="W1021" s="1" t="s">
        <v>2929</v>
      </c>
      <c r="X1021" s="1">
        <v>85322990</v>
      </c>
      <c r="Y1021" s="2"/>
      <c r="Z1021" s="21" t="s">
        <v>2808</v>
      </c>
      <c r="AA1021" s="21"/>
      <c r="AB1021" s="21"/>
      <c r="AC1021" s="12"/>
      <c r="AD1021" s="2"/>
      <c r="AE1021" s="6"/>
      <c r="AF1021" s="1"/>
      <c r="AG1021" s="26"/>
    </row>
    <row r="1022" spans="1:33" s="206" customFormat="1" ht="30" x14ac:dyDescent="0.25">
      <c r="A1022" s="4">
        <v>46121</v>
      </c>
      <c r="B1022" s="4">
        <v>46122</v>
      </c>
      <c r="C1022" s="1" t="s">
        <v>1991</v>
      </c>
      <c r="D1022" s="224" t="s">
        <v>3579</v>
      </c>
      <c r="E1022" s="6" t="s">
        <v>2837</v>
      </c>
      <c r="F1022" s="234" t="s">
        <v>2839</v>
      </c>
      <c r="G1022" s="6" t="s">
        <v>2839</v>
      </c>
      <c r="H1022" s="69">
        <v>50</v>
      </c>
      <c r="I1022" s="69"/>
      <c r="J1022" s="69">
        <f>Table224[[#This Row],[Qty]]-Table224[[#This Row],[Issue Qty]]</f>
        <v>50</v>
      </c>
      <c r="K1022" s="69"/>
      <c r="L1022" s="69" t="s">
        <v>3480</v>
      </c>
      <c r="M1022" s="48">
        <v>0.2</v>
      </c>
      <c r="N1022" s="67">
        <f t="shared" si="52"/>
        <v>10</v>
      </c>
      <c r="O1022" s="82">
        <v>0.18</v>
      </c>
      <c r="P1022" s="68">
        <f t="shared" si="53"/>
        <v>1.7999999999999998</v>
      </c>
      <c r="Q1022" s="48"/>
      <c r="R1022" s="48"/>
      <c r="S1022" s="5">
        <f t="shared" si="54"/>
        <v>11.8</v>
      </c>
      <c r="T1022" s="70" t="s">
        <v>2887</v>
      </c>
      <c r="U1022" s="70" t="s">
        <v>2816</v>
      </c>
      <c r="V1022" s="1" t="s">
        <v>634</v>
      </c>
      <c r="W1022" s="1" t="s">
        <v>2929</v>
      </c>
      <c r="X1022" s="1">
        <v>85322990</v>
      </c>
      <c r="Y1022" s="2"/>
      <c r="Z1022" s="21" t="s">
        <v>38</v>
      </c>
      <c r="AA1022" s="21" t="s">
        <v>2809</v>
      </c>
      <c r="AB1022" s="21"/>
      <c r="AC1022" s="12"/>
      <c r="AD1022" s="2"/>
      <c r="AE1022" s="6"/>
      <c r="AF1022" s="1"/>
      <c r="AG1022" s="26"/>
    </row>
    <row r="1023" spans="1:33" s="206" customFormat="1" x14ac:dyDescent="0.25">
      <c r="A1023" s="4">
        <v>46120</v>
      </c>
      <c r="B1023" s="4">
        <v>46122</v>
      </c>
      <c r="C1023" s="1" t="s">
        <v>1991</v>
      </c>
      <c r="D1023" s="224" t="s">
        <v>3576</v>
      </c>
      <c r="E1023" s="6" t="s">
        <v>2814</v>
      </c>
      <c r="F1023" s="170" t="s">
        <v>2815</v>
      </c>
      <c r="G1023" s="6" t="s">
        <v>2815</v>
      </c>
      <c r="H1023" s="69">
        <v>20</v>
      </c>
      <c r="I1023" s="69"/>
      <c r="J1023" s="69">
        <f>Table224[[#This Row],[Qty]]-Table224[[#This Row],[Issue Qty]]</f>
        <v>20</v>
      </c>
      <c r="K1023" s="69"/>
      <c r="L1023" s="69" t="s">
        <v>3480</v>
      </c>
      <c r="M1023" s="48">
        <v>1.56</v>
      </c>
      <c r="N1023" s="67">
        <f t="shared" si="52"/>
        <v>31.200000000000003</v>
      </c>
      <c r="O1023" s="82">
        <v>0.18</v>
      </c>
      <c r="P1023" s="68">
        <f t="shared" si="53"/>
        <v>5.6160000000000005</v>
      </c>
      <c r="Q1023" s="71"/>
      <c r="R1023" s="210"/>
      <c r="S1023" s="5">
        <f t="shared" si="54"/>
        <v>36.816000000000003</v>
      </c>
      <c r="T1023" s="70" t="s">
        <v>2887</v>
      </c>
      <c r="U1023" s="70" t="s">
        <v>2816</v>
      </c>
      <c r="V1023" s="1" t="s">
        <v>2817</v>
      </c>
      <c r="W1023" s="1" t="s">
        <v>2818</v>
      </c>
      <c r="X1023" s="1">
        <v>85414100</v>
      </c>
      <c r="Y1023" s="2"/>
      <c r="Z1023" s="21" t="s">
        <v>38</v>
      </c>
      <c r="AA1023" s="21" t="s">
        <v>2809</v>
      </c>
      <c r="AB1023" s="21"/>
      <c r="AC1023" s="12"/>
      <c r="AD1023" s="2">
        <v>24</v>
      </c>
      <c r="AE1023" s="6"/>
      <c r="AF1023" s="26"/>
      <c r="AG1023" s="26"/>
    </row>
    <row r="1024" spans="1:33" s="206" customFormat="1" ht="30" x14ac:dyDescent="0.25">
      <c r="A1024" s="4">
        <v>46121</v>
      </c>
      <c r="B1024" s="4">
        <v>46122</v>
      </c>
      <c r="C1024" s="1" t="s">
        <v>1991</v>
      </c>
      <c r="D1024" s="224" t="s">
        <v>3579</v>
      </c>
      <c r="E1024" s="6" t="s">
        <v>2833</v>
      </c>
      <c r="F1024" s="234" t="s">
        <v>2834</v>
      </c>
      <c r="G1024" s="6" t="s">
        <v>2834</v>
      </c>
      <c r="H1024" s="69">
        <v>12</v>
      </c>
      <c r="I1024" s="69"/>
      <c r="J1024" s="69">
        <f>Table224[[#This Row],[Qty]]-Table224[[#This Row],[Issue Qty]]</f>
        <v>12</v>
      </c>
      <c r="K1024" s="69"/>
      <c r="L1024" s="69" t="s">
        <v>3480</v>
      </c>
      <c r="M1024" s="48">
        <v>1.1399999999999999</v>
      </c>
      <c r="N1024" s="67">
        <f t="shared" si="52"/>
        <v>13.68</v>
      </c>
      <c r="O1024" s="82">
        <v>0.18</v>
      </c>
      <c r="P1024" s="68">
        <f t="shared" si="53"/>
        <v>2.4623999999999997</v>
      </c>
      <c r="Q1024" s="48"/>
      <c r="R1024" s="48"/>
      <c r="S1024" s="5">
        <f t="shared" si="54"/>
        <v>16.142399999999999</v>
      </c>
      <c r="T1024" s="70" t="s">
        <v>2887</v>
      </c>
      <c r="U1024" s="70" t="s">
        <v>2816</v>
      </c>
      <c r="V1024" s="1" t="s">
        <v>634</v>
      </c>
      <c r="W1024" s="1" t="s">
        <v>2929</v>
      </c>
      <c r="X1024" s="1">
        <v>85322990</v>
      </c>
      <c r="Y1024" s="2"/>
      <c r="Z1024" s="21" t="s">
        <v>38</v>
      </c>
      <c r="AA1024" s="21" t="s">
        <v>2809</v>
      </c>
      <c r="AB1024" s="21"/>
      <c r="AC1024" s="12"/>
      <c r="AD1024" s="2"/>
      <c r="AE1024" s="6"/>
      <c r="AF1024" s="1"/>
      <c r="AG1024" s="26"/>
    </row>
    <row r="1025" spans="1:34" s="206" customFormat="1" ht="30" x14ac:dyDescent="0.25">
      <c r="A1025" s="4">
        <v>46121</v>
      </c>
      <c r="B1025" s="4">
        <v>46122</v>
      </c>
      <c r="C1025" s="1" t="s">
        <v>1991</v>
      </c>
      <c r="D1025" s="224" t="s">
        <v>3579</v>
      </c>
      <c r="E1025" s="6" t="s">
        <v>2829</v>
      </c>
      <c r="F1025" s="234" t="s">
        <v>2830</v>
      </c>
      <c r="G1025" s="6" t="s">
        <v>2830</v>
      </c>
      <c r="H1025" s="69">
        <v>11</v>
      </c>
      <c r="I1025" s="69"/>
      <c r="J1025" s="69">
        <f>Table224[[#This Row],[Qty]]-Table224[[#This Row],[Issue Qty]]</f>
        <v>11</v>
      </c>
      <c r="K1025" s="69"/>
      <c r="L1025" s="69" t="s">
        <v>3480</v>
      </c>
      <c r="M1025" s="48">
        <v>1.1499999999999999</v>
      </c>
      <c r="N1025" s="67">
        <f t="shared" si="52"/>
        <v>12.649999999999999</v>
      </c>
      <c r="O1025" s="82">
        <v>0.18</v>
      </c>
      <c r="P1025" s="68">
        <f t="shared" si="53"/>
        <v>2.2769999999999997</v>
      </c>
      <c r="Q1025" s="48"/>
      <c r="R1025" s="48"/>
      <c r="S1025" s="5">
        <f t="shared" si="54"/>
        <v>14.926999999999998</v>
      </c>
      <c r="T1025" s="70" t="s">
        <v>2887</v>
      </c>
      <c r="U1025" s="70" t="s">
        <v>2816</v>
      </c>
      <c r="V1025" s="1" t="s">
        <v>634</v>
      </c>
      <c r="W1025" s="1" t="s">
        <v>2929</v>
      </c>
      <c r="X1025" s="1">
        <v>85322990</v>
      </c>
      <c r="Y1025" s="2"/>
      <c r="Z1025" s="21" t="s">
        <v>38</v>
      </c>
      <c r="AA1025" s="21" t="s">
        <v>2809</v>
      </c>
      <c r="AB1025" s="21"/>
      <c r="AC1025" s="12"/>
      <c r="AD1025" s="2"/>
      <c r="AE1025" s="6"/>
      <c r="AF1025" s="1"/>
      <c r="AG1025" s="26"/>
    </row>
    <row r="1026" spans="1:34" s="206" customFormat="1" x14ac:dyDescent="0.25">
      <c r="A1026" s="4">
        <v>46120</v>
      </c>
      <c r="B1026" s="4">
        <v>46122</v>
      </c>
      <c r="C1026" s="1" t="s">
        <v>1991</v>
      </c>
      <c r="D1026" s="224" t="s">
        <v>3560</v>
      </c>
      <c r="E1026" s="6" t="s">
        <v>2819</v>
      </c>
      <c r="F1026" s="170" t="s">
        <v>2820</v>
      </c>
      <c r="G1026" s="6" t="s">
        <v>2820</v>
      </c>
      <c r="H1026" s="69">
        <v>7</v>
      </c>
      <c r="I1026" s="69"/>
      <c r="J1026" s="69">
        <f>Table224[[#This Row],[Qty]]-Table224[[#This Row],[Issue Qty]]</f>
        <v>7</v>
      </c>
      <c r="K1026" s="69"/>
      <c r="L1026" s="195" t="s">
        <v>3480</v>
      </c>
      <c r="M1026" s="48">
        <v>2.46</v>
      </c>
      <c r="N1026" s="67">
        <f t="shared" si="52"/>
        <v>17.22</v>
      </c>
      <c r="O1026" s="82">
        <v>0.18</v>
      </c>
      <c r="P1026" s="68">
        <f t="shared" si="53"/>
        <v>3.0995999999999997</v>
      </c>
      <c r="Q1026" s="71">
        <v>53</v>
      </c>
      <c r="R1026" s="71">
        <v>-0.24</v>
      </c>
      <c r="S1026" s="5">
        <f t="shared" si="54"/>
        <v>73.079599999999999</v>
      </c>
      <c r="T1026" s="70" t="s">
        <v>2887</v>
      </c>
      <c r="U1026" s="70" t="s">
        <v>2816</v>
      </c>
      <c r="V1026" s="1" t="s">
        <v>2817</v>
      </c>
      <c r="W1026" s="1" t="s">
        <v>2818</v>
      </c>
      <c r="X1026" s="1">
        <v>85411000</v>
      </c>
      <c r="Y1026" s="2"/>
      <c r="Z1026" s="21" t="s">
        <v>38</v>
      </c>
      <c r="AA1026" s="21" t="s">
        <v>2809</v>
      </c>
      <c r="AB1026" s="21"/>
      <c r="AC1026" s="12"/>
      <c r="AD1026" s="2">
        <v>8</v>
      </c>
      <c r="AE1026" s="6"/>
      <c r="AF1026" s="26"/>
      <c r="AG1026" s="26"/>
    </row>
    <row r="1027" spans="1:34" s="206" customFormat="1" ht="30" x14ac:dyDescent="0.25">
      <c r="A1027" s="4">
        <v>46120</v>
      </c>
      <c r="B1027" s="4">
        <v>46125</v>
      </c>
      <c r="C1027" s="1" t="s">
        <v>1991</v>
      </c>
      <c r="D1027" s="224" t="s">
        <v>3560</v>
      </c>
      <c r="E1027" s="6" t="s">
        <v>2873</v>
      </c>
      <c r="F1027" s="234" t="s">
        <v>2874</v>
      </c>
      <c r="G1027" s="6" t="s">
        <v>2874</v>
      </c>
      <c r="H1027" s="69">
        <v>25</v>
      </c>
      <c r="I1027" s="69"/>
      <c r="J1027" s="69">
        <f>Table224[[#This Row],[Qty]]-Table224[[#This Row],[Issue Qty]]</f>
        <v>25</v>
      </c>
      <c r="K1027" s="69"/>
      <c r="L1027" s="69" t="s">
        <v>3480</v>
      </c>
      <c r="M1027" s="48">
        <v>3.7</v>
      </c>
      <c r="N1027" s="67">
        <f t="shared" si="52"/>
        <v>92.5</v>
      </c>
      <c r="O1027" s="82"/>
      <c r="P1027" s="68">
        <f t="shared" si="53"/>
        <v>0</v>
      </c>
      <c r="Q1027" s="71">
        <v>76.7</v>
      </c>
      <c r="R1027" s="210"/>
      <c r="S1027" s="5">
        <f t="shared" si="54"/>
        <v>169.2</v>
      </c>
      <c r="T1027" s="70" t="s">
        <v>2887</v>
      </c>
      <c r="U1027" s="70" t="s">
        <v>2816</v>
      </c>
      <c r="V1027" s="1" t="s">
        <v>2875</v>
      </c>
      <c r="W1027" s="1">
        <v>262700471</v>
      </c>
      <c r="X1027" s="1">
        <v>85322990</v>
      </c>
      <c r="Y1027" s="2"/>
      <c r="Z1027" s="21" t="s">
        <v>38</v>
      </c>
      <c r="AA1027" s="21" t="s">
        <v>2809</v>
      </c>
      <c r="AB1027" s="21"/>
      <c r="AC1027" s="12"/>
      <c r="AD1027" s="2"/>
      <c r="AE1027" s="6"/>
      <c r="AF1027" s="26"/>
      <c r="AG1027" s="26"/>
    </row>
    <row r="1028" spans="1:34" s="206" customFormat="1" x14ac:dyDescent="0.25">
      <c r="A1028" s="4">
        <v>46120</v>
      </c>
      <c r="B1028" s="4">
        <v>46125</v>
      </c>
      <c r="C1028" s="1" t="s">
        <v>1991</v>
      </c>
      <c r="D1028" s="224" t="s">
        <v>3576</v>
      </c>
      <c r="E1028" s="6" t="s">
        <v>2880</v>
      </c>
      <c r="F1028" s="234" t="s">
        <v>2881</v>
      </c>
      <c r="G1028" s="6" t="s">
        <v>2881</v>
      </c>
      <c r="H1028" s="69">
        <v>10</v>
      </c>
      <c r="I1028" s="69"/>
      <c r="J1028" s="69">
        <f>Table224[[#This Row],[Qty]]-Table224[[#This Row],[Issue Qty]]</f>
        <v>10</v>
      </c>
      <c r="K1028" s="69"/>
      <c r="L1028" s="69" t="s">
        <v>3480</v>
      </c>
      <c r="M1028" s="48">
        <v>143.97</v>
      </c>
      <c r="N1028" s="67">
        <f t="shared" si="52"/>
        <v>1439.7</v>
      </c>
      <c r="O1028" s="82"/>
      <c r="P1028" s="68">
        <f t="shared" si="53"/>
        <v>0</v>
      </c>
      <c r="Q1028" s="71"/>
      <c r="R1028" s="210"/>
      <c r="S1028" s="5">
        <f t="shared" si="54"/>
        <v>1439.7</v>
      </c>
      <c r="T1028" s="70" t="s">
        <v>2887</v>
      </c>
      <c r="U1028" s="70" t="s">
        <v>2816</v>
      </c>
      <c r="V1028" s="1" t="s">
        <v>1503</v>
      </c>
      <c r="W1028" s="1">
        <v>123796847</v>
      </c>
      <c r="X1028" s="1"/>
      <c r="Y1028" s="2"/>
      <c r="Z1028" s="21" t="s">
        <v>38</v>
      </c>
      <c r="AA1028" s="21" t="s">
        <v>2809</v>
      </c>
      <c r="AB1028" s="21"/>
      <c r="AC1028" s="12"/>
      <c r="AD1028" s="2"/>
      <c r="AE1028" s="6"/>
      <c r="AF1028" s="26"/>
      <c r="AG1028" s="26"/>
    </row>
    <row r="1029" spans="1:34" s="206" customFormat="1" x14ac:dyDescent="0.25">
      <c r="A1029" s="4">
        <v>46112</v>
      </c>
      <c r="B1029" s="4">
        <v>46125</v>
      </c>
      <c r="C1029" s="112" t="s">
        <v>54</v>
      </c>
      <c r="D1029" s="224" t="s">
        <v>3500</v>
      </c>
      <c r="E1029" s="6" t="s">
        <v>2842</v>
      </c>
      <c r="F1029" s="289" t="s">
        <v>2843</v>
      </c>
      <c r="G1029" s="6" t="s">
        <v>2843</v>
      </c>
      <c r="H1029" s="69">
        <v>5</v>
      </c>
      <c r="I1029" s="69">
        <v>5</v>
      </c>
      <c r="J1029" s="69">
        <f>Table224[[#This Row],[Qty]]-Table224[[#This Row],[Issue Qty]]</f>
        <v>0</v>
      </c>
      <c r="K1029" s="69"/>
      <c r="L1029" s="69" t="s">
        <v>3480</v>
      </c>
      <c r="M1029" s="48">
        <v>1515625</v>
      </c>
      <c r="N1029" s="67">
        <f t="shared" si="52"/>
        <v>7578125</v>
      </c>
      <c r="O1029" s="82">
        <v>0.05</v>
      </c>
      <c r="P1029" s="68">
        <f t="shared" si="53"/>
        <v>378906.25</v>
      </c>
      <c r="Q1029" s="48"/>
      <c r="R1029" s="48"/>
      <c r="S1029" s="5">
        <f t="shared" si="54"/>
        <v>7957031.25</v>
      </c>
      <c r="T1029" s="70" t="s">
        <v>2844</v>
      </c>
      <c r="U1029" s="70" t="s">
        <v>2844</v>
      </c>
      <c r="V1029" s="1" t="s">
        <v>2845</v>
      </c>
      <c r="W1029" s="1" t="s">
        <v>2846</v>
      </c>
      <c r="X1029" s="1">
        <v>88069900</v>
      </c>
      <c r="Y1029" s="2"/>
      <c r="Z1029" s="21" t="s">
        <v>2995</v>
      </c>
      <c r="AA1029" s="21"/>
      <c r="AB1029" s="21">
        <v>5</v>
      </c>
      <c r="AC1029" s="12"/>
      <c r="AD1029" s="2"/>
      <c r="AE1029" s="6"/>
      <c r="AF1029" s="1"/>
      <c r="AG1029" s="26"/>
    </row>
    <row r="1030" spans="1:34" s="206" customFormat="1" ht="15" customHeight="1" x14ac:dyDescent="0.25">
      <c r="A1030" s="4">
        <v>46125</v>
      </c>
      <c r="B1030" s="4">
        <v>46125</v>
      </c>
      <c r="C1030" s="6" t="s">
        <v>1730</v>
      </c>
      <c r="D1030" s="224" t="s">
        <v>3595</v>
      </c>
      <c r="E1030" s="6" t="s">
        <v>1644</v>
      </c>
      <c r="F1030" s="234" t="s">
        <v>2870</v>
      </c>
      <c r="G1030" s="6" t="s">
        <v>2870</v>
      </c>
      <c r="H1030" s="69">
        <v>12</v>
      </c>
      <c r="I1030" s="69">
        <v>12</v>
      </c>
      <c r="J1030" s="69">
        <f>Table224[[#This Row],[Qty]]-Table224[[#This Row],[Issue Qty]]</f>
        <v>0</v>
      </c>
      <c r="K1030" s="69"/>
      <c r="L1030" s="195" t="s">
        <v>3514</v>
      </c>
      <c r="M1030" s="48">
        <v>425</v>
      </c>
      <c r="N1030" s="5">
        <f t="shared" si="52"/>
        <v>5100</v>
      </c>
      <c r="O1030" s="82">
        <v>0.18</v>
      </c>
      <c r="P1030" s="9">
        <f t="shared" si="53"/>
        <v>918</v>
      </c>
      <c r="Q1030" s="210"/>
      <c r="R1030" s="210"/>
      <c r="S1030" s="5">
        <f t="shared" si="54"/>
        <v>6018</v>
      </c>
      <c r="T1030" s="70" t="s">
        <v>1408</v>
      </c>
      <c r="U1030" s="70" t="s">
        <v>1408</v>
      </c>
      <c r="V1030" s="1" t="s">
        <v>1645</v>
      </c>
      <c r="W1030" s="1" t="s">
        <v>2871</v>
      </c>
      <c r="X1030" s="1">
        <v>39189090</v>
      </c>
      <c r="Y1030" s="2"/>
      <c r="Z1030" s="21" t="s">
        <v>2777</v>
      </c>
      <c r="AA1030" s="21"/>
      <c r="AB1030" s="21">
        <v>12</v>
      </c>
      <c r="AC1030" s="12"/>
      <c r="AD1030" s="2"/>
      <c r="AE1030" s="6"/>
      <c r="AF1030" s="26"/>
      <c r="AG1030" s="26"/>
    </row>
    <row r="1031" spans="1:34" s="206" customFormat="1" ht="15" customHeight="1" x14ac:dyDescent="0.25">
      <c r="A1031" s="4">
        <v>46120</v>
      </c>
      <c r="B1031" s="4">
        <v>46125</v>
      </c>
      <c r="C1031" s="1" t="s">
        <v>1991</v>
      </c>
      <c r="D1031" s="224" t="s">
        <v>3576</v>
      </c>
      <c r="E1031" s="6" t="s">
        <v>2876</v>
      </c>
      <c r="F1031" s="234" t="s">
        <v>2877</v>
      </c>
      <c r="G1031" s="6" t="s">
        <v>2877</v>
      </c>
      <c r="H1031" s="69">
        <v>10</v>
      </c>
      <c r="I1031" s="69"/>
      <c r="J1031" s="69">
        <f>Table224[[#This Row],[Qty]]-Table224[[#This Row],[Issue Qty]]</f>
        <v>10</v>
      </c>
      <c r="K1031" s="69"/>
      <c r="L1031" s="195" t="s">
        <v>3480</v>
      </c>
      <c r="M1031" s="48">
        <v>1.68</v>
      </c>
      <c r="N1031" s="5">
        <f t="shared" si="52"/>
        <v>16.8</v>
      </c>
      <c r="O1031" s="82"/>
      <c r="P1031" s="9">
        <f t="shared" si="53"/>
        <v>0</v>
      </c>
      <c r="Q1031" s="71"/>
      <c r="R1031" s="210"/>
      <c r="S1031" s="5">
        <f t="shared" si="54"/>
        <v>16.8</v>
      </c>
      <c r="T1031" s="1" t="s">
        <v>2887</v>
      </c>
      <c r="U1031" s="70" t="s">
        <v>2816</v>
      </c>
      <c r="V1031" s="1" t="s">
        <v>1503</v>
      </c>
      <c r="W1031" s="1">
        <v>123796847</v>
      </c>
      <c r="X1031" s="1"/>
      <c r="Y1031" s="2"/>
      <c r="Z1031" s="21" t="s">
        <v>38</v>
      </c>
      <c r="AA1031" s="21" t="s">
        <v>2809</v>
      </c>
      <c r="AB1031" s="21"/>
      <c r="AC1031" s="12"/>
      <c r="AD1031" s="2"/>
      <c r="AE1031" s="6"/>
      <c r="AF1031" s="26"/>
      <c r="AG1031" s="26"/>
    </row>
    <row r="1032" spans="1:34" s="206" customFormat="1" ht="15" customHeight="1" x14ac:dyDescent="0.25">
      <c r="A1032" s="4">
        <v>46125</v>
      </c>
      <c r="B1032" s="4">
        <v>46125</v>
      </c>
      <c r="C1032" s="112" t="s">
        <v>54</v>
      </c>
      <c r="D1032" s="224" t="s">
        <v>3494</v>
      </c>
      <c r="E1032" s="6" t="s">
        <v>2603</v>
      </c>
      <c r="F1032" s="257" t="s">
        <v>1506</v>
      </c>
      <c r="G1032" s="6" t="s">
        <v>1506</v>
      </c>
      <c r="H1032" s="69">
        <v>1</v>
      </c>
      <c r="I1032" s="69">
        <v>1</v>
      </c>
      <c r="J1032" s="69">
        <f>Table224[[#This Row],[Qty]]-Table224[[#This Row],[Issue Qty]]</f>
        <v>0</v>
      </c>
      <c r="K1032" s="334">
        <v>1</v>
      </c>
      <c r="L1032" s="195" t="s">
        <v>3480</v>
      </c>
      <c r="M1032" s="48">
        <v>2979.9</v>
      </c>
      <c r="N1032" s="5">
        <f t="shared" si="52"/>
        <v>2979.9</v>
      </c>
      <c r="O1032" s="82">
        <v>0.18</v>
      </c>
      <c r="P1032" s="9">
        <f t="shared" si="53"/>
        <v>536.38199999999995</v>
      </c>
      <c r="Q1032" s="71"/>
      <c r="R1032" s="210"/>
      <c r="S1032" s="5">
        <f t="shared" si="54"/>
        <v>3516.2820000000002</v>
      </c>
      <c r="T1032" s="1" t="s">
        <v>2887</v>
      </c>
      <c r="U1032" s="70" t="s">
        <v>2816</v>
      </c>
      <c r="V1032" s="1" t="s">
        <v>358</v>
      </c>
      <c r="W1032" s="1" t="s">
        <v>2886</v>
      </c>
      <c r="X1032" s="1">
        <v>39269099</v>
      </c>
      <c r="Y1032" s="2"/>
      <c r="Z1032" s="21"/>
      <c r="AA1032" s="21"/>
      <c r="AB1032" s="21">
        <v>1</v>
      </c>
      <c r="AC1032" s="12" t="s">
        <v>481</v>
      </c>
      <c r="AD1032" s="2"/>
      <c r="AE1032" s="6"/>
      <c r="AF1032" s="26"/>
      <c r="AG1032" s="26"/>
    </row>
    <row r="1033" spans="1:34" s="206" customFormat="1" ht="15" customHeight="1" x14ac:dyDescent="0.25">
      <c r="A1033" s="4">
        <v>46125</v>
      </c>
      <c r="B1033" s="4">
        <v>46125</v>
      </c>
      <c r="C1033" s="112" t="s">
        <v>54</v>
      </c>
      <c r="D1033" s="224" t="s">
        <v>3494</v>
      </c>
      <c r="E1033" s="6" t="s">
        <v>2604</v>
      </c>
      <c r="F1033" s="236" t="s">
        <v>1507</v>
      </c>
      <c r="G1033" s="80" t="s">
        <v>1507</v>
      </c>
      <c r="H1033" s="69">
        <v>1</v>
      </c>
      <c r="I1033" s="69">
        <v>1</v>
      </c>
      <c r="J1033" s="69">
        <f>Table224[[#This Row],[Qty]]-Table224[[#This Row],[Issue Qty]]</f>
        <v>0</v>
      </c>
      <c r="K1033" s="334">
        <v>1</v>
      </c>
      <c r="L1033" s="69" t="s">
        <v>3480</v>
      </c>
      <c r="M1033" s="48">
        <v>4669.8</v>
      </c>
      <c r="N1033" s="5">
        <f t="shared" si="52"/>
        <v>4669.8</v>
      </c>
      <c r="O1033" s="82">
        <v>0.18</v>
      </c>
      <c r="P1033" s="9">
        <f t="shared" si="53"/>
        <v>840.56399999999996</v>
      </c>
      <c r="Q1033" s="71"/>
      <c r="R1033" s="210"/>
      <c r="S1033" s="5">
        <f t="shared" si="54"/>
        <v>5510.3640000000005</v>
      </c>
      <c r="T1033" s="1" t="s">
        <v>2887</v>
      </c>
      <c r="U1033" s="70" t="s">
        <v>2816</v>
      </c>
      <c r="V1033" s="1" t="s">
        <v>358</v>
      </c>
      <c r="W1033" s="1" t="s">
        <v>2886</v>
      </c>
      <c r="X1033" s="1">
        <v>39269099</v>
      </c>
      <c r="Y1033" s="2"/>
      <c r="Z1033" s="21"/>
      <c r="AA1033" s="21"/>
      <c r="AB1033" s="35">
        <v>1</v>
      </c>
      <c r="AC1033" s="42" t="s">
        <v>3642</v>
      </c>
      <c r="AD1033" s="2"/>
      <c r="AE1033" s="6"/>
      <c r="AF1033" s="26"/>
      <c r="AG1033" s="26"/>
    </row>
    <row r="1034" spans="1:34" s="206" customFormat="1" ht="15" customHeight="1" x14ac:dyDescent="0.25">
      <c r="A1034" s="4">
        <v>46120</v>
      </c>
      <c r="B1034" s="4">
        <v>46125</v>
      </c>
      <c r="C1034" s="1" t="s">
        <v>1991</v>
      </c>
      <c r="D1034" s="224" t="s">
        <v>3580</v>
      </c>
      <c r="E1034" s="6" t="s">
        <v>2878</v>
      </c>
      <c r="F1034" s="234" t="s">
        <v>2879</v>
      </c>
      <c r="G1034" s="6" t="s">
        <v>2879</v>
      </c>
      <c r="H1034" s="69">
        <v>10</v>
      </c>
      <c r="I1034" s="69"/>
      <c r="J1034" s="69">
        <f>Table224[[#This Row],[Qty]]-Table224[[#This Row],[Issue Qty]]</f>
        <v>10</v>
      </c>
      <c r="K1034" s="69"/>
      <c r="L1034" s="69" t="s">
        <v>3480</v>
      </c>
      <c r="M1034" s="48">
        <v>84.8</v>
      </c>
      <c r="N1034" s="5">
        <f t="shared" si="52"/>
        <v>848</v>
      </c>
      <c r="O1034" s="82"/>
      <c r="P1034" s="9">
        <f t="shared" si="53"/>
        <v>0</v>
      </c>
      <c r="Q1034" s="71"/>
      <c r="R1034" s="210"/>
      <c r="S1034" s="5">
        <f t="shared" si="54"/>
        <v>848</v>
      </c>
      <c r="T1034" s="1" t="s">
        <v>2887</v>
      </c>
      <c r="U1034" s="70" t="s">
        <v>2816</v>
      </c>
      <c r="V1034" s="1" t="s">
        <v>1503</v>
      </c>
      <c r="W1034" s="1">
        <v>123796847</v>
      </c>
      <c r="X1034" s="1"/>
      <c r="Y1034" s="2"/>
      <c r="Z1034" s="21" t="s">
        <v>38</v>
      </c>
      <c r="AA1034" s="21" t="s">
        <v>2809</v>
      </c>
      <c r="AB1034" s="21"/>
      <c r="AC1034" s="12"/>
      <c r="AD1034" s="2"/>
      <c r="AE1034" s="6"/>
      <c r="AF1034" s="26"/>
      <c r="AG1034" s="26"/>
    </row>
    <row r="1035" spans="1:34" s="206" customFormat="1" ht="15" customHeight="1" x14ac:dyDescent="0.25">
      <c r="A1035" s="4">
        <v>46120</v>
      </c>
      <c r="B1035" s="4">
        <v>46125</v>
      </c>
      <c r="C1035" s="1" t="s">
        <v>1991</v>
      </c>
      <c r="D1035" s="224" t="s">
        <v>3579</v>
      </c>
      <c r="E1035" s="6" t="s">
        <v>2884</v>
      </c>
      <c r="F1035" s="234" t="s">
        <v>2885</v>
      </c>
      <c r="G1035" s="6" t="s">
        <v>2885</v>
      </c>
      <c r="H1035" s="69">
        <v>10</v>
      </c>
      <c r="I1035" s="69"/>
      <c r="J1035" s="115">
        <f>Table224[[#This Row],[Qty]]-Table224[[#This Row],[Issue Qty]]</f>
        <v>10</v>
      </c>
      <c r="K1035" s="195"/>
      <c r="L1035" s="195" t="s">
        <v>3480</v>
      </c>
      <c r="M1035" s="48">
        <v>0.37</v>
      </c>
      <c r="N1035" s="5">
        <f t="shared" si="52"/>
        <v>3.7</v>
      </c>
      <c r="O1035" s="82"/>
      <c r="P1035" s="9">
        <f t="shared" si="53"/>
        <v>0</v>
      </c>
      <c r="Q1035" s="71"/>
      <c r="R1035" s="210"/>
      <c r="S1035" s="5">
        <f t="shared" si="54"/>
        <v>3.7</v>
      </c>
      <c r="T1035" s="1" t="s">
        <v>2887</v>
      </c>
      <c r="U1035" s="70" t="s">
        <v>2816</v>
      </c>
      <c r="V1035" s="1" t="s">
        <v>1503</v>
      </c>
      <c r="W1035" s="1">
        <v>123796847</v>
      </c>
      <c r="X1035" s="1"/>
      <c r="Y1035" s="2"/>
      <c r="Z1035" s="21" t="s">
        <v>38</v>
      </c>
      <c r="AA1035" s="21" t="s">
        <v>2809</v>
      </c>
      <c r="AB1035" s="21"/>
      <c r="AC1035" s="12"/>
      <c r="AD1035" s="2"/>
      <c r="AE1035" s="6"/>
      <c r="AF1035" s="26"/>
      <c r="AG1035" s="26"/>
    </row>
    <row r="1036" spans="1:34" s="206" customFormat="1" ht="15" customHeight="1" x14ac:dyDescent="0.25">
      <c r="A1036" s="4">
        <v>46120</v>
      </c>
      <c r="B1036" s="4">
        <v>46125</v>
      </c>
      <c r="C1036" s="1" t="s">
        <v>1991</v>
      </c>
      <c r="D1036" s="224" t="s">
        <v>3581</v>
      </c>
      <c r="E1036" s="6" t="s">
        <v>2882</v>
      </c>
      <c r="F1036" s="234" t="s">
        <v>2883</v>
      </c>
      <c r="G1036" s="6" t="s">
        <v>2883</v>
      </c>
      <c r="H1036" s="69">
        <v>5</v>
      </c>
      <c r="I1036" s="69"/>
      <c r="J1036" s="69">
        <f>Table224[[#This Row],[Qty]]-Table224[[#This Row],[Issue Qty]]</f>
        <v>5</v>
      </c>
      <c r="K1036" s="69"/>
      <c r="L1036" s="195" t="s">
        <v>3480</v>
      </c>
      <c r="M1036" s="48">
        <v>60.57</v>
      </c>
      <c r="N1036" s="5">
        <f t="shared" si="52"/>
        <v>302.85000000000002</v>
      </c>
      <c r="O1036" s="82"/>
      <c r="P1036" s="9">
        <f t="shared" si="53"/>
        <v>0</v>
      </c>
      <c r="Q1036" s="71"/>
      <c r="R1036" s="210"/>
      <c r="S1036" s="5">
        <f t="shared" si="54"/>
        <v>302.85000000000002</v>
      </c>
      <c r="T1036" s="1" t="s">
        <v>2887</v>
      </c>
      <c r="U1036" s="70" t="s">
        <v>2816</v>
      </c>
      <c r="V1036" s="1" t="s">
        <v>1503</v>
      </c>
      <c r="W1036" s="1">
        <v>123796847</v>
      </c>
      <c r="X1036" s="1"/>
      <c r="Y1036" s="2"/>
      <c r="Z1036" s="21" t="s">
        <v>38</v>
      </c>
      <c r="AA1036" s="21" t="s">
        <v>2809</v>
      </c>
      <c r="AB1036" s="21"/>
      <c r="AC1036" s="12"/>
      <c r="AD1036" s="2"/>
      <c r="AE1036" s="6"/>
      <c r="AF1036" s="26"/>
      <c r="AG1036" s="26"/>
    </row>
    <row r="1037" spans="1:34" s="13" customFormat="1" ht="15" customHeight="1" x14ac:dyDescent="0.25">
      <c r="A1037" s="4">
        <v>46125</v>
      </c>
      <c r="B1037" s="4">
        <v>46127</v>
      </c>
      <c r="C1037" s="1" t="s">
        <v>1991</v>
      </c>
      <c r="D1037" s="224" t="s">
        <v>3463</v>
      </c>
      <c r="E1037" s="6" t="s">
        <v>1711</v>
      </c>
      <c r="F1037" s="257" t="s">
        <v>86</v>
      </c>
      <c r="G1037" s="6" t="s">
        <v>86</v>
      </c>
      <c r="H1037" s="8">
        <v>5</v>
      </c>
      <c r="I1037" s="69">
        <v>5</v>
      </c>
      <c r="J1037" s="69">
        <f>Table224[[#This Row],[Qty]]-Table224[[#This Row],[Issue Qty]]</f>
        <v>0</v>
      </c>
      <c r="K1037" s="334">
        <v>2</v>
      </c>
      <c r="L1037" s="195" t="s">
        <v>3480</v>
      </c>
      <c r="M1037" s="271">
        <v>2779.78</v>
      </c>
      <c r="N1037" s="197">
        <f t="shared" si="52"/>
        <v>13898.900000000001</v>
      </c>
      <c r="O1037" s="82">
        <v>0.18</v>
      </c>
      <c r="P1037" s="9">
        <f t="shared" si="53"/>
        <v>2501.8020000000001</v>
      </c>
      <c r="Q1037" s="71"/>
      <c r="R1037" s="210"/>
      <c r="S1037" s="5">
        <f t="shared" si="54"/>
        <v>16400.702000000001</v>
      </c>
      <c r="T1037" s="1" t="s">
        <v>2887</v>
      </c>
      <c r="U1037" s="1" t="s">
        <v>2816</v>
      </c>
      <c r="V1037" s="1" t="s">
        <v>634</v>
      </c>
      <c r="W1037" s="1" t="s">
        <v>2888</v>
      </c>
      <c r="X1037" s="1">
        <v>90151000</v>
      </c>
      <c r="Y1037" s="2"/>
      <c r="Z1037" s="21" t="s">
        <v>89</v>
      </c>
      <c r="AA1037" s="21" t="s">
        <v>90</v>
      </c>
      <c r="AB1037" s="21"/>
      <c r="AC1037" s="12" t="s">
        <v>3736</v>
      </c>
      <c r="AD1037" s="2" t="s">
        <v>3403</v>
      </c>
      <c r="AE1037" s="6"/>
      <c r="AF1037" s="219"/>
      <c r="AG1037" s="219"/>
      <c r="AH1037" s="219"/>
    </row>
    <row r="1038" spans="1:34" s="206" customFormat="1" ht="15" customHeight="1" x14ac:dyDescent="0.25">
      <c r="A1038" s="4">
        <v>46125</v>
      </c>
      <c r="B1038" s="4">
        <v>46127</v>
      </c>
      <c r="C1038" s="112" t="s">
        <v>1683</v>
      </c>
      <c r="D1038" s="186" t="s">
        <v>3487</v>
      </c>
      <c r="E1038" s="6" t="s">
        <v>2889</v>
      </c>
      <c r="F1038" s="243" t="s">
        <v>2890</v>
      </c>
      <c r="G1038" s="6" t="s">
        <v>2890</v>
      </c>
      <c r="H1038" s="69">
        <v>10</v>
      </c>
      <c r="I1038" s="69"/>
      <c r="J1038" s="69">
        <f>Table224[[#This Row],[Qty]]-Table224[[#This Row],[Issue Qty]]</f>
        <v>10</v>
      </c>
      <c r="K1038" s="69"/>
      <c r="L1038" s="69" t="s">
        <v>3480</v>
      </c>
      <c r="M1038" s="48">
        <v>22.03</v>
      </c>
      <c r="N1038" s="5">
        <f t="shared" si="52"/>
        <v>220.3</v>
      </c>
      <c r="O1038" s="82">
        <v>0.18</v>
      </c>
      <c r="P1038" s="9">
        <f t="shared" si="53"/>
        <v>39.654000000000003</v>
      </c>
      <c r="Q1038" s="71">
        <v>99</v>
      </c>
      <c r="R1038" s="210"/>
      <c r="S1038" s="5">
        <f t="shared" si="54"/>
        <v>358.95400000000001</v>
      </c>
      <c r="T1038" s="1" t="s">
        <v>2887</v>
      </c>
      <c r="U1038" s="70" t="s">
        <v>2816</v>
      </c>
      <c r="V1038" s="1" t="s">
        <v>634</v>
      </c>
      <c r="W1038" s="1" t="s">
        <v>2888</v>
      </c>
      <c r="X1038" s="1">
        <v>85365090</v>
      </c>
      <c r="Y1038" s="2"/>
      <c r="Z1038" s="21" t="s">
        <v>38</v>
      </c>
      <c r="AA1038" s="21" t="s">
        <v>2809</v>
      </c>
      <c r="AB1038" s="21"/>
      <c r="AC1038" s="12"/>
      <c r="AD1038" s="2"/>
      <c r="AE1038" s="6"/>
      <c r="AF1038" s="26"/>
      <c r="AG1038" s="26"/>
    </row>
    <row r="1039" spans="1:34" s="206" customFormat="1" ht="15" customHeight="1" x14ac:dyDescent="0.25">
      <c r="A1039" s="4">
        <v>46125</v>
      </c>
      <c r="B1039" s="4">
        <v>46128</v>
      </c>
      <c r="C1039" s="112" t="s">
        <v>1683</v>
      </c>
      <c r="D1039" s="186" t="s">
        <v>3431</v>
      </c>
      <c r="E1039" s="6" t="s">
        <v>2891</v>
      </c>
      <c r="F1039" s="234" t="s">
        <v>2892</v>
      </c>
      <c r="G1039" s="8">
        <v>4</v>
      </c>
      <c r="H1039" s="69">
        <v>4</v>
      </c>
      <c r="I1039" s="69"/>
      <c r="J1039" s="69">
        <f>Table224[[#This Row],[Qty]]-Table224[[#This Row],[Issue Qty]]</f>
        <v>4</v>
      </c>
      <c r="K1039" s="69"/>
      <c r="L1039" s="69" t="s">
        <v>3480</v>
      </c>
      <c r="M1039" s="262">
        <v>10000</v>
      </c>
      <c r="N1039" s="262">
        <v>40000</v>
      </c>
      <c r="O1039" s="82">
        <v>0.18</v>
      </c>
      <c r="P1039" s="11">
        <v>7200</v>
      </c>
      <c r="Q1039" s="273"/>
      <c r="R1039" s="210"/>
      <c r="S1039" s="5">
        <v>47200</v>
      </c>
      <c r="T1039" s="5" t="s">
        <v>2887</v>
      </c>
      <c r="U1039" s="275" t="s">
        <v>2816</v>
      </c>
      <c r="V1039" s="1" t="s">
        <v>794</v>
      </c>
      <c r="W1039" s="1" t="s">
        <v>2893</v>
      </c>
      <c r="X1039" s="1">
        <v>85015290</v>
      </c>
      <c r="Y1039" s="2"/>
      <c r="Z1039" s="21" t="s">
        <v>3165</v>
      </c>
      <c r="AA1039" s="21"/>
      <c r="AB1039" s="21"/>
      <c r="AC1039" s="97"/>
      <c r="AD1039" s="12"/>
      <c r="AE1039" s="57"/>
      <c r="AF1039" s="26"/>
      <c r="AG1039" s="26"/>
    </row>
    <row r="1040" spans="1:34" s="206" customFormat="1" ht="15" customHeight="1" x14ac:dyDescent="0.25">
      <c r="A1040" s="4">
        <v>46129</v>
      </c>
      <c r="B1040" s="4">
        <v>46132</v>
      </c>
      <c r="C1040" s="112" t="s">
        <v>1683</v>
      </c>
      <c r="D1040" s="224" t="s">
        <v>3431</v>
      </c>
      <c r="E1040" s="6" t="s">
        <v>1769</v>
      </c>
      <c r="F1040" s="234" t="s">
        <v>2974</v>
      </c>
      <c r="G1040" s="6" t="s">
        <v>2974</v>
      </c>
      <c r="H1040" s="69">
        <v>2</v>
      </c>
      <c r="I1040" s="261">
        <v>0</v>
      </c>
      <c r="J1040" s="69">
        <f>Table224[[#This Row],[Qty]]-Table224[[#This Row],[Issue Qty]]</f>
        <v>2</v>
      </c>
      <c r="K1040" s="69"/>
      <c r="L1040" s="195" t="s">
        <v>3480</v>
      </c>
      <c r="M1040" s="48">
        <v>466</v>
      </c>
      <c r="N1040" s="10">
        <f t="shared" ref="N1040:N1103" si="55">H1040*M1040</f>
        <v>932</v>
      </c>
      <c r="O1040" s="82">
        <v>0.18</v>
      </c>
      <c r="P1040" s="9">
        <f t="shared" ref="P1040:P1071" si="56">N1040*O1040</f>
        <v>167.76</v>
      </c>
      <c r="Q1040" s="71">
        <v>88.5</v>
      </c>
      <c r="R1040" s="71"/>
      <c r="S1040" s="5">
        <f t="shared" ref="S1040:S1103" si="57">N1040+P1040+Q1040+R1040</f>
        <v>1188.26</v>
      </c>
      <c r="T1040" s="1" t="s">
        <v>2887</v>
      </c>
      <c r="U1040" s="70" t="s">
        <v>2816</v>
      </c>
      <c r="V1040" s="1" t="s">
        <v>1060</v>
      </c>
      <c r="W1040" s="1" t="s">
        <v>2987</v>
      </c>
      <c r="X1040" s="1">
        <v>85367000</v>
      </c>
      <c r="Y1040" s="26"/>
      <c r="Z1040" s="21" t="s">
        <v>268</v>
      </c>
      <c r="AA1040" s="204"/>
      <c r="AB1040" s="21"/>
      <c r="AC1040" s="12"/>
      <c r="AD1040" s="26"/>
      <c r="AE1040" s="26"/>
      <c r="AF1040" s="26"/>
      <c r="AG1040" s="26"/>
    </row>
    <row r="1041" spans="1:33" s="206" customFormat="1" ht="28.5" customHeight="1" x14ac:dyDescent="0.25">
      <c r="A1041" s="4">
        <v>46133</v>
      </c>
      <c r="B1041" s="4">
        <v>46133</v>
      </c>
      <c r="C1041" s="112" t="s">
        <v>1688</v>
      </c>
      <c r="D1041" s="224" t="s">
        <v>3451</v>
      </c>
      <c r="E1041" s="6" t="s">
        <v>2977</v>
      </c>
      <c r="F1041" s="234" t="s">
        <v>2978</v>
      </c>
      <c r="G1041" s="6" t="s">
        <v>2978</v>
      </c>
      <c r="H1041" s="69">
        <v>2</v>
      </c>
      <c r="I1041" s="261">
        <v>2</v>
      </c>
      <c r="J1041" s="261">
        <f>Table224[[#This Row],[Qty]]-Table224[[#This Row],[Issue Qty]]</f>
        <v>0</v>
      </c>
      <c r="K1041" s="261"/>
      <c r="L1041" s="261" t="s">
        <v>3480</v>
      </c>
      <c r="M1041" s="48">
        <v>55000</v>
      </c>
      <c r="N1041" s="5">
        <f t="shared" si="55"/>
        <v>110000</v>
      </c>
      <c r="O1041" s="82">
        <v>0.05</v>
      </c>
      <c r="P1041" s="9">
        <f t="shared" si="56"/>
        <v>5500</v>
      </c>
      <c r="Q1041" s="71"/>
      <c r="R1041" s="71"/>
      <c r="S1041" s="5">
        <f t="shared" si="57"/>
        <v>115500</v>
      </c>
      <c r="T1041" s="1" t="s">
        <v>2887</v>
      </c>
      <c r="U1041" s="70" t="s">
        <v>2816</v>
      </c>
      <c r="V1041" s="1" t="s">
        <v>1420</v>
      </c>
      <c r="W1041" s="1" t="s">
        <v>2988</v>
      </c>
      <c r="X1041" s="1">
        <v>88073020</v>
      </c>
      <c r="Y1041" s="26"/>
      <c r="Z1041" s="21" t="s">
        <v>2993</v>
      </c>
      <c r="AA1041" s="204"/>
      <c r="AB1041" s="21">
        <v>2</v>
      </c>
      <c r="AC1041" s="12" t="s">
        <v>3689</v>
      </c>
      <c r="AD1041" s="12"/>
      <c r="AE1041" s="26"/>
      <c r="AF1041" s="26"/>
      <c r="AG1041" s="26"/>
    </row>
    <row r="1042" spans="1:33" s="206" customFormat="1" ht="15" customHeight="1" x14ac:dyDescent="0.25">
      <c r="A1042" s="4">
        <v>46133</v>
      </c>
      <c r="B1042" s="4">
        <v>46134</v>
      </c>
      <c r="C1042" s="112" t="s">
        <v>1730</v>
      </c>
      <c r="D1042" s="224" t="s">
        <v>3506</v>
      </c>
      <c r="E1042" s="6" t="s">
        <v>2975</v>
      </c>
      <c r="F1042" s="102" t="s">
        <v>2976</v>
      </c>
      <c r="G1042" s="6" t="s">
        <v>2976</v>
      </c>
      <c r="H1042" s="8">
        <v>1</v>
      </c>
      <c r="I1042" s="8">
        <v>0</v>
      </c>
      <c r="J1042" s="115">
        <f>Table224[[#This Row],[Qty]]-Table224[[#This Row],[Issue Qty]]</f>
        <v>1</v>
      </c>
      <c r="K1042" s="195"/>
      <c r="L1042" s="195" t="s">
        <v>3480</v>
      </c>
      <c r="M1042" s="48">
        <v>10170</v>
      </c>
      <c r="N1042" s="10">
        <f t="shared" si="55"/>
        <v>10170</v>
      </c>
      <c r="O1042" s="82">
        <v>0.18</v>
      </c>
      <c r="P1042" s="9">
        <f t="shared" si="56"/>
        <v>1830.6</v>
      </c>
      <c r="Q1042" s="71"/>
      <c r="R1042" s="71">
        <v>-0.6</v>
      </c>
      <c r="S1042" s="5">
        <f t="shared" si="57"/>
        <v>12000</v>
      </c>
      <c r="T1042" s="1" t="s">
        <v>2887</v>
      </c>
      <c r="U1042" s="1" t="s">
        <v>2816</v>
      </c>
      <c r="V1042" s="1" t="s">
        <v>1526</v>
      </c>
      <c r="W1042" s="1">
        <v>3926</v>
      </c>
      <c r="X1042" s="1">
        <v>4412</v>
      </c>
      <c r="Y1042" s="26"/>
      <c r="Z1042" s="21"/>
      <c r="AA1042" s="204"/>
      <c r="AB1042" s="21">
        <v>1</v>
      </c>
      <c r="AC1042" s="12" t="s">
        <v>3018</v>
      </c>
      <c r="AD1042" s="211"/>
      <c r="AE1042" s="211"/>
      <c r="AF1042" s="211"/>
      <c r="AG1042" s="211"/>
    </row>
    <row r="1043" spans="1:33" s="206" customFormat="1" x14ac:dyDescent="0.25">
      <c r="A1043" s="78">
        <v>46141</v>
      </c>
      <c r="B1043" s="78">
        <v>46141</v>
      </c>
      <c r="C1043" s="112" t="s">
        <v>54</v>
      </c>
      <c r="D1043" s="224" t="s">
        <v>3489</v>
      </c>
      <c r="E1043" s="3" t="s">
        <v>2983</v>
      </c>
      <c r="F1043" s="245" t="s">
        <v>2984</v>
      </c>
      <c r="G1043" s="3" t="s">
        <v>2984</v>
      </c>
      <c r="H1043" s="7">
        <v>4</v>
      </c>
      <c r="I1043" s="204"/>
      <c r="J1043" s="205">
        <f>Table224[[#This Row],[Qty]]-Table224[[#This Row],[Issue Qty]]</f>
        <v>4</v>
      </c>
      <c r="K1043" s="220"/>
      <c r="L1043" s="220" t="s">
        <v>3480</v>
      </c>
      <c r="M1043" s="5">
        <v>9500</v>
      </c>
      <c r="N1043" s="10">
        <f t="shared" si="55"/>
        <v>38000</v>
      </c>
      <c r="O1043" s="82">
        <v>0.18</v>
      </c>
      <c r="P1043" s="9">
        <f t="shared" si="56"/>
        <v>6840</v>
      </c>
      <c r="Q1043" s="210"/>
      <c r="R1043" s="210"/>
      <c r="S1043" s="5">
        <f t="shared" si="57"/>
        <v>44840</v>
      </c>
      <c r="T1043" s="1" t="s">
        <v>2887</v>
      </c>
      <c r="U1043" s="3" t="s">
        <v>2816</v>
      </c>
      <c r="V1043" s="3" t="s">
        <v>2990</v>
      </c>
      <c r="W1043" s="3">
        <v>9</v>
      </c>
      <c r="X1043" s="3"/>
      <c r="Y1043" s="26"/>
      <c r="Z1043" s="21" t="s">
        <v>268</v>
      </c>
      <c r="AA1043" s="7" t="s">
        <v>3183</v>
      </c>
      <c r="AB1043" s="21"/>
      <c r="AC1043" s="12"/>
      <c r="AD1043" s="26"/>
      <c r="AE1043" s="211"/>
      <c r="AF1043" s="211"/>
      <c r="AG1043" s="211"/>
    </row>
    <row r="1044" spans="1:33" s="206" customFormat="1" x14ac:dyDescent="0.25">
      <c r="A1044" s="78">
        <v>46141</v>
      </c>
      <c r="B1044" s="78">
        <v>46141</v>
      </c>
      <c r="C1044" s="6" t="s">
        <v>54</v>
      </c>
      <c r="D1044" s="224" t="s">
        <v>3489</v>
      </c>
      <c r="E1044" s="3" t="s">
        <v>2985</v>
      </c>
      <c r="F1044" s="300" t="s">
        <v>2986</v>
      </c>
      <c r="G1044" s="3" t="s">
        <v>2986</v>
      </c>
      <c r="H1044" s="7">
        <v>8</v>
      </c>
      <c r="I1044" s="7"/>
      <c r="J1044" s="161">
        <f>Table224[[#This Row],[Qty]]-Table224[[#This Row],[Issue Qty]]</f>
        <v>8</v>
      </c>
      <c r="K1044" s="335">
        <v>8</v>
      </c>
      <c r="L1044" s="230" t="s">
        <v>3480</v>
      </c>
      <c r="M1044" s="5">
        <v>10500</v>
      </c>
      <c r="N1044" s="10">
        <f t="shared" si="55"/>
        <v>84000</v>
      </c>
      <c r="O1044" s="82">
        <v>0.18</v>
      </c>
      <c r="P1044" s="9">
        <f t="shared" si="56"/>
        <v>15120</v>
      </c>
      <c r="Q1044" s="210"/>
      <c r="R1044" s="210"/>
      <c r="S1044" s="5">
        <f t="shared" si="57"/>
        <v>99120</v>
      </c>
      <c r="T1044" s="1" t="s">
        <v>2887</v>
      </c>
      <c r="U1044" s="3" t="s">
        <v>2816</v>
      </c>
      <c r="V1044" s="3" t="s">
        <v>2990</v>
      </c>
      <c r="W1044" s="3">
        <v>9</v>
      </c>
      <c r="X1044" s="3"/>
      <c r="Y1044" s="26"/>
      <c r="Z1044" s="21" t="s">
        <v>268</v>
      </c>
      <c r="AA1044" s="21" t="s">
        <v>3183</v>
      </c>
      <c r="AB1044" s="21"/>
      <c r="AC1044" s="12" t="s">
        <v>3355</v>
      </c>
      <c r="AD1044" s="211"/>
      <c r="AE1044" s="211"/>
      <c r="AF1044" s="211"/>
      <c r="AG1044" s="211"/>
    </row>
    <row r="1045" spans="1:33" s="206" customFormat="1" x14ac:dyDescent="0.25">
      <c r="A1045" s="4">
        <v>46111</v>
      </c>
      <c r="B1045" s="4">
        <v>46141</v>
      </c>
      <c r="C1045" s="112" t="s">
        <v>54</v>
      </c>
      <c r="D1045" s="224" t="s">
        <v>3500</v>
      </c>
      <c r="E1045" s="6" t="s">
        <v>2847</v>
      </c>
      <c r="F1045" s="289" t="s">
        <v>2848</v>
      </c>
      <c r="G1045" s="6" t="s">
        <v>2848</v>
      </c>
      <c r="H1045" s="8">
        <v>5</v>
      </c>
      <c r="I1045" s="8">
        <v>5</v>
      </c>
      <c r="J1045" s="115">
        <f>Table224[[#This Row],[Qty]]-Table224[[#This Row],[Issue Qty]]</f>
        <v>0</v>
      </c>
      <c r="K1045" s="195"/>
      <c r="L1045" s="195" t="s">
        <v>3480</v>
      </c>
      <c r="M1045" s="309">
        <v>595000</v>
      </c>
      <c r="N1045" s="5">
        <f t="shared" si="55"/>
        <v>2975000</v>
      </c>
      <c r="O1045" s="82">
        <v>0.05</v>
      </c>
      <c r="P1045" s="9">
        <f t="shared" si="56"/>
        <v>148750</v>
      </c>
      <c r="Q1045" s="48"/>
      <c r="R1045" s="48"/>
      <c r="S1045" s="5">
        <f t="shared" si="57"/>
        <v>3123750</v>
      </c>
      <c r="T1045" s="1" t="s">
        <v>2844</v>
      </c>
      <c r="U1045" s="1" t="s">
        <v>2844</v>
      </c>
      <c r="V1045" s="1" t="s">
        <v>2845</v>
      </c>
      <c r="W1045" s="1" t="s">
        <v>2849</v>
      </c>
      <c r="X1045" s="1">
        <v>88069300</v>
      </c>
      <c r="Y1045" s="2"/>
      <c r="Z1045" s="21" t="s">
        <v>2995</v>
      </c>
      <c r="AA1045" s="21"/>
      <c r="AB1045" s="21">
        <v>5</v>
      </c>
      <c r="AC1045" s="12"/>
      <c r="AD1045" s="311"/>
      <c r="AE1045" s="112"/>
      <c r="AF1045" s="114"/>
      <c r="AG1045" s="211"/>
    </row>
    <row r="1046" spans="1:33" s="206" customFormat="1" x14ac:dyDescent="0.25">
      <c r="A1046" s="78">
        <v>46135</v>
      </c>
      <c r="B1046" s="78">
        <v>46141</v>
      </c>
      <c r="C1046" s="112" t="s">
        <v>1683</v>
      </c>
      <c r="D1046" s="186" t="s">
        <v>3493</v>
      </c>
      <c r="E1046" s="139" t="s">
        <v>2593</v>
      </c>
      <c r="F1046" s="242" t="s">
        <v>1497</v>
      </c>
      <c r="G1046" s="139" t="s">
        <v>1497</v>
      </c>
      <c r="H1046" s="7">
        <v>46</v>
      </c>
      <c r="I1046" s="7">
        <v>46</v>
      </c>
      <c r="J1046" s="115">
        <f>Table224[[#This Row],[Qty]]-Table224[[#This Row],[Issue Qty]]</f>
        <v>0</v>
      </c>
      <c r="K1046" s="195"/>
      <c r="L1046" s="230" t="s">
        <v>3480</v>
      </c>
      <c r="M1046" s="93">
        <v>34.71</v>
      </c>
      <c r="N1046" s="10">
        <f t="shared" si="55"/>
        <v>1596.66</v>
      </c>
      <c r="O1046" s="82">
        <v>0</v>
      </c>
      <c r="P1046" s="9">
        <f t="shared" si="56"/>
        <v>0</v>
      </c>
      <c r="Q1046" s="212"/>
      <c r="R1046" s="212"/>
      <c r="S1046" s="10">
        <f t="shared" si="57"/>
        <v>1596.66</v>
      </c>
      <c r="T1046" s="1" t="s">
        <v>2887</v>
      </c>
      <c r="U1046" s="3" t="s">
        <v>2816</v>
      </c>
      <c r="V1046" s="139" t="s">
        <v>1503</v>
      </c>
      <c r="W1046" s="3"/>
      <c r="X1046" s="3"/>
      <c r="Y1046" s="26"/>
      <c r="Z1046" s="21" t="s">
        <v>3349</v>
      </c>
      <c r="AA1046" s="8"/>
      <c r="AB1046" s="21">
        <v>20</v>
      </c>
      <c r="AC1046" s="12" t="s">
        <v>2887</v>
      </c>
      <c r="AD1046" s="211"/>
      <c r="AE1046" s="211"/>
      <c r="AF1046" s="211"/>
      <c r="AG1046" s="211"/>
    </row>
    <row r="1047" spans="1:33" s="206" customFormat="1" x14ac:dyDescent="0.25">
      <c r="A1047" s="78">
        <v>46151</v>
      </c>
      <c r="B1047" s="78">
        <v>46148</v>
      </c>
      <c r="C1047" s="112" t="s">
        <v>1730</v>
      </c>
      <c r="D1047" s="224" t="s">
        <v>1730</v>
      </c>
      <c r="E1047" s="22" t="s">
        <v>3267</v>
      </c>
      <c r="F1047" s="242" t="s">
        <v>3268</v>
      </c>
      <c r="G1047" s="139" t="s">
        <v>3268</v>
      </c>
      <c r="H1047" s="8">
        <v>2</v>
      </c>
      <c r="I1047" s="8">
        <v>1</v>
      </c>
      <c r="J1047" s="115">
        <f>Table224[[#This Row],[Qty]]-Table224[[#This Row],[Issue Qty]]</f>
        <v>1</v>
      </c>
      <c r="K1047" s="195"/>
      <c r="L1047" s="195" t="s">
        <v>3480</v>
      </c>
      <c r="M1047" s="93">
        <v>295</v>
      </c>
      <c r="N1047" s="10">
        <f t="shared" si="55"/>
        <v>590</v>
      </c>
      <c r="O1047" s="82">
        <v>0.05</v>
      </c>
      <c r="P1047" s="9">
        <f t="shared" si="56"/>
        <v>29.5</v>
      </c>
      <c r="Q1047" s="212"/>
      <c r="R1047" s="212"/>
      <c r="S1047" s="10">
        <f t="shared" si="57"/>
        <v>619.5</v>
      </c>
      <c r="T1047" s="1" t="s">
        <v>1408</v>
      </c>
      <c r="U1047" s="1" t="s">
        <v>1408</v>
      </c>
      <c r="V1047" s="1" t="s">
        <v>444</v>
      </c>
      <c r="W1047" s="1" t="s">
        <v>3269</v>
      </c>
      <c r="X1047" s="1">
        <v>8807</v>
      </c>
      <c r="Y1047" s="26"/>
      <c r="Z1047" s="21" t="s">
        <v>420</v>
      </c>
      <c r="AA1047" s="204"/>
      <c r="AB1047" s="21">
        <v>1</v>
      </c>
      <c r="AC1047" s="12" t="s">
        <v>474</v>
      </c>
      <c r="AD1047" s="211"/>
      <c r="AE1047" s="211"/>
      <c r="AF1047" s="211"/>
      <c r="AG1047" s="211"/>
    </row>
    <row r="1048" spans="1:33" s="206" customFormat="1" x14ac:dyDescent="0.25">
      <c r="A1048" s="113">
        <v>46150</v>
      </c>
      <c r="B1048" s="113">
        <v>46152</v>
      </c>
      <c r="C1048" s="1" t="s">
        <v>1991</v>
      </c>
      <c r="D1048" s="224" t="s">
        <v>3490</v>
      </c>
      <c r="E1048" s="114" t="s">
        <v>3033</v>
      </c>
      <c r="F1048" s="237" t="s">
        <v>3000</v>
      </c>
      <c r="G1048" s="114" t="s">
        <v>3000</v>
      </c>
      <c r="H1048" s="115">
        <v>1</v>
      </c>
      <c r="I1048" s="279"/>
      <c r="J1048" s="270">
        <f>Table224[[#This Row],[Qty]]-Table224[[#This Row],[Issue Qty]]</f>
        <v>1</v>
      </c>
      <c r="K1048" s="270"/>
      <c r="L1048" s="270" t="s">
        <v>3480</v>
      </c>
      <c r="M1048" s="116">
        <v>54000</v>
      </c>
      <c r="N1048" s="10">
        <f t="shared" si="55"/>
        <v>54000</v>
      </c>
      <c r="O1048" s="82">
        <v>0.18</v>
      </c>
      <c r="P1048" s="9">
        <f t="shared" si="56"/>
        <v>9720</v>
      </c>
      <c r="Q1048" s="215"/>
      <c r="R1048" s="215"/>
      <c r="S1048" s="10">
        <f t="shared" si="57"/>
        <v>63720</v>
      </c>
      <c r="T1048" s="114" t="s">
        <v>2887</v>
      </c>
      <c r="U1048" s="135" t="s">
        <v>2816</v>
      </c>
      <c r="V1048" s="114" t="s">
        <v>1420</v>
      </c>
      <c r="W1048" s="70" t="s">
        <v>3005</v>
      </c>
      <c r="X1048" s="114"/>
      <c r="Y1048" s="211"/>
      <c r="Z1048" s="21" t="s">
        <v>268</v>
      </c>
      <c r="AA1048" s="205" t="s">
        <v>3183</v>
      </c>
      <c r="AB1048" s="121"/>
      <c r="AC1048" s="123"/>
      <c r="AD1048" s="211"/>
      <c r="AE1048" s="211"/>
      <c r="AF1048" s="211"/>
      <c r="AG1048" s="211"/>
    </row>
    <row r="1049" spans="1:33" s="206" customFormat="1" x14ac:dyDescent="0.25">
      <c r="A1049" s="91">
        <v>46153</v>
      </c>
      <c r="B1049" s="91">
        <v>46153</v>
      </c>
      <c r="C1049" s="112" t="s">
        <v>54</v>
      </c>
      <c r="D1049" s="224" t="s">
        <v>3489</v>
      </c>
      <c r="E1049" s="89" t="s">
        <v>2983</v>
      </c>
      <c r="F1049" s="244" t="s">
        <v>2986</v>
      </c>
      <c r="G1049" s="89" t="s">
        <v>2986</v>
      </c>
      <c r="H1049" s="92">
        <v>1</v>
      </c>
      <c r="I1049" s="143"/>
      <c r="J1049" s="161">
        <f>Table224[[#This Row],[Qty]]-Table224[[#This Row],[Issue Qty]]</f>
        <v>1</v>
      </c>
      <c r="K1049" s="335">
        <v>1</v>
      </c>
      <c r="L1049" s="230" t="s">
        <v>3480</v>
      </c>
      <c r="M1049" s="93">
        <v>10500</v>
      </c>
      <c r="N1049" s="10">
        <f t="shared" si="55"/>
        <v>10500</v>
      </c>
      <c r="O1049" s="82">
        <v>0.18</v>
      </c>
      <c r="P1049" s="9">
        <f t="shared" si="56"/>
        <v>1890</v>
      </c>
      <c r="Q1049" s="214"/>
      <c r="R1049" s="214"/>
      <c r="S1049" s="10">
        <f t="shared" si="57"/>
        <v>12390</v>
      </c>
      <c r="T1049" s="1" t="s">
        <v>2887</v>
      </c>
      <c r="U1049" s="3" t="s">
        <v>2816</v>
      </c>
      <c r="V1049" s="141" t="s">
        <v>2990</v>
      </c>
      <c r="W1049" s="89">
        <v>14</v>
      </c>
      <c r="X1049" s="89"/>
      <c r="Y1049" s="190"/>
      <c r="Z1049" s="21" t="s">
        <v>268</v>
      </c>
      <c r="AA1049" s="96" t="s">
        <v>3183</v>
      </c>
      <c r="AB1049" s="96"/>
      <c r="AC1049" s="97" t="s">
        <v>3355</v>
      </c>
      <c r="AD1049" s="211"/>
      <c r="AE1049" s="211" t="s">
        <v>3722</v>
      </c>
      <c r="AF1049" s="211"/>
      <c r="AG1049" s="211"/>
    </row>
    <row r="1050" spans="1:33" s="206" customFormat="1" x14ac:dyDescent="0.25">
      <c r="A1050" s="91">
        <v>46153</v>
      </c>
      <c r="B1050" s="91">
        <v>46153</v>
      </c>
      <c r="C1050" s="6" t="s">
        <v>54</v>
      </c>
      <c r="D1050" s="224" t="s">
        <v>3489</v>
      </c>
      <c r="E1050" s="89" t="s">
        <v>2983</v>
      </c>
      <c r="F1050" s="244" t="s">
        <v>2986</v>
      </c>
      <c r="G1050" s="89" t="s">
        <v>2986</v>
      </c>
      <c r="H1050" s="143">
        <v>1</v>
      </c>
      <c r="I1050" s="7">
        <v>1</v>
      </c>
      <c r="J1050" s="161">
        <f>Table224[[#This Row],[Qty]]-Table224[[#This Row],[Issue Qty]]</f>
        <v>0</v>
      </c>
      <c r="K1050" s="335">
        <v>1</v>
      </c>
      <c r="L1050" s="230" t="s">
        <v>3480</v>
      </c>
      <c r="M1050" s="93">
        <v>10500</v>
      </c>
      <c r="N1050" s="10">
        <f t="shared" si="55"/>
        <v>10500</v>
      </c>
      <c r="O1050" s="82">
        <v>0.18</v>
      </c>
      <c r="P1050" s="9">
        <f t="shared" si="56"/>
        <v>1890</v>
      </c>
      <c r="Q1050" s="214"/>
      <c r="R1050" s="214"/>
      <c r="S1050" s="10">
        <f t="shared" si="57"/>
        <v>12390</v>
      </c>
      <c r="T1050" s="1" t="s">
        <v>2887</v>
      </c>
      <c r="U1050" s="3" t="s">
        <v>2816</v>
      </c>
      <c r="V1050" s="141" t="s">
        <v>2990</v>
      </c>
      <c r="W1050" s="141">
        <v>13</v>
      </c>
      <c r="X1050" s="141"/>
      <c r="Y1050" s="190"/>
      <c r="Z1050" s="21"/>
      <c r="AA1050" s="213"/>
      <c r="AB1050" s="96">
        <v>1</v>
      </c>
      <c r="AC1050" s="97" t="s">
        <v>3723</v>
      </c>
      <c r="AD1050" s="211"/>
      <c r="AE1050" s="211"/>
      <c r="AF1050" s="211"/>
      <c r="AG1050" s="211"/>
    </row>
    <row r="1051" spans="1:33" s="206" customFormat="1" x14ac:dyDescent="0.25">
      <c r="A1051" s="91">
        <v>46153</v>
      </c>
      <c r="B1051" s="91">
        <v>46153</v>
      </c>
      <c r="C1051" s="112" t="s">
        <v>1730</v>
      </c>
      <c r="D1051" s="186" t="s">
        <v>3592</v>
      </c>
      <c r="E1051" s="89" t="s">
        <v>2985</v>
      </c>
      <c r="F1051" s="244" t="s">
        <v>3003</v>
      </c>
      <c r="G1051" s="89" t="s">
        <v>3003</v>
      </c>
      <c r="H1051" s="92">
        <v>4</v>
      </c>
      <c r="I1051" s="8">
        <v>4</v>
      </c>
      <c r="J1051" s="115">
        <f>Table224[[#This Row],[Qty]]-Table224[[#This Row],[Issue Qty]]</f>
        <v>0</v>
      </c>
      <c r="K1051" s="332">
        <v>4</v>
      </c>
      <c r="L1051" s="195" t="s">
        <v>3480</v>
      </c>
      <c r="M1051" s="93">
        <v>1200</v>
      </c>
      <c r="N1051" s="10">
        <f t="shared" si="55"/>
        <v>4800</v>
      </c>
      <c r="O1051" s="82">
        <v>0.18</v>
      </c>
      <c r="P1051" s="9">
        <f t="shared" si="56"/>
        <v>864</v>
      </c>
      <c r="Q1051" s="214"/>
      <c r="R1051" s="214"/>
      <c r="S1051" s="10">
        <f t="shared" si="57"/>
        <v>5664</v>
      </c>
      <c r="T1051" s="1" t="s">
        <v>2887</v>
      </c>
      <c r="U1051" s="3" t="s">
        <v>2816</v>
      </c>
      <c r="V1051" s="141" t="s">
        <v>2990</v>
      </c>
      <c r="W1051" s="141">
        <v>13</v>
      </c>
      <c r="X1051" s="89"/>
      <c r="Y1051" s="190"/>
      <c r="Z1051" s="21" t="s">
        <v>3349</v>
      </c>
      <c r="AA1051" s="204"/>
      <c r="AB1051" s="96">
        <v>4</v>
      </c>
      <c r="AC1051" s="97" t="s">
        <v>2887</v>
      </c>
      <c r="AD1051" s="211"/>
      <c r="AE1051" s="211"/>
      <c r="AF1051" s="211"/>
      <c r="AG1051" s="211"/>
    </row>
    <row r="1052" spans="1:33" s="206" customFormat="1" x14ac:dyDescent="0.25">
      <c r="A1052" s="91">
        <v>46153</v>
      </c>
      <c r="B1052" s="113">
        <v>46153</v>
      </c>
      <c r="C1052" s="112" t="s">
        <v>1730</v>
      </c>
      <c r="D1052" s="186" t="s">
        <v>3592</v>
      </c>
      <c r="E1052" s="89" t="s">
        <v>3036</v>
      </c>
      <c r="F1052" s="244" t="s">
        <v>3002</v>
      </c>
      <c r="G1052" s="89" t="s">
        <v>3002</v>
      </c>
      <c r="H1052" s="92">
        <v>4</v>
      </c>
      <c r="I1052" s="92">
        <v>4</v>
      </c>
      <c r="J1052" s="115">
        <f>Table224[[#This Row],[Qty]]-Table224[[#This Row],[Issue Qty]]</f>
        <v>0</v>
      </c>
      <c r="K1052" s="332">
        <v>4</v>
      </c>
      <c r="L1052" s="195" t="s">
        <v>3480</v>
      </c>
      <c r="M1052" s="93">
        <v>1200</v>
      </c>
      <c r="N1052" s="10">
        <f t="shared" si="55"/>
        <v>4800</v>
      </c>
      <c r="O1052" s="82">
        <v>0.18</v>
      </c>
      <c r="P1052" s="9">
        <f t="shared" si="56"/>
        <v>864</v>
      </c>
      <c r="Q1052" s="214"/>
      <c r="R1052" s="214"/>
      <c r="S1052" s="10">
        <f t="shared" si="57"/>
        <v>5664</v>
      </c>
      <c r="T1052" s="1" t="s">
        <v>2887</v>
      </c>
      <c r="U1052" s="3" t="s">
        <v>2816</v>
      </c>
      <c r="V1052" s="141" t="s">
        <v>2990</v>
      </c>
      <c r="W1052" s="141">
        <v>13</v>
      </c>
      <c r="X1052" s="89"/>
      <c r="Y1052" s="190"/>
      <c r="Z1052" s="21" t="s">
        <v>3349</v>
      </c>
      <c r="AA1052" s="213"/>
      <c r="AB1052" s="96">
        <v>4</v>
      </c>
      <c r="AC1052" s="97" t="s">
        <v>2887</v>
      </c>
      <c r="AD1052" s="211"/>
      <c r="AE1052" s="211"/>
      <c r="AF1052" s="211"/>
      <c r="AG1052" s="211"/>
    </row>
    <row r="1053" spans="1:33" s="206" customFormat="1" x14ac:dyDescent="0.25">
      <c r="A1053" s="91">
        <v>46147</v>
      </c>
      <c r="B1053" s="113">
        <v>46154</v>
      </c>
      <c r="C1053" s="6" t="s">
        <v>1730</v>
      </c>
      <c r="D1053" s="100" t="s">
        <v>3495</v>
      </c>
      <c r="E1053" s="85" t="s">
        <v>3034</v>
      </c>
      <c r="F1053" s="282" t="s">
        <v>3001</v>
      </c>
      <c r="G1053" s="85" t="s">
        <v>3001</v>
      </c>
      <c r="H1053" s="73">
        <v>400</v>
      </c>
      <c r="I1053" s="280">
        <v>20</v>
      </c>
      <c r="J1053" s="280">
        <f>Table224[[#This Row],[Qty]]-Table224[[#This Row],[Issue Qty]]</f>
        <v>380</v>
      </c>
      <c r="K1053" s="280"/>
      <c r="L1053" s="280" t="s">
        <v>3480</v>
      </c>
      <c r="M1053" s="67">
        <v>118.34</v>
      </c>
      <c r="N1053" s="10">
        <f t="shared" si="55"/>
        <v>47336</v>
      </c>
      <c r="O1053" s="82">
        <v>0</v>
      </c>
      <c r="P1053" s="9">
        <f t="shared" si="56"/>
        <v>0</v>
      </c>
      <c r="Q1053" s="272"/>
      <c r="R1053" s="272"/>
      <c r="S1053" s="10">
        <f t="shared" si="57"/>
        <v>47336</v>
      </c>
      <c r="T1053" s="1" t="s">
        <v>2887</v>
      </c>
      <c r="U1053" s="3" t="s">
        <v>2816</v>
      </c>
      <c r="V1053" s="89" t="s">
        <v>3006</v>
      </c>
      <c r="W1053" s="89">
        <v>90180764</v>
      </c>
      <c r="X1053" s="89"/>
      <c r="Y1053" s="190"/>
      <c r="Z1053" s="21" t="s">
        <v>3011</v>
      </c>
      <c r="AA1053" s="213"/>
      <c r="AB1053" s="96"/>
      <c r="AC1053" s="97"/>
      <c r="AD1053" s="211"/>
      <c r="AE1053" s="211"/>
      <c r="AF1053" s="211"/>
      <c r="AG1053" s="211"/>
    </row>
    <row r="1054" spans="1:33" s="206" customFormat="1" ht="30" x14ac:dyDescent="0.25">
      <c r="A1054" s="91">
        <v>46155</v>
      </c>
      <c r="B1054" s="91">
        <v>46155</v>
      </c>
      <c r="C1054" s="6" t="s">
        <v>54</v>
      </c>
      <c r="D1054" s="224" t="s">
        <v>3489</v>
      </c>
      <c r="E1054" s="85" t="s">
        <v>2616</v>
      </c>
      <c r="F1054" s="282" t="s">
        <v>1518</v>
      </c>
      <c r="G1054" s="85" t="s">
        <v>1518</v>
      </c>
      <c r="H1054" s="73">
        <v>10</v>
      </c>
      <c r="I1054" s="73">
        <v>8</v>
      </c>
      <c r="J1054" s="73">
        <f>Table224[[#This Row],[Qty]]-Table224[[#This Row],[Issue Qty]]</f>
        <v>2</v>
      </c>
      <c r="K1054" s="73"/>
      <c r="L1054" s="195" t="s">
        <v>3480</v>
      </c>
      <c r="M1054" s="67">
        <v>4600</v>
      </c>
      <c r="N1054" s="10">
        <f t="shared" si="55"/>
        <v>46000</v>
      </c>
      <c r="O1054" s="82">
        <v>0.18</v>
      </c>
      <c r="P1054" s="9">
        <f t="shared" si="56"/>
        <v>8280</v>
      </c>
      <c r="Q1054" s="272"/>
      <c r="R1054" s="272"/>
      <c r="S1054" s="10">
        <f t="shared" si="57"/>
        <v>54280</v>
      </c>
      <c r="T1054" s="1" t="s">
        <v>2887</v>
      </c>
      <c r="U1054" s="3" t="s">
        <v>2816</v>
      </c>
      <c r="V1054" s="89" t="s">
        <v>1519</v>
      </c>
      <c r="W1054" s="89" t="s">
        <v>3007</v>
      </c>
      <c r="X1054" s="89"/>
      <c r="Y1054" s="190"/>
      <c r="Z1054" s="21" t="s">
        <v>3351</v>
      </c>
      <c r="AA1054" s="96"/>
      <c r="AB1054" s="96">
        <v>8</v>
      </c>
      <c r="AC1054" s="97" t="s">
        <v>3652</v>
      </c>
      <c r="AD1054" s="211"/>
      <c r="AE1054" s="211"/>
      <c r="AF1054" s="211"/>
      <c r="AG1054" s="211"/>
    </row>
    <row r="1055" spans="1:33" s="206" customFormat="1" x14ac:dyDescent="0.25">
      <c r="A1055" s="91">
        <v>46157</v>
      </c>
      <c r="B1055" s="91">
        <v>46157</v>
      </c>
      <c r="C1055" s="6" t="s">
        <v>54</v>
      </c>
      <c r="D1055" s="224" t="s">
        <v>3494</v>
      </c>
      <c r="E1055" s="85" t="s">
        <v>2603</v>
      </c>
      <c r="F1055" s="293" t="s">
        <v>3645</v>
      </c>
      <c r="G1055" s="1" t="s">
        <v>3169</v>
      </c>
      <c r="H1055" s="73">
        <v>2</v>
      </c>
      <c r="I1055" s="73">
        <v>2</v>
      </c>
      <c r="J1055" s="73">
        <f>Table224[[#This Row],[Qty]]-Table224[[#This Row],[Issue Qty]]</f>
        <v>0</v>
      </c>
      <c r="K1055" s="336">
        <v>1</v>
      </c>
      <c r="L1055" s="195" t="s">
        <v>3480</v>
      </c>
      <c r="M1055" s="67">
        <v>3302.8</v>
      </c>
      <c r="N1055" s="10">
        <f t="shared" si="55"/>
        <v>6605.6</v>
      </c>
      <c r="O1055" s="82">
        <v>0.18</v>
      </c>
      <c r="P1055" s="9">
        <f t="shared" si="56"/>
        <v>1189.008</v>
      </c>
      <c r="Q1055" s="272"/>
      <c r="R1055" s="272"/>
      <c r="S1055" s="10">
        <f t="shared" si="57"/>
        <v>7794.6080000000002</v>
      </c>
      <c r="T1055" s="1" t="s">
        <v>2887</v>
      </c>
      <c r="U1055" s="3" t="s">
        <v>2816</v>
      </c>
      <c r="V1055" s="105" t="s">
        <v>358</v>
      </c>
      <c r="W1055" s="276" t="s">
        <v>3008</v>
      </c>
      <c r="X1055" s="141">
        <v>39269099</v>
      </c>
      <c r="Y1055" s="190"/>
      <c r="Z1055" s="21" t="s">
        <v>3165</v>
      </c>
      <c r="AA1055" s="96" t="s">
        <v>3161</v>
      </c>
      <c r="AB1055" s="96">
        <v>2</v>
      </c>
      <c r="AC1055" s="97" t="s">
        <v>3646</v>
      </c>
      <c r="AD1055" s="211"/>
      <c r="AE1055" s="211"/>
      <c r="AF1055" s="211"/>
      <c r="AG1055" s="211"/>
    </row>
    <row r="1056" spans="1:33" s="206" customFormat="1" x14ac:dyDescent="0.25">
      <c r="A1056" s="91">
        <v>46157</v>
      </c>
      <c r="B1056" s="91">
        <v>46157</v>
      </c>
      <c r="C1056" s="23" t="s">
        <v>54</v>
      </c>
      <c r="D1056" s="224" t="s">
        <v>3494</v>
      </c>
      <c r="E1056" s="186" t="s">
        <v>2605</v>
      </c>
      <c r="F1056" s="288" t="s">
        <v>1508</v>
      </c>
      <c r="G1056" s="183" t="s">
        <v>3170</v>
      </c>
      <c r="H1056" s="73">
        <v>10</v>
      </c>
      <c r="I1056" s="73">
        <v>8</v>
      </c>
      <c r="J1056" s="73">
        <f>Table224[[#This Row],[Qty]]-Table224[[#This Row],[Issue Qty]]</f>
        <v>2</v>
      </c>
      <c r="K1056" s="336">
        <v>4</v>
      </c>
      <c r="L1056" s="195" t="s">
        <v>3480</v>
      </c>
      <c r="M1056" s="67">
        <v>165.6</v>
      </c>
      <c r="N1056" s="10">
        <f t="shared" si="55"/>
        <v>1656</v>
      </c>
      <c r="O1056" s="82">
        <v>0.18</v>
      </c>
      <c r="P1056" s="9">
        <f t="shared" si="56"/>
        <v>298.08</v>
      </c>
      <c r="Q1056" s="272"/>
      <c r="R1056" s="272"/>
      <c r="S1056" s="10">
        <f t="shared" si="57"/>
        <v>1954.08</v>
      </c>
      <c r="T1056" s="1" t="s">
        <v>2887</v>
      </c>
      <c r="U1056" s="3" t="s">
        <v>2816</v>
      </c>
      <c r="V1056" s="85" t="s">
        <v>358</v>
      </c>
      <c r="W1056" s="141" t="s">
        <v>3008</v>
      </c>
      <c r="X1056" s="141">
        <v>39269099</v>
      </c>
      <c r="Y1056" s="190"/>
      <c r="Z1056" s="21" t="s">
        <v>2808</v>
      </c>
      <c r="AA1056" s="21" t="s">
        <v>3161</v>
      </c>
      <c r="AB1056" s="96">
        <v>8</v>
      </c>
      <c r="AC1056" s="97" t="s">
        <v>3713</v>
      </c>
      <c r="AD1056" s="211"/>
      <c r="AE1056" s="211"/>
      <c r="AF1056" s="211"/>
      <c r="AG1056" s="211"/>
    </row>
    <row r="1057" spans="1:33" s="206" customFormat="1" x14ac:dyDescent="0.25">
      <c r="A1057" s="91">
        <v>46157</v>
      </c>
      <c r="B1057" s="91">
        <v>46157</v>
      </c>
      <c r="C1057" s="23" t="s">
        <v>54</v>
      </c>
      <c r="D1057" s="224" t="s">
        <v>3494</v>
      </c>
      <c r="E1057" s="186" t="s">
        <v>2604</v>
      </c>
      <c r="F1057" s="288" t="s">
        <v>1507</v>
      </c>
      <c r="G1057" s="183" t="s">
        <v>3172</v>
      </c>
      <c r="H1057" s="73">
        <v>2</v>
      </c>
      <c r="I1057" s="73">
        <v>1</v>
      </c>
      <c r="J1057" s="73">
        <f>Table224[[#This Row],[Qty]]-Table224[[#This Row],[Issue Qty]]</f>
        <v>1</v>
      </c>
      <c r="K1057" s="336">
        <v>1</v>
      </c>
      <c r="L1057" s="195" t="s">
        <v>3480</v>
      </c>
      <c r="M1057" s="67">
        <v>4402.2</v>
      </c>
      <c r="N1057" s="10">
        <f t="shared" si="55"/>
        <v>8804.4</v>
      </c>
      <c r="O1057" s="82">
        <v>0.18</v>
      </c>
      <c r="P1057" s="9">
        <f t="shared" si="56"/>
        <v>1584.7919999999999</v>
      </c>
      <c r="Q1057" s="272"/>
      <c r="R1057" s="272"/>
      <c r="S1057" s="10">
        <f t="shared" si="57"/>
        <v>10389.191999999999</v>
      </c>
      <c r="T1057" s="1" t="s">
        <v>2887</v>
      </c>
      <c r="U1057" s="3" t="s">
        <v>2816</v>
      </c>
      <c r="V1057" s="85" t="s">
        <v>358</v>
      </c>
      <c r="W1057" s="141" t="s">
        <v>3008</v>
      </c>
      <c r="X1057" s="141">
        <v>39269099</v>
      </c>
      <c r="Y1057" s="190"/>
      <c r="Z1057" s="21" t="s">
        <v>3165</v>
      </c>
      <c r="AA1057" s="21" t="s">
        <v>3161</v>
      </c>
      <c r="AB1057" s="35">
        <v>1</v>
      </c>
      <c r="AC1057" s="97" t="s">
        <v>3642</v>
      </c>
      <c r="AD1057" s="211"/>
      <c r="AE1057" s="211"/>
      <c r="AF1057" s="211"/>
      <c r="AG1057" s="211"/>
    </row>
    <row r="1058" spans="1:33" s="206" customFormat="1" x14ac:dyDescent="0.25">
      <c r="A1058" s="91">
        <v>46157</v>
      </c>
      <c r="B1058" s="91">
        <v>46157</v>
      </c>
      <c r="C1058" s="23" t="s">
        <v>54</v>
      </c>
      <c r="D1058" s="23" t="s">
        <v>3500</v>
      </c>
      <c r="E1058" s="186" t="s">
        <v>3037</v>
      </c>
      <c r="F1058" s="235" t="s">
        <v>3170</v>
      </c>
      <c r="G1058" s="70" t="s">
        <v>3171</v>
      </c>
      <c r="H1058" s="73">
        <v>30</v>
      </c>
      <c r="I1058" s="73">
        <v>14</v>
      </c>
      <c r="J1058" s="73">
        <f>Table224[[#This Row],[Qty]]-Table224[[#This Row],[Issue Qty]]</f>
        <v>16</v>
      </c>
      <c r="K1058" s="73"/>
      <c r="L1058" s="195" t="s">
        <v>3480</v>
      </c>
      <c r="M1058" s="67">
        <v>115</v>
      </c>
      <c r="N1058" s="10">
        <f t="shared" si="55"/>
        <v>3450</v>
      </c>
      <c r="O1058" s="82">
        <v>0.18</v>
      </c>
      <c r="P1058" s="9">
        <f t="shared" si="56"/>
        <v>621</v>
      </c>
      <c r="Q1058" s="272"/>
      <c r="R1058" s="272"/>
      <c r="S1058" s="10">
        <f t="shared" si="57"/>
        <v>4071</v>
      </c>
      <c r="T1058" s="1" t="s">
        <v>2887</v>
      </c>
      <c r="U1058" s="3" t="s">
        <v>2816</v>
      </c>
      <c r="V1058" s="85" t="s">
        <v>358</v>
      </c>
      <c r="W1058" s="141" t="s">
        <v>3008</v>
      </c>
      <c r="X1058" s="141">
        <v>39269099</v>
      </c>
      <c r="Y1058" s="190"/>
      <c r="Z1058" s="21" t="s">
        <v>3165</v>
      </c>
      <c r="AA1058" s="21" t="s">
        <v>3161</v>
      </c>
      <c r="AB1058" s="96">
        <v>14</v>
      </c>
      <c r="AC1058" s="97" t="s">
        <v>3669</v>
      </c>
      <c r="AD1058" s="211"/>
      <c r="AE1058" s="211"/>
      <c r="AF1058" s="211"/>
      <c r="AG1058" s="211"/>
    </row>
    <row r="1059" spans="1:33" s="206" customFormat="1" x14ac:dyDescent="0.25">
      <c r="A1059" s="91">
        <v>46157</v>
      </c>
      <c r="B1059" s="91">
        <v>46157</v>
      </c>
      <c r="C1059" s="23" t="s">
        <v>1730</v>
      </c>
      <c r="D1059" s="23" t="s">
        <v>3495</v>
      </c>
      <c r="E1059" s="186" t="s">
        <v>3039</v>
      </c>
      <c r="F1059" s="317" t="s">
        <v>3186</v>
      </c>
      <c r="G1059" s="183" t="s">
        <v>3186</v>
      </c>
      <c r="H1059" s="73">
        <v>450</v>
      </c>
      <c r="I1059" s="73">
        <v>100</v>
      </c>
      <c r="J1059" s="73">
        <f>Table224[[#This Row],[Qty]]-Table224[[#This Row],[Issue Qty]]</f>
        <v>350</v>
      </c>
      <c r="K1059" s="73"/>
      <c r="L1059" s="195" t="s">
        <v>3480</v>
      </c>
      <c r="M1059" s="67">
        <v>3.8</v>
      </c>
      <c r="N1059" s="10">
        <f t="shared" si="55"/>
        <v>1710</v>
      </c>
      <c r="O1059" s="82">
        <v>0.18</v>
      </c>
      <c r="P1059" s="9">
        <f t="shared" si="56"/>
        <v>307.8</v>
      </c>
      <c r="Q1059" s="272"/>
      <c r="R1059" s="272"/>
      <c r="S1059" s="10">
        <f t="shared" si="57"/>
        <v>2017.8</v>
      </c>
      <c r="T1059" s="1" t="s">
        <v>2887</v>
      </c>
      <c r="U1059" s="3" t="s">
        <v>2816</v>
      </c>
      <c r="V1059" s="85" t="s">
        <v>3009</v>
      </c>
      <c r="W1059" s="89" t="s">
        <v>3010</v>
      </c>
      <c r="X1059" s="89">
        <v>7419</v>
      </c>
      <c r="Y1059" s="190"/>
      <c r="Z1059" s="21" t="s">
        <v>3188</v>
      </c>
      <c r="AA1059" s="21" t="s">
        <v>3189</v>
      </c>
      <c r="AB1059" s="96">
        <v>100</v>
      </c>
      <c r="AC1059" s="97" t="s">
        <v>3352</v>
      </c>
      <c r="AD1059" s="211"/>
      <c r="AE1059" s="211"/>
      <c r="AF1059" s="211"/>
      <c r="AG1059" s="211"/>
    </row>
    <row r="1060" spans="1:33" s="206" customFormat="1" x14ac:dyDescent="0.25">
      <c r="A1060" s="91">
        <v>46157</v>
      </c>
      <c r="B1060" s="91">
        <v>46157</v>
      </c>
      <c r="C1060" s="23" t="s">
        <v>1730</v>
      </c>
      <c r="D1060" s="224" t="s">
        <v>3495</v>
      </c>
      <c r="E1060" s="186" t="s">
        <v>3040</v>
      </c>
      <c r="F1060" s="317" t="s">
        <v>3187</v>
      </c>
      <c r="G1060" s="70" t="s">
        <v>3187</v>
      </c>
      <c r="H1060" s="73">
        <v>1000</v>
      </c>
      <c r="I1060" s="73">
        <v>60</v>
      </c>
      <c r="J1060" s="73">
        <f>Table224[[#This Row],[Qty]]-Table224[[#This Row],[Issue Qty]]</f>
        <v>940</v>
      </c>
      <c r="K1060" s="73"/>
      <c r="L1060" s="73" t="s">
        <v>3480</v>
      </c>
      <c r="M1060" s="67">
        <v>3.8</v>
      </c>
      <c r="N1060" s="10">
        <f t="shared" si="55"/>
        <v>3800</v>
      </c>
      <c r="O1060" s="82">
        <v>0.18</v>
      </c>
      <c r="P1060" s="9">
        <f t="shared" si="56"/>
        <v>684</v>
      </c>
      <c r="Q1060" s="147"/>
      <c r="R1060" s="272"/>
      <c r="S1060" s="10">
        <f t="shared" si="57"/>
        <v>4484</v>
      </c>
      <c r="T1060" s="1" t="s">
        <v>2887</v>
      </c>
      <c r="U1060" s="3" t="s">
        <v>2816</v>
      </c>
      <c r="V1060" s="85" t="s">
        <v>3009</v>
      </c>
      <c r="W1060" s="89" t="s">
        <v>3010</v>
      </c>
      <c r="X1060" s="89">
        <v>7419</v>
      </c>
      <c r="Y1060" s="190"/>
      <c r="Z1060" s="21" t="s">
        <v>3188</v>
      </c>
      <c r="AA1060" s="21" t="s">
        <v>3189</v>
      </c>
      <c r="AB1060" s="96">
        <v>60</v>
      </c>
      <c r="AC1060" s="97" t="s">
        <v>3352</v>
      </c>
      <c r="AD1060" s="211"/>
      <c r="AE1060" s="211"/>
      <c r="AF1060" s="211"/>
      <c r="AG1060" s="211"/>
    </row>
    <row r="1061" spans="1:33" s="206" customFormat="1" x14ac:dyDescent="0.25">
      <c r="A1061" s="91">
        <v>46157</v>
      </c>
      <c r="B1061" s="91">
        <v>46157</v>
      </c>
      <c r="C1061" s="6" t="s">
        <v>54</v>
      </c>
      <c r="D1061" s="225" t="s">
        <v>3494</v>
      </c>
      <c r="E1061" s="105" t="s">
        <v>3038</v>
      </c>
      <c r="F1061" s="307" t="s">
        <v>3172</v>
      </c>
      <c r="G1061" s="85" t="s">
        <v>3173</v>
      </c>
      <c r="H1061" s="73">
        <v>3</v>
      </c>
      <c r="I1061" s="73">
        <v>1</v>
      </c>
      <c r="J1061" s="73">
        <f>Table224[[#This Row],[Qty]]-Table224[[#This Row],[Issue Qty]]</f>
        <v>2</v>
      </c>
      <c r="K1061" s="336">
        <v>1</v>
      </c>
      <c r="L1061" s="195" t="s">
        <v>3480</v>
      </c>
      <c r="M1061" s="67">
        <v>4825.3999999999996</v>
      </c>
      <c r="N1061" s="10">
        <f t="shared" si="55"/>
        <v>14476.199999999999</v>
      </c>
      <c r="O1061" s="82">
        <v>0.18</v>
      </c>
      <c r="P1061" s="9">
        <f t="shared" si="56"/>
        <v>2605.7159999999999</v>
      </c>
      <c r="Q1061" s="272"/>
      <c r="R1061" s="272"/>
      <c r="S1061" s="10">
        <f t="shared" si="57"/>
        <v>17081.915999999997</v>
      </c>
      <c r="T1061" s="1" t="s">
        <v>2887</v>
      </c>
      <c r="U1061" s="3" t="s">
        <v>2816</v>
      </c>
      <c r="V1061" s="85" t="s">
        <v>358</v>
      </c>
      <c r="W1061" s="141" t="s">
        <v>3008</v>
      </c>
      <c r="X1061" s="141">
        <v>39269099</v>
      </c>
      <c r="Y1061" s="190"/>
      <c r="Z1061" s="21" t="s">
        <v>3165</v>
      </c>
      <c r="AA1061" s="21" t="s">
        <v>3161</v>
      </c>
      <c r="AB1061" s="96">
        <v>2</v>
      </c>
      <c r="AC1061" s="97" t="s">
        <v>3584</v>
      </c>
      <c r="AD1061" s="211"/>
      <c r="AE1061" s="211"/>
      <c r="AF1061" s="211"/>
      <c r="AG1061" s="211"/>
    </row>
    <row r="1062" spans="1:33" s="206" customFormat="1" x14ac:dyDescent="0.25">
      <c r="A1062" s="91">
        <v>46158</v>
      </c>
      <c r="B1062" s="91">
        <v>46158</v>
      </c>
      <c r="C1062" s="6" t="s">
        <v>54</v>
      </c>
      <c r="D1062" s="224" t="s">
        <v>3489</v>
      </c>
      <c r="E1062" s="85" t="s">
        <v>2983</v>
      </c>
      <c r="F1062" s="293" t="s">
        <v>2986</v>
      </c>
      <c r="G1062" s="85" t="s">
        <v>2986</v>
      </c>
      <c r="H1062" s="73">
        <v>3</v>
      </c>
      <c r="I1062" s="73">
        <v>3</v>
      </c>
      <c r="J1062" s="73">
        <f>Table224[[#This Row],[Qty]]-Table224[[#This Row],[Issue Qty]]</f>
        <v>0</v>
      </c>
      <c r="K1062" s="336">
        <v>1</v>
      </c>
      <c r="L1062" s="73" t="s">
        <v>3480</v>
      </c>
      <c r="M1062" s="67">
        <v>10500</v>
      </c>
      <c r="N1062" s="10">
        <f t="shared" si="55"/>
        <v>31500</v>
      </c>
      <c r="O1062" s="82">
        <v>0.18</v>
      </c>
      <c r="P1062" s="9">
        <f t="shared" si="56"/>
        <v>5670</v>
      </c>
      <c r="Q1062" s="144"/>
      <c r="R1062" s="272"/>
      <c r="S1062" s="10">
        <f t="shared" si="57"/>
        <v>37170</v>
      </c>
      <c r="T1062" s="1" t="s">
        <v>2887</v>
      </c>
      <c r="U1062" s="3" t="s">
        <v>2816</v>
      </c>
      <c r="V1062" s="85" t="s">
        <v>2990</v>
      </c>
      <c r="W1062" s="89">
        <v>18</v>
      </c>
      <c r="X1062" s="89"/>
      <c r="Y1062" s="190"/>
      <c r="Z1062" s="21"/>
      <c r="AA1062" s="21"/>
      <c r="AB1062" s="96">
        <v>3</v>
      </c>
      <c r="AC1062" s="97" t="s">
        <v>3723</v>
      </c>
      <c r="AD1062" s="211"/>
      <c r="AE1062" s="211"/>
      <c r="AF1062" s="211"/>
      <c r="AG1062" s="211"/>
    </row>
    <row r="1063" spans="1:33" s="206" customFormat="1" x14ac:dyDescent="0.25">
      <c r="A1063" s="98">
        <v>46158</v>
      </c>
      <c r="B1063" s="98">
        <v>46158</v>
      </c>
      <c r="C1063" s="112" t="s">
        <v>54</v>
      </c>
      <c r="D1063" s="224" t="s">
        <v>3494</v>
      </c>
      <c r="E1063" s="85" t="s">
        <v>2603</v>
      </c>
      <c r="F1063" s="235" t="s">
        <v>1506</v>
      </c>
      <c r="G1063" s="89" t="s">
        <v>1506</v>
      </c>
      <c r="H1063" s="73">
        <v>1</v>
      </c>
      <c r="I1063" s="73">
        <v>0</v>
      </c>
      <c r="J1063" s="73">
        <f>Table224[[#This Row],[Qty]]-Table224[[#This Row],[Issue Qty]]</f>
        <v>1</v>
      </c>
      <c r="K1063" s="73"/>
      <c r="L1063" s="195" t="s">
        <v>3480</v>
      </c>
      <c r="M1063" s="67">
        <v>3572</v>
      </c>
      <c r="N1063" s="10">
        <f t="shared" si="55"/>
        <v>3572</v>
      </c>
      <c r="O1063" s="82">
        <v>0.18</v>
      </c>
      <c r="P1063" s="9">
        <f t="shared" si="56"/>
        <v>642.95999999999992</v>
      </c>
      <c r="Q1063" s="144">
        <v>350</v>
      </c>
      <c r="R1063" s="272"/>
      <c r="S1063" s="10">
        <f t="shared" si="57"/>
        <v>4564.96</v>
      </c>
      <c r="T1063" s="1" t="s">
        <v>2887</v>
      </c>
      <c r="U1063" s="3" t="s">
        <v>2816</v>
      </c>
      <c r="V1063" s="85" t="s">
        <v>3020</v>
      </c>
      <c r="W1063" s="89" t="s">
        <v>3021</v>
      </c>
      <c r="X1063" s="89">
        <v>39264019</v>
      </c>
      <c r="Y1063" s="190"/>
      <c r="Z1063" s="21"/>
      <c r="AA1063" s="21"/>
      <c r="AB1063" s="96">
        <v>1</v>
      </c>
      <c r="AC1063" s="12" t="s">
        <v>3644</v>
      </c>
      <c r="AD1063" s="211"/>
      <c r="AE1063" s="211"/>
      <c r="AF1063" s="211"/>
      <c r="AG1063" s="211"/>
    </row>
    <row r="1064" spans="1:33" s="206" customFormat="1" x14ac:dyDescent="0.25">
      <c r="A1064" s="98">
        <v>46158</v>
      </c>
      <c r="B1064" s="98">
        <v>46158</v>
      </c>
      <c r="C1064" s="6" t="s">
        <v>54</v>
      </c>
      <c r="D1064" s="100" t="s">
        <v>3494</v>
      </c>
      <c r="E1064" s="85" t="s">
        <v>2604</v>
      </c>
      <c r="F1064" s="103" t="s">
        <v>1507</v>
      </c>
      <c r="G1064" s="89" t="s">
        <v>1507</v>
      </c>
      <c r="H1064" s="73">
        <v>1</v>
      </c>
      <c r="I1064" s="73">
        <v>0</v>
      </c>
      <c r="J1064" s="73">
        <f>Table224[[#This Row],[Qty]]-Table224[[#This Row],[Issue Qty]]</f>
        <v>1</v>
      </c>
      <c r="K1064" s="73"/>
      <c r="L1064" s="195" t="s">
        <v>3480</v>
      </c>
      <c r="M1064" s="67">
        <v>4935</v>
      </c>
      <c r="N1064" s="10">
        <f t="shared" si="55"/>
        <v>4935</v>
      </c>
      <c r="O1064" s="82">
        <v>0.18</v>
      </c>
      <c r="P1064" s="9">
        <f t="shared" si="56"/>
        <v>888.3</v>
      </c>
      <c r="Q1064" s="144"/>
      <c r="R1064" s="272"/>
      <c r="S1064" s="10">
        <f t="shared" si="57"/>
        <v>5823.3</v>
      </c>
      <c r="T1064" s="1" t="s">
        <v>2887</v>
      </c>
      <c r="U1064" s="3" t="s">
        <v>2816</v>
      </c>
      <c r="V1064" s="85" t="s">
        <v>3020</v>
      </c>
      <c r="W1064" s="89" t="s">
        <v>3021</v>
      </c>
      <c r="X1064" s="89">
        <v>39264019</v>
      </c>
      <c r="Y1064" s="190"/>
      <c r="Z1064" s="21"/>
      <c r="AA1064" s="21"/>
      <c r="AB1064" s="96">
        <v>1</v>
      </c>
      <c r="AC1064" s="97" t="s">
        <v>3644</v>
      </c>
      <c r="AD1064" s="211"/>
      <c r="AE1064" s="211"/>
      <c r="AF1064" s="211"/>
      <c r="AG1064" s="211"/>
    </row>
    <row r="1065" spans="1:33" s="206" customFormat="1" x14ac:dyDescent="0.25">
      <c r="A1065" s="98">
        <v>46164</v>
      </c>
      <c r="B1065" s="98">
        <v>46158</v>
      </c>
      <c r="C1065" s="1" t="s">
        <v>1991</v>
      </c>
      <c r="D1065" s="186" t="s">
        <v>3443</v>
      </c>
      <c r="E1065" s="99" t="s">
        <v>1741</v>
      </c>
      <c r="F1065" s="269" t="s">
        <v>165</v>
      </c>
      <c r="G1065" s="99" t="s">
        <v>165</v>
      </c>
      <c r="H1065" s="73">
        <v>3</v>
      </c>
      <c r="I1065" s="73">
        <v>3</v>
      </c>
      <c r="J1065" s="73">
        <f>Table224[[#This Row],[Qty]]-Table224[[#This Row],[Issue Qty]]</f>
        <v>0</v>
      </c>
      <c r="K1065" s="336">
        <v>3</v>
      </c>
      <c r="L1065" s="73" t="s">
        <v>3480</v>
      </c>
      <c r="M1065" s="67">
        <v>3845</v>
      </c>
      <c r="N1065" s="10">
        <f t="shared" si="55"/>
        <v>11535</v>
      </c>
      <c r="O1065" s="82">
        <v>0.05</v>
      </c>
      <c r="P1065" s="9">
        <f t="shared" si="56"/>
        <v>576.75</v>
      </c>
      <c r="Q1065" s="104">
        <v>0.25</v>
      </c>
      <c r="R1065" s="272"/>
      <c r="S1065" s="10">
        <f t="shared" si="57"/>
        <v>12112</v>
      </c>
      <c r="T1065" s="1" t="s">
        <v>2887</v>
      </c>
      <c r="U1065" s="1" t="s">
        <v>2887</v>
      </c>
      <c r="V1065" s="85" t="s">
        <v>444</v>
      </c>
      <c r="W1065" s="89" t="s">
        <v>3032</v>
      </c>
      <c r="X1065" s="89">
        <v>8807</v>
      </c>
      <c r="Y1065" s="190"/>
      <c r="Z1065" s="21" t="s">
        <v>25</v>
      </c>
      <c r="AA1065" s="21"/>
      <c r="AB1065" s="96">
        <v>3</v>
      </c>
      <c r="AC1065" s="97" t="s">
        <v>3684</v>
      </c>
      <c r="AD1065" s="211"/>
      <c r="AE1065" s="211"/>
      <c r="AF1065" s="211"/>
      <c r="AG1065" s="211"/>
    </row>
    <row r="1066" spans="1:33" s="206" customFormat="1" x14ac:dyDescent="0.25">
      <c r="A1066" s="91">
        <v>46158</v>
      </c>
      <c r="B1066" s="91">
        <v>46160</v>
      </c>
      <c r="C1066" s="1" t="s">
        <v>1991</v>
      </c>
      <c r="D1066" s="224" t="s">
        <v>3464</v>
      </c>
      <c r="E1066" s="85" t="s">
        <v>2557</v>
      </c>
      <c r="F1066" s="318" t="s">
        <v>1466</v>
      </c>
      <c r="G1066" s="89" t="s">
        <v>1466</v>
      </c>
      <c r="H1066" s="92">
        <v>15</v>
      </c>
      <c r="I1066" s="115">
        <v>12</v>
      </c>
      <c r="J1066" s="115">
        <f>Table224[[#This Row],[Qty]]-Table224[[#This Row],[Issue Qty]]</f>
        <v>3</v>
      </c>
      <c r="K1066" s="195"/>
      <c r="L1066" s="195" t="s">
        <v>3480</v>
      </c>
      <c r="M1066" s="93">
        <v>40500</v>
      </c>
      <c r="N1066" s="10">
        <f t="shared" si="55"/>
        <v>607500</v>
      </c>
      <c r="O1066" s="82">
        <v>0.18</v>
      </c>
      <c r="P1066" s="9">
        <f t="shared" si="56"/>
        <v>109350</v>
      </c>
      <c r="Q1066" s="144"/>
      <c r="R1066" s="214"/>
      <c r="S1066" s="10">
        <f t="shared" si="57"/>
        <v>716850</v>
      </c>
      <c r="T1066" s="3" t="s">
        <v>3245</v>
      </c>
      <c r="U1066" s="3" t="s">
        <v>3245</v>
      </c>
      <c r="V1066" s="89" t="s">
        <v>3012</v>
      </c>
      <c r="W1066" s="89" t="s">
        <v>3013</v>
      </c>
      <c r="X1066" s="89">
        <v>90142000</v>
      </c>
      <c r="Y1066" s="190"/>
      <c r="Z1066" s="21" t="s">
        <v>244</v>
      </c>
      <c r="AA1066" s="21"/>
      <c r="AB1066" s="96">
        <f>2+10</f>
        <v>12</v>
      </c>
      <c r="AC1066" s="97" t="s">
        <v>3801</v>
      </c>
      <c r="AD1066" s="211"/>
      <c r="AE1066" s="211"/>
      <c r="AF1066" s="211"/>
      <c r="AG1066" s="211"/>
    </row>
    <row r="1067" spans="1:33" s="206" customFormat="1" x14ac:dyDescent="0.25">
      <c r="A1067" s="91">
        <v>46160</v>
      </c>
      <c r="B1067" s="91">
        <v>46161</v>
      </c>
      <c r="C1067" s="6" t="s">
        <v>54</v>
      </c>
      <c r="D1067" s="186" t="s">
        <v>3497</v>
      </c>
      <c r="E1067" s="85" t="s">
        <v>2435</v>
      </c>
      <c r="F1067" s="103" t="s">
        <v>3024</v>
      </c>
      <c r="G1067" s="89" t="s">
        <v>3024</v>
      </c>
      <c r="H1067" s="92">
        <v>1</v>
      </c>
      <c r="I1067" s="73">
        <v>1</v>
      </c>
      <c r="J1067" s="73">
        <f>Table224[[#This Row],[Qty]]-Table224[[#This Row],[Issue Qty]]</f>
        <v>0</v>
      </c>
      <c r="K1067" s="73"/>
      <c r="L1067" s="73" t="s">
        <v>3480</v>
      </c>
      <c r="M1067" s="93">
        <v>1026</v>
      </c>
      <c r="N1067" s="10">
        <f t="shared" si="55"/>
        <v>1026</v>
      </c>
      <c r="O1067" s="82">
        <v>0.18</v>
      </c>
      <c r="P1067" s="9">
        <f t="shared" si="56"/>
        <v>184.68</v>
      </c>
      <c r="Q1067" s="144">
        <v>0.32</v>
      </c>
      <c r="R1067" s="214"/>
      <c r="S1067" s="10">
        <f t="shared" si="57"/>
        <v>1211</v>
      </c>
      <c r="T1067" s="3" t="s">
        <v>3328</v>
      </c>
      <c r="U1067" s="3" t="s">
        <v>3328</v>
      </c>
      <c r="V1067" s="89" t="s">
        <v>3030</v>
      </c>
      <c r="W1067" s="89">
        <v>52139</v>
      </c>
      <c r="X1067" s="89">
        <v>998853</v>
      </c>
      <c r="Y1067" s="190"/>
      <c r="Z1067" s="21"/>
      <c r="AA1067" s="21"/>
      <c r="AB1067" s="96">
        <v>1</v>
      </c>
      <c r="AC1067" s="97" t="s">
        <v>3184</v>
      </c>
      <c r="AD1067" s="211"/>
      <c r="AE1067" s="211"/>
      <c r="AF1067" s="211"/>
      <c r="AG1067" s="211"/>
    </row>
    <row r="1068" spans="1:33" s="206" customFormat="1" x14ac:dyDescent="0.25">
      <c r="A1068" s="91">
        <v>46158</v>
      </c>
      <c r="B1068" s="91">
        <v>46161</v>
      </c>
      <c r="C1068" s="6" t="s">
        <v>1683</v>
      </c>
      <c r="D1068" s="186" t="s">
        <v>3488</v>
      </c>
      <c r="E1068" s="85" t="s">
        <v>3027</v>
      </c>
      <c r="F1068" s="318" t="s">
        <v>1622</v>
      </c>
      <c r="G1068" s="89" t="s">
        <v>1622</v>
      </c>
      <c r="H1068" s="92">
        <v>10</v>
      </c>
      <c r="I1068" s="73">
        <v>10</v>
      </c>
      <c r="J1068" s="73">
        <f>Table224[[#This Row],[Qty]]-Table224[[#This Row],[Issue Qty]]</f>
        <v>0</v>
      </c>
      <c r="K1068" s="73"/>
      <c r="L1068" s="195" t="s">
        <v>3480</v>
      </c>
      <c r="M1068" s="93">
        <v>3650</v>
      </c>
      <c r="N1068" s="10">
        <f t="shared" si="55"/>
        <v>36500</v>
      </c>
      <c r="O1068" s="82">
        <v>0.18</v>
      </c>
      <c r="P1068" s="9">
        <f t="shared" si="56"/>
        <v>6570</v>
      </c>
      <c r="Q1068" s="144">
        <v>1203.5999999999999</v>
      </c>
      <c r="R1068" s="214"/>
      <c r="S1068" s="10">
        <f t="shared" si="57"/>
        <v>44273.599999999999</v>
      </c>
      <c r="T1068" s="3" t="s">
        <v>3242</v>
      </c>
      <c r="U1068" s="3" t="s">
        <v>3242</v>
      </c>
      <c r="V1068" s="89" t="s">
        <v>1060</v>
      </c>
      <c r="W1068" s="89" t="s">
        <v>3029</v>
      </c>
      <c r="X1068" s="89">
        <v>85044030</v>
      </c>
      <c r="Y1068" s="190"/>
      <c r="Z1068" s="21" t="s">
        <v>3031</v>
      </c>
      <c r="AA1068" s="21"/>
      <c r="AB1068" s="96">
        <f>8+2</f>
        <v>10</v>
      </c>
      <c r="AC1068" s="97" t="s">
        <v>3303</v>
      </c>
      <c r="AD1068" s="211"/>
      <c r="AE1068" s="211"/>
      <c r="AF1068" s="211"/>
      <c r="AG1068" s="211"/>
    </row>
    <row r="1069" spans="1:33" s="206" customFormat="1" ht="30" x14ac:dyDescent="0.25">
      <c r="A1069" s="91">
        <v>46158</v>
      </c>
      <c r="B1069" s="91">
        <v>46161</v>
      </c>
      <c r="C1069" s="1" t="s">
        <v>1991</v>
      </c>
      <c r="D1069" s="85" t="s">
        <v>3444</v>
      </c>
      <c r="E1069" s="85" t="s">
        <v>3026</v>
      </c>
      <c r="F1069" s="318" t="s">
        <v>3023</v>
      </c>
      <c r="G1069" s="89" t="s">
        <v>3023</v>
      </c>
      <c r="H1069" s="92">
        <v>10</v>
      </c>
      <c r="I1069" s="115">
        <v>10</v>
      </c>
      <c r="J1069" s="115">
        <f>Table224[[#This Row],[Qty]]-Table224[[#This Row],[Issue Qty]]</f>
        <v>0</v>
      </c>
      <c r="K1069" s="195"/>
      <c r="L1069" s="195" t="s">
        <v>3480</v>
      </c>
      <c r="M1069" s="93">
        <v>422.03</v>
      </c>
      <c r="N1069" s="10">
        <f t="shared" si="55"/>
        <v>4220.2999999999993</v>
      </c>
      <c r="O1069" s="82">
        <v>0.18</v>
      </c>
      <c r="P1069" s="9">
        <f t="shared" si="56"/>
        <v>759.65399999999988</v>
      </c>
      <c r="Q1069" s="144"/>
      <c r="R1069" s="214"/>
      <c r="S1069" s="10">
        <f t="shared" si="57"/>
        <v>4979.9539999999988</v>
      </c>
      <c r="T1069" s="3" t="s">
        <v>3242</v>
      </c>
      <c r="U1069" s="3" t="s">
        <v>3242</v>
      </c>
      <c r="V1069" s="89" t="s">
        <v>968</v>
      </c>
      <c r="W1069" s="89" t="s">
        <v>3028</v>
      </c>
      <c r="X1069" s="89">
        <v>85041090</v>
      </c>
      <c r="Y1069" s="190"/>
      <c r="Z1069" s="21" t="s">
        <v>244</v>
      </c>
      <c r="AA1069" s="21"/>
      <c r="AB1069" s="96">
        <v>10</v>
      </c>
      <c r="AC1069" s="97" t="s">
        <v>3303</v>
      </c>
      <c r="AD1069" s="211"/>
      <c r="AE1069" s="211"/>
      <c r="AF1069" s="211"/>
      <c r="AG1069" s="211"/>
    </row>
    <row r="1070" spans="1:33" s="206" customFormat="1" x14ac:dyDescent="0.25">
      <c r="A1070" s="91">
        <v>46143</v>
      </c>
      <c r="B1070" s="91">
        <v>46162</v>
      </c>
      <c r="C1070" s="1" t="s">
        <v>1991</v>
      </c>
      <c r="D1070" s="224" t="s">
        <v>3487</v>
      </c>
      <c r="E1070" s="89" t="s">
        <v>3043</v>
      </c>
      <c r="F1070" s="103" t="s">
        <v>3095</v>
      </c>
      <c r="G1070" s="89" t="s">
        <v>3095</v>
      </c>
      <c r="H1070" s="92">
        <v>2</v>
      </c>
      <c r="I1070" s="73">
        <v>2</v>
      </c>
      <c r="J1070" s="73">
        <f>Table224[[#This Row],[Qty]]-Table224[[#This Row],[Issue Qty]]</f>
        <v>0</v>
      </c>
      <c r="K1070" s="73"/>
      <c r="L1070" s="195" t="s">
        <v>3480</v>
      </c>
      <c r="M1070" s="93">
        <v>8.5</v>
      </c>
      <c r="N1070" s="10">
        <f t="shared" si="55"/>
        <v>17</v>
      </c>
      <c r="O1070" s="82">
        <v>0</v>
      </c>
      <c r="P1070" s="9">
        <f t="shared" si="56"/>
        <v>0</v>
      </c>
      <c r="Q1070" s="144"/>
      <c r="R1070" s="214"/>
      <c r="S1070" s="10">
        <f t="shared" si="57"/>
        <v>17</v>
      </c>
      <c r="T1070" s="1" t="s">
        <v>2887</v>
      </c>
      <c r="U1070" s="3" t="s">
        <v>2816</v>
      </c>
      <c r="V1070" s="89" t="s">
        <v>3143</v>
      </c>
      <c r="W1070" s="89" t="s">
        <v>3147</v>
      </c>
      <c r="X1070" s="89"/>
      <c r="Y1070" s="190"/>
      <c r="Z1070" s="21"/>
      <c r="AA1070" s="21"/>
      <c r="AB1070" s="96">
        <v>2</v>
      </c>
      <c r="AC1070" s="97" t="s">
        <v>3755</v>
      </c>
      <c r="AD1070" s="211"/>
      <c r="AE1070" s="211"/>
      <c r="AF1070" s="211"/>
      <c r="AG1070" s="211"/>
    </row>
    <row r="1071" spans="1:33" s="206" customFormat="1" x14ac:dyDescent="0.25">
      <c r="A1071" s="91">
        <v>46143</v>
      </c>
      <c r="B1071" s="91">
        <v>46162</v>
      </c>
      <c r="C1071" s="112" t="s">
        <v>1688</v>
      </c>
      <c r="D1071" s="224" t="s">
        <v>3582</v>
      </c>
      <c r="E1071" s="89" t="s">
        <v>3041</v>
      </c>
      <c r="F1071" s="103" t="s">
        <v>3025</v>
      </c>
      <c r="G1071" s="89" t="s">
        <v>3025</v>
      </c>
      <c r="H1071" s="92">
        <v>2</v>
      </c>
      <c r="I1071" s="73">
        <v>2</v>
      </c>
      <c r="J1071" s="73">
        <f>Table224[[#This Row],[Qty]]-Table224[[#This Row],[Issue Qty]]</f>
        <v>0</v>
      </c>
      <c r="K1071" s="73"/>
      <c r="L1071" s="73" t="s">
        <v>3480</v>
      </c>
      <c r="M1071" s="93">
        <v>1299</v>
      </c>
      <c r="N1071" s="10">
        <f t="shared" si="55"/>
        <v>2598</v>
      </c>
      <c r="O1071" s="82">
        <v>0</v>
      </c>
      <c r="P1071" s="9">
        <f t="shared" si="56"/>
        <v>0</v>
      </c>
      <c r="Q1071" s="145"/>
      <c r="R1071" s="272"/>
      <c r="S1071" s="10">
        <f t="shared" si="57"/>
        <v>2598</v>
      </c>
      <c r="T1071" s="1" t="s">
        <v>2887</v>
      </c>
      <c r="U1071" s="3" t="s">
        <v>2816</v>
      </c>
      <c r="V1071" s="85" t="s">
        <v>3143</v>
      </c>
      <c r="W1071" s="85" t="s">
        <v>3147</v>
      </c>
      <c r="X1071" s="89"/>
      <c r="Y1071" s="190"/>
      <c r="Z1071" s="21"/>
      <c r="AA1071" s="21"/>
      <c r="AB1071" s="96">
        <v>2</v>
      </c>
      <c r="AC1071" s="97" t="s">
        <v>3755</v>
      </c>
      <c r="AD1071" s="211"/>
      <c r="AE1071" s="211"/>
      <c r="AF1071" s="211"/>
      <c r="AG1071" s="211"/>
    </row>
    <row r="1072" spans="1:33" s="206" customFormat="1" x14ac:dyDescent="0.25">
      <c r="A1072" s="91">
        <v>46143</v>
      </c>
      <c r="B1072" s="91">
        <v>46162</v>
      </c>
      <c r="C1072" s="1" t="s">
        <v>1991</v>
      </c>
      <c r="D1072" s="224" t="s">
        <v>3459</v>
      </c>
      <c r="E1072" s="89" t="s">
        <v>3042</v>
      </c>
      <c r="F1072" s="103" t="s">
        <v>3094</v>
      </c>
      <c r="G1072" s="89" t="s">
        <v>3094</v>
      </c>
      <c r="H1072" s="92">
        <v>2</v>
      </c>
      <c r="I1072" s="73">
        <v>2</v>
      </c>
      <c r="J1072" s="73">
        <f>Table224[[#This Row],[Qty]]-Table224[[#This Row],[Issue Qty]]</f>
        <v>0</v>
      </c>
      <c r="K1072" s="73"/>
      <c r="L1072" s="73" t="s">
        <v>3480</v>
      </c>
      <c r="M1072" s="93">
        <v>349</v>
      </c>
      <c r="N1072" s="10">
        <f t="shared" si="55"/>
        <v>698</v>
      </c>
      <c r="O1072" s="82">
        <v>0</v>
      </c>
      <c r="P1072" s="9">
        <f t="shared" ref="P1072:P1103" si="58">N1072*O1072</f>
        <v>0</v>
      </c>
      <c r="Q1072" s="141"/>
      <c r="R1072" s="214"/>
      <c r="S1072" s="10">
        <f t="shared" si="57"/>
        <v>698</v>
      </c>
      <c r="T1072" s="1" t="s">
        <v>2887</v>
      </c>
      <c r="U1072" s="3" t="s">
        <v>2816</v>
      </c>
      <c r="V1072" s="89" t="s">
        <v>3143</v>
      </c>
      <c r="W1072" s="89" t="s">
        <v>3147</v>
      </c>
      <c r="X1072" s="89"/>
      <c r="Y1072" s="190"/>
      <c r="Z1072" s="21"/>
      <c r="AA1072" s="21"/>
      <c r="AB1072" s="96">
        <v>2</v>
      </c>
      <c r="AC1072" s="97" t="s">
        <v>3755</v>
      </c>
      <c r="AD1072" s="211"/>
      <c r="AE1072" s="211"/>
      <c r="AF1072" s="211"/>
      <c r="AG1072" s="211"/>
    </row>
    <row r="1073" spans="1:33" s="206" customFormat="1" x14ac:dyDescent="0.25">
      <c r="A1073" s="91">
        <v>46163</v>
      </c>
      <c r="B1073" s="91">
        <v>46164</v>
      </c>
      <c r="C1073" s="1" t="s">
        <v>1991</v>
      </c>
      <c r="D1073" s="224" t="s">
        <v>3500</v>
      </c>
      <c r="E1073" s="89" t="s">
        <v>3048</v>
      </c>
      <c r="F1073" s="103" t="s">
        <v>3101</v>
      </c>
      <c r="G1073" s="89" t="s">
        <v>3101</v>
      </c>
      <c r="H1073" s="92">
        <v>5</v>
      </c>
      <c r="I1073" s="73">
        <v>1</v>
      </c>
      <c r="J1073" s="73">
        <f>Table224[[#This Row],[Qty]]-Table224[[#This Row],[Issue Qty]]</f>
        <v>4</v>
      </c>
      <c r="K1073" s="73"/>
      <c r="L1073" s="73" t="s">
        <v>3480</v>
      </c>
      <c r="M1073" s="93">
        <v>2500</v>
      </c>
      <c r="N1073" s="10">
        <f t="shared" si="55"/>
        <v>12500</v>
      </c>
      <c r="O1073" s="82">
        <v>0.18</v>
      </c>
      <c r="P1073" s="9">
        <f t="shared" si="58"/>
        <v>2250</v>
      </c>
      <c r="Q1073" s="214"/>
      <c r="R1073" s="214"/>
      <c r="S1073" s="10">
        <f t="shared" si="57"/>
        <v>14750</v>
      </c>
      <c r="T1073" s="3" t="s">
        <v>1075</v>
      </c>
      <c r="U1073" s="3" t="s">
        <v>1075</v>
      </c>
      <c r="V1073" s="89" t="s">
        <v>1420</v>
      </c>
      <c r="W1073" s="89" t="s">
        <v>3148</v>
      </c>
      <c r="X1073" s="89">
        <v>88073020</v>
      </c>
      <c r="Y1073" s="190"/>
      <c r="Z1073" s="21" t="s">
        <v>3183</v>
      </c>
      <c r="AA1073" s="21"/>
      <c r="AB1073" s="96">
        <v>1</v>
      </c>
      <c r="AC1073" s="97" t="s">
        <v>3606</v>
      </c>
      <c r="AD1073" s="211"/>
      <c r="AE1073" s="211"/>
      <c r="AF1073" s="211"/>
      <c r="AG1073" s="211"/>
    </row>
    <row r="1074" spans="1:33" s="206" customFormat="1" x14ac:dyDescent="0.25">
      <c r="A1074" s="91">
        <v>46163</v>
      </c>
      <c r="B1074" s="91">
        <v>46164</v>
      </c>
      <c r="C1074" s="112" t="s">
        <v>1688</v>
      </c>
      <c r="D1074" s="224" t="s">
        <v>3454</v>
      </c>
      <c r="E1074" s="89" t="s">
        <v>3141</v>
      </c>
      <c r="F1074" s="103" t="s">
        <v>3099</v>
      </c>
      <c r="G1074" s="89" t="s">
        <v>3099</v>
      </c>
      <c r="H1074" s="92">
        <v>1</v>
      </c>
      <c r="I1074" s="73">
        <v>1</v>
      </c>
      <c r="J1074" s="73">
        <f>Table224[[#This Row],[Qty]]-Table224[[#This Row],[Issue Qty]]</f>
        <v>0</v>
      </c>
      <c r="K1074" s="73"/>
      <c r="L1074" s="73" t="s">
        <v>3480</v>
      </c>
      <c r="M1074" s="93">
        <v>116000</v>
      </c>
      <c r="N1074" s="10">
        <f t="shared" si="55"/>
        <v>116000</v>
      </c>
      <c r="O1074" s="82">
        <v>0.18</v>
      </c>
      <c r="P1074" s="9">
        <f t="shared" si="58"/>
        <v>20880</v>
      </c>
      <c r="Q1074" s="214"/>
      <c r="R1074" s="214"/>
      <c r="S1074" s="10">
        <f t="shared" si="57"/>
        <v>136880</v>
      </c>
      <c r="T1074" s="3" t="s">
        <v>1075</v>
      </c>
      <c r="U1074" s="3" t="s">
        <v>1075</v>
      </c>
      <c r="V1074" s="89" t="s">
        <v>1420</v>
      </c>
      <c r="W1074" s="89" t="s">
        <v>3148</v>
      </c>
      <c r="X1074" s="89">
        <v>88073020</v>
      </c>
      <c r="Y1074" s="190"/>
      <c r="Z1074" s="21" t="s">
        <v>3183</v>
      </c>
      <c r="AA1074" s="21"/>
      <c r="AB1074" s="96">
        <v>1</v>
      </c>
      <c r="AC1074" s="97" t="s">
        <v>3606</v>
      </c>
      <c r="AD1074" s="211"/>
      <c r="AE1074" s="211"/>
      <c r="AF1074" s="211"/>
      <c r="AG1074" s="211"/>
    </row>
    <row r="1075" spans="1:33" s="206" customFormat="1" x14ac:dyDescent="0.25">
      <c r="A1075" s="91">
        <v>46163</v>
      </c>
      <c r="B1075" s="91">
        <v>46164</v>
      </c>
      <c r="C1075" s="1" t="s">
        <v>1991</v>
      </c>
      <c r="D1075" s="224" t="s">
        <v>3588</v>
      </c>
      <c r="E1075" s="89" t="s">
        <v>3046</v>
      </c>
      <c r="F1075" s="103" t="s">
        <v>3098</v>
      </c>
      <c r="G1075" s="89" t="s">
        <v>3098</v>
      </c>
      <c r="H1075" s="92">
        <v>1</v>
      </c>
      <c r="I1075" s="73">
        <v>1</v>
      </c>
      <c r="J1075" s="73">
        <f>Table224[[#This Row],[Qty]]-Table224[[#This Row],[Issue Qty]]</f>
        <v>0</v>
      </c>
      <c r="K1075" s="73"/>
      <c r="L1075" s="73" t="s">
        <v>3480</v>
      </c>
      <c r="M1075" s="93">
        <v>87000</v>
      </c>
      <c r="N1075" s="10">
        <f t="shared" si="55"/>
        <v>87000</v>
      </c>
      <c r="O1075" s="82">
        <v>0.18</v>
      </c>
      <c r="P1075" s="9">
        <f t="shared" si="58"/>
        <v>15660</v>
      </c>
      <c r="Q1075" s="214"/>
      <c r="R1075" s="214"/>
      <c r="S1075" s="10">
        <f t="shared" si="57"/>
        <v>102660</v>
      </c>
      <c r="T1075" s="3" t="s">
        <v>1075</v>
      </c>
      <c r="U1075" s="3" t="s">
        <v>1075</v>
      </c>
      <c r="V1075" s="89" t="s">
        <v>1420</v>
      </c>
      <c r="W1075" s="89" t="s">
        <v>3148</v>
      </c>
      <c r="X1075" s="89">
        <v>88073020</v>
      </c>
      <c r="Y1075" s="190"/>
      <c r="Z1075" s="21" t="s">
        <v>3183</v>
      </c>
      <c r="AA1075" s="21"/>
      <c r="AB1075" s="96">
        <v>1</v>
      </c>
      <c r="AC1075" s="97" t="s">
        <v>3606</v>
      </c>
      <c r="AD1075" s="211"/>
      <c r="AE1075" s="211"/>
      <c r="AF1075" s="211"/>
      <c r="AG1075" s="211"/>
    </row>
    <row r="1076" spans="1:33" s="206" customFormat="1" x14ac:dyDescent="0.25">
      <c r="A1076" s="91">
        <v>46163</v>
      </c>
      <c r="B1076" s="91">
        <v>46164</v>
      </c>
      <c r="C1076" s="112" t="s">
        <v>1688</v>
      </c>
      <c r="D1076" s="224" t="s">
        <v>3454</v>
      </c>
      <c r="E1076" s="89" t="s">
        <v>3142</v>
      </c>
      <c r="F1076" s="103" t="s">
        <v>3102</v>
      </c>
      <c r="G1076" s="89" t="s">
        <v>3102</v>
      </c>
      <c r="H1076" s="92">
        <v>9</v>
      </c>
      <c r="I1076" s="73">
        <v>5</v>
      </c>
      <c r="J1076" s="73">
        <f>Table224[[#This Row],[Qty]]-Table224[[#This Row],[Issue Qty]]</f>
        <v>4</v>
      </c>
      <c r="K1076" s="73"/>
      <c r="L1076" s="73" t="s">
        <v>3480</v>
      </c>
      <c r="M1076" s="93">
        <v>24500</v>
      </c>
      <c r="N1076" s="10">
        <f t="shared" si="55"/>
        <v>220500</v>
      </c>
      <c r="O1076" s="82">
        <v>0.18</v>
      </c>
      <c r="P1076" s="9">
        <f t="shared" si="58"/>
        <v>39690</v>
      </c>
      <c r="Q1076" s="214"/>
      <c r="R1076" s="214"/>
      <c r="S1076" s="10">
        <f t="shared" si="57"/>
        <v>260190</v>
      </c>
      <c r="T1076" s="3" t="s">
        <v>1075</v>
      </c>
      <c r="U1076" s="3" t="s">
        <v>1075</v>
      </c>
      <c r="V1076" s="89" t="s">
        <v>1420</v>
      </c>
      <c r="W1076" s="89" t="s">
        <v>3148</v>
      </c>
      <c r="X1076" s="89">
        <v>88073020</v>
      </c>
      <c r="Y1076" s="190"/>
      <c r="Z1076" s="21" t="s">
        <v>3183</v>
      </c>
      <c r="AA1076" s="21"/>
      <c r="AB1076" s="96">
        <v>5</v>
      </c>
      <c r="AC1076" s="97" t="s">
        <v>3606</v>
      </c>
      <c r="AD1076" s="211"/>
      <c r="AE1076" s="211"/>
      <c r="AF1076" s="211"/>
      <c r="AG1076" s="211"/>
    </row>
    <row r="1077" spans="1:33" s="206" customFormat="1" x14ac:dyDescent="0.25">
      <c r="A1077" s="91">
        <v>46163</v>
      </c>
      <c r="B1077" s="91">
        <v>46164</v>
      </c>
      <c r="C1077" s="1" t="s">
        <v>1991</v>
      </c>
      <c r="D1077" s="224" t="s">
        <v>3463</v>
      </c>
      <c r="E1077" s="89" t="s">
        <v>3050</v>
      </c>
      <c r="F1077" s="103" t="s">
        <v>3104</v>
      </c>
      <c r="G1077" s="89" t="s">
        <v>3104</v>
      </c>
      <c r="H1077" s="92">
        <v>6</v>
      </c>
      <c r="I1077" s="73">
        <v>1</v>
      </c>
      <c r="J1077" s="73">
        <f>Table224[[#This Row],[Qty]]-Table224[[#This Row],[Issue Qty]]</f>
        <v>5</v>
      </c>
      <c r="K1077" s="73"/>
      <c r="L1077" s="73" t="s">
        <v>3480</v>
      </c>
      <c r="M1077" s="93">
        <v>19350</v>
      </c>
      <c r="N1077" s="10">
        <f t="shared" si="55"/>
        <v>116100</v>
      </c>
      <c r="O1077" s="82">
        <v>0.05</v>
      </c>
      <c r="P1077" s="9">
        <f t="shared" si="58"/>
        <v>5805</v>
      </c>
      <c r="Q1077" s="214"/>
      <c r="R1077" s="214"/>
      <c r="S1077" s="10">
        <f t="shared" si="57"/>
        <v>121905</v>
      </c>
      <c r="T1077" s="3" t="s">
        <v>1075</v>
      </c>
      <c r="U1077" s="3" t="s">
        <v>1075</v>
      </c>
      <c r="V1077" s="89" t="s">
        <v>1420</v>
      </c>
      <c r="W1077" s="89" t="s">
        <v>3148</v>
      </c>
      <c r="X1077" s="89">
        <v>88073020</v>
      </c>
      <c r="Y1077" s="190"/>
      <c r="Z1077" s="21" t="s">
        <v>3183</v>
      </c>
      <c r="AA1077" s="21"/>
      <c r="AB1077" s="96"/>
      <c r="AC1077" s="97"/>
      <c r="AD1077" s="211"/>
      <c r="AE1077" s="211"/>
      <c r="AF1077" s="211"/>
      <c r="AG1077" s="211"/>
    </row>
    <row r="1078" spans="1:33" s="206" customFormat="1" x14ac:dyDescent="0.25">
      <c r="A1078" s="91">
        <v>46163</v>
      </c>
      <c r="B1078" s="78">
        <v>46164</v>
      </c>
      <c r="C1078" s="1" t="s">
        <v>1991</v>
      </c>
      <c r="D1078" s="224" t="s">
        <v>3463</v>
      </c>
      <c r="E1078" s="89" t="s">
        <v>3049</v>
      </c>
      <c r="F1078" s="103" t="s">
        <v>3103</v>
      </c>
      <c r="G1078" s="89" t="s">
        <v>3103</v>
      </c>
      <c r="H1078" s="92">
        <v>6</v>
      </c>
      <c r="I1078" s="73">
        <v>2</v>
      </c>
      <c r="J1078" s="73">
        <f>Table224[[#This Row],[Qty]]-Table224[[#This Row],[Issue Qty]]</f>
        <v>4</v>
      </c>
      <c r="K1078" s="73"/>
      <c r="L1078" s="73" t="s">
        <v>3480</v>
      </c>
      <c r="M1078" s="93">
        <v>19350</v>
      </c>
      <c r="N1078" s="10">
        <f t="shared" si="55"/>
        <v>116100</v>
      </c>
      <c r="O1078" s="82">
        <v>0.05</v>
      </c>
      <c r="P1078" s="9">
        <f t="shared" si="58"/>
        <v>5805</v>
      </c>
      <c r="Q1078" s="214"/>
      <c r="R1078" s="214"/>
      <c r="S1078" s="10">
        <f t="shared" si="57"/>
        <v>121905</v>
      </c>
      <c r="T1078" s="3" t="s">
        <v>1075</v>
      </c>
      <c r="U1078" s="3" t="s">
        <v>1075</v>
      </c>
      <c r="V1078" s="89" t="s">
        <v>1420</v>
      </c>
      <c r="W1078" s="89" t="s">
        <v>3148</v>
      </c>
      <c r="X1078" s="89">
        <v>88073020</v>
      </c>
      <c r="Y1078" s="190"/>
      <c r="Z1078" s="21" t="s">
        <v>3183</v>
      </c>
      <c r="AA1078" s="21"/>
      <c r="AB1078" s="96">
        <v>2</v>
      </c>
      <c r="AC1078" s="97" t="s">
        <v>3606</v>
      </c>
      <c r="AD1078" s="211"/>
      <c r="AE1078" s="211"/>
      <c r="AF1078" s="211"/>
      <c r="AG1078" s="211"/>
    </row>
    <row r="1079" spans="1:33" s="206" customFormat="1" x14ac:dyDescent="0.25">
      <c r="A1079" s="91">
        <v>46163</v>
      </c>
      <c r="B1079" s="91">
        <v>46164</v>
      </c>
      <c r="C1079" s="112" t="s">
        <v>1688</v>
      </c>
      <c r="D1079" s="224" t="s">
        <v>3551</v>
      </c>
      <c r="E1079" s="89" t="s">
        <v>3047</v>
      </c>
      <c r="F1079" s="103" t="s">
        <v>3100</v>
      </c>
      <c r="G1079" s="89" t="s">
        <v>3100</v>
      </c>
      <c r="H1079" s="92">
        <v>5</v>
      </c>
      <c r="I1079" s="73">
        <v>3</v>
      </c>
      <c r="J1079" s="73">
        <f>Table224[[#This Row],[Qty]]-Table224[[#This Row],[Issue Qty]]</f>
        <v>2</v>
      </c>
      <c r="K1079" s="73"/>
      <c r="L1079" s="73" t="s">
        <v>3480</v>
      </c>
      <c r="M1079" s="93">
        <v>154000</v>
      </c>
      <c r="N1079" s="10">
        <f t="shared" si="55"/>
        <v>770000</v>
      </c>
      <c r="O1079" s="82">
        <v>0.18</v>
      </c>
      <c r="P1079" s="9">
        <f t="shared" si="58"/>
        <v>138600</v>
      </c>
      <c r="Q1079" s="214"/>
      <c r="R1079" s="214"/>
      <c r="S1079" s="10">
        <f t="shared" si="57"/>
        <v>908600</v>
      </c>
      <c r="T1079" s="3" t="s">
        <v>1075</v>
      </c>
      <c r="U1079" s="3" t="s">
        <v>1075</v>
      </c>
      <c r="V1079" s="89" t="s">
        <v>1420</v>
      </c>
      <c r="W1079" s="89" t="s">
        <v>3148</v>
      </c>
      <c r="X1079" s="89">
        <v>88073020</v>
      </c>
      <c r="Y1079" s="190"/>
      <c r="Z1079" s="21" t="s">
        <v>3183</v>
      </c>
      <c r="AA1079" s="21"/>
      <c r="AB1079" s="96">
        <v>3</v>
      </c>
      <c r="AC1079" s="97" t="s">
        <v>3606</v>
      </c>
      <c r="AD1079" s="211"/>
      <c r="AE1079" s="211"/>
      <c r="AF1079" s="211"/>
      <c r="AG1079" s="211"/>
    </row>
    <row r="1080" spans="1:33" s="206" customFormat="1" x14ac:dyDescent="0.25">
      <c r="A1080" s="91">
        <v>46163</v>
      </c>
      <c r="B1080" s="91">
        <v>46164</v>
      </c>
      <c r="C1080" s="112" t="s">
        <v>1688</v>
      </c>
      <c r="D1080" s="224" t="s">
        <v>3551</v>
      </c>
      <c r="E1080" s="89" t="s">
        <v>3044</v>
      </c>
      <c r="F1080" s="103" t="s">
        <v>3096</v>
      </c>
      <c r="G1080" s="89" t="s">
        <v>3096</v>
      </c>
      <c r="H1080" s="92">
        <v>1</v>
      </c>
      <c r="I1080" s="73">
        <v>1</v>
      </c>
      <c r="J1080" s="73">
        <f>Table224[[#This Row],[Qty]]-Table224[[#This Row],[Issue Qty]]</f>
        <v>0</v>
      </c>
      <c r="K1080" s="73"/>
      <c r="L1080" s="73" t="s">
        <v>3480</v>
      </c>
      <c r="M1080" s="93">
        <v>49600</v>
      </c>
      <c r="N1080" s="10">
        <f t="shared" si="55"/>
        <v>49600</v>
      </c>
      <c r="O1080" s="82">
        <v>0.05</v>
      </c>
      <c r="P1080" s="9">
        <f t="shared" si="58"/>
        <v>2480</v>
      </c>
      <c r="Q1080" s="214"/>
      <c r="R1080" s="214"/>
      <c r="S1080" s="10">
        <f t="shared" si="57"/>
        <v>52080</v>
      </c>
      <c r="T1080" s="3" t="s">
        <v>1075</v>
      </c>
      <c r="U1080" s="3" t="s">
        <v>1075</v>
      </c>
      <c r="V1080" s="89" t="s">
        <v>1420</v>
      </c>
      <c r="W1080" s="89" t="s">
        <v>3148</v>
      </c>
      <c r="X1080" s="89">
        <v>88073020</v>
      </c>
      <c r="Y1080" s="190"/>
      <c r="Z1080" s="21" t="s">
        <v>3183</v>
      </c>
      <c r="AA1080" s="21"/>
      <c r="AB1080" s="96">
        <v>1</v>
      </c>
      <c r="AC1080" s="97" t="s">
        <v>3606</v>
      </c>
      <c r="AD1080" s="211"/>
      <c r="AE1080" s="211"/>
      <c r="AF1080" s="211"/>
      <c r="AG1080" s="211"/>
    </row>
    <row r="1081" spans="1:33" s="206" customFormat="1" x14ac:dyDescent="0.25">
      <c r="A1081" s="91">
        <v>46163</v>
      </c>
      <c r="B1081" s="91">
        <v>46164</v>
      </c>
      <c r="C1081" s="1" t="s">
        <v>1991</v>
      </c>
      <c r="D1081" s="224" t="s">
        <v>3463</v>
      </c>
      <c r="E1081" s="89" t="s">
        <v>3045</v>
      </c>
      <c r="F1081" s="103" t="s">
        <v>3097</v>
      </c>
      <c r="G1081" s="89" t="s">
        <v>3097</v>
      </c>
      <c r="H1081" s="92">
        <v>1</v>
      </c>
      <c r="I1081" s="73">
        <v>1</v>
      </c>
      <c r="J1081" s="73">
        <f>Table224[[#This Row],[Qty]]-Table224[[#This Row],[Issue Qty]]</f>
        <v>0</v>
      </c>
      <c r="K1081" s="73"/>
      <c r="L1081" s="73" t="s">
        <v>3480</v>
      </c>
      <c r="M1081" s="93">
        <v>19500</v>
      </c>
      <c r="N1081" s="10">
        <f t="shared" si="55"/>
        <v>19500</v>
      </c>
      <c r="O1081" s="82">
        <v>0.18</v>
      </c>
      <c r="P1081" s="9">
        <f t="shared" si="58"/>
        <v>3510</v>
      </c>
      <c r="Q1081" s="214"/>
      <c r="R1081" s="214"/>
      <c r="S1081" s="10">
        <f t="shared" si="57"/>
        <v>23010</v>
      </c>
      <c r="T1081" s="3" t="s">
        <v>1075</v>
      </c>
      <c r="U1081" s="3" t="s">
        <v>1075</v>
      </c>
      <c r="V1081" s="89" t="s">
        <v>1420</v>
      </c>
      <c r="W1081" s="89" t="s">
        <v>3148</v>
      </c>
      <c r="X1081" s="89">
        <v>88073020</v>
      </c>
      <c r="Y1081" s="190"/>
      <c r="Z1081" s="21" t="s">
        <v>3183</v>
      </c>
      <c r="AA1081" s="21"/>
      <c r="AB1081" s="96">
        <v>1</v>
      </c>
      <c r="AC1081" s="97" t="s">
        <v>3606</v>
      </c>
      <c r="AD1081" s="211"/>
      <c r="AE1081" s="211"/>
      <c r="AF1081" s="211"/>
      <c r="AG1081" s="211"/>
    </row>
    <row r="1082" spans="1:33" s="206" customFormat="1" x14ac:dyDescent="0.25">
      <c r="A1082" s="91">
        <v>46163</v>
      </c>
      <c r="B1082" s="91">
        <v>46165</v>
      </c>
      <c r="C1082" s="1" t="s">
        <v>1991</v>
      </c>
      <c r="D1082" s="186" t="s">
        <v>3443</v>
      </c>
      <c r="E1082" s="89" t="s">
        <v>1741</v>
      </c>
      <c r="F1082" s="343" t="s">
        <v>165</v>
      </c>
      <c r="G1082" s="89" t="s">
        <v>165</v>
      </c>
      <c r="H1082" s="92">
        <v>44</v>
      </c>
      <c r="I1082" s="73">
        <v>44</v>
      </c>
      <c r="J1082" s="73">
        <f>Table224[[#This Row],[Qty]]-Table224[[#This Row],[Issue Qty]]</f>
        <v>0</v>
      </c>
      <c r="K1082" s="73">
        <v>4</v>
      </c>
      <c r="L1082" s="73" t="s">
        <v>3480</v>
      </c>
      <c r="M1082" s="93">
        <v>2501</v>
      </c>
      <c r="N1082" s="10">
        <f t="shared" si="55"/>
        <v>110044</v>
      </c>
      <c r="O1082" s="82">
        <v>0.05</v>
      </c>
      <c r="P1082" s="9">
        <f t="shared" si="58"/>
        <v>5502.2000000000007</v>
      </c>
      <c r="Q1082" s="214"/>
      <c r="R1082" s="214"/>
      <c r="S1082" s="10">
        <f t="shared" si="57"/>
        <v>115546.2</v>
      </c>
      <c r="T1082" s="3" t="s">
        <v>3242</v>
      </c>
      <c r="U1082" s="3" t="s">
        <v>3242</v>
      </c>
      <c r="V1082" s="89" t="s">
        <v>1420</v>
      </c>
      <c r="W1082" s="89" t="s">
        <v>3149</v>
      </c>
      <c r="X1082" s="89">
        <v>88073000</v>
      </c>
      <c r="Y1082" s="190"/>
      <c r="Z1082" s="21"/>
      <c r="AA1082" s="21"/>
      <c r="AB1082" s="96">
        <f>7+37</f>
        <v>44</v>
      </c>
      <c r="AC1082" s="97" t="s">
        <v>3361</v>
      </c>
      <c r="AD1082" s="211"/>
      <c r="AE1082" s="211"/>
      <c r="AF1082" s="211"/>
      <c r="AG1082" s="211"/>
    </row>
    <row r="1083" spans="1:33" s="206" customFormat="1" x14ac:dyDescent="0.25">
      <c r="A1083" s="91">
        <v>46163</v>
      </c>
      <c r="B1083" s="91">
        <v>46165</v>
      </c>
      <c r="C1083" s="1" t="s">
        <v>1991</v>
      </c>
      <c r="D1083" s="186" t="s">
        <v>3443</v>
      </c>
      <c r="E1083" s="89" t="s">
        <v>1687</v>
      </c>
      <c r="F1083" s="103" t="s">
        <v>24</v>
      </c>
      <c r="G1083" s="89" t="s">
        <v>24</v>
      </c>
      <c r="H1083" s="92">
        <v>4</v>
      </c>
      <c r="I1083" s="115"/>
      <c r="J1083" s="115">
        <f>Table224[[#This Row],[Qty]]-Table224[[#This Row],[Issue Qty]]</f>
        <v>4</v>
      </c>
      <c r="K1083" s="73"/>
      <c r="L1083" s="73" t="s">
        <v>3480</v>
      </c>
      <c r="M1083" s="93">
        <v>6305</v>
      </c>
      <c r="N1083" s="10">
        <f t="shared" si="55"/>
        <v>25220</v>
      </c>
      <c r="O1083" s="82">
        <v>0.05</v>
      </c>
      <c r="P1083" s="9">
        <f t="shared" si="58"/>
        <v>1261</v>
      </c>
      <c r="Q1083" s="214"/>
      <c r="R1083" s="214"/>
      <c r="S1083" s="10">
        <f t="shared" si="57"/>
        <v>26481</v>
      </c>
      <c r="T1083" s="1" t="s">
        <v>2887</v>
      </c>
      <c r="U1083" s="3" t="s">
        <v>2816</v>
      </c>
      <c r="V1083" s="89" t="s">
        <v>1420</v>
      </c>
      <c r="W1083" s="89" t="s">
        <v>3149</v>
      </c>
      <c r="X1083" s="89">
        <v>88073000</v>
      </c>
      <c r="Y1083" s="190"/>
      <c r="Z1083" s="21" t="s">
        <v>25</v>
      </c>
      <c r="AA1083" s="21"/>
      <c r="AB1083" s="96">
        <v>4</v>
      </c>
      <c r="AC1083" s="97" t="s">
        <v>3446</v>
      </c>
      <c r="AD1083" s="211"/>
      <c r="AE1083" s="211"/>
      <c r="AF1083" s="211"/>
      <c r="AG1083" s="211"/>
    </row>
    <row r="1084" spans="1:33" s="206" customFormat="1" x14ac:dyDescent="0.25">
      <c r="A1084" s="91">
        <v>46163</v>
      </c>
      <c r="B1084" s="91">
        <v>46165</v>
      </c>
      <c r="C1084" s="112" t="s">
        <v>1683</v>
      </c>
      <c r="D1084" s="224" t="s">
        <v>3431</v>
      </c>
      <c r="E1084" s="89" t="s">
        <v>2532</v>
      </c>
      <c r="F1084" s="244" t="s">
        <v>1436</v>
      </c>
      <c r="G1084" s="89" t="s">
        <v>1436</v>
      </c>
      <c r="H1084" s="92">
        <v>20</v>
      </c>
      <c r="I1084" s="73">
        <v>20</v>
      </c>
      <c r="J1084" s="73">
        <f>Table224[[#This Row],[Qty]]-Table224[[#This Row],[Issue Qty]]</f>
        <v>0</v>
      </c>
      <c r="K1084" s="336">
        <v>5</v>
      </c>
      <c r="L1084" s="73" t="s">
        <v>3479</v>
      </c>
      <c r="M1084" s="93">
        <v>10900</v>
      </c>
      <c r="N1084" s="10">
        <f t="shared" si="55"/>
        <v>218000</v>
      </c>
      <c r="O1084" s="82">
        <v>0.05</v>
      </c>
      <c r="P1084" s="9">
        <f t="shared" si="58"/>
        <v>10900</v>
      </c>
      <c r="Q1084" s="214"/>
      <c r="R1084" s="214"/>
      <c r="S1084" s="10">
        <f t="shared" si="57"/>
        <v>228900</v>
      </c>
      <c r="T1084" s="3" t="s">
        <v>3242</v>
      </c>
      <c r="U1084" s="3" t="s">
        <v>3242</v>
      </c>
      <c r="V1084" s="89" t="s">
        <v>1420</v>
      </c>
      <c r="W1084" s="89" t="s">
        <v>3149</v>
      </c>
      <c r="X1084" s="89">
        <v>88073000</v>
      </c>
      <c r="Y1084" s="190"/>
      <c r="Z1084" s="21" t="s">
        <v>64</v>
      </c>
      <c r="AA1084" s="21"/>
      <c r="AB1084" s="96">
        <v>20</v>
      </c>
      <c r="AC1084" s="97" t="s">
        <v>3436</v>
      </c>
      <c r="AD1084" s="211" t="s">
        <v>3437</v>
      </c>
      <c r="AE1084" s="211"/>
      <c r="AF1084" s="211"/>
      <c r="AG1084" s="211"/>
    </row>
    <row r="1085" spans="1:33" s="206" customFormat="1" x14ac:dyDescent="0.25">
      <c r="A1085" s="91">
        <v>46163</v>
      </c>
      <c r="B1085" s="91">
        <v>46165</v>
      </c>
      <c r="C1085" s="6" t="s">
        <v>1683</v>
      </c>
      <c r="D1085" s="224" t="s">
        <v>3431</v>
      </c>
      <c r="E1085" s="89" t="s">
        <v>2563</v>
      </c>
      <c r="F1085" s="285" t="s">
        <v>1471</v>
      </c>
      <c r="G1085" s="89" t="s">
        <v>1471</v>
      </c>
      <c r="H1085" s="92">
        <v>4</v>
      </c>
      <c r="I1085" s="73">
        <v>2</v>
      </c>
      <c r="J1085" s="73">
        <f>Table224[[#This Row],[Qty]]-Table224[[#This Row],[Issue Qty]]</f>
        <v>2</v>
      </c>
      <c r="K1085" s="73"/>
      <c r="L1085" s="73" t="s">
        <v>3480</v>
      </c>
      <c r="M1085" s="93">
        <v>20661</v>
      </c>
      <c r="N1085" s="10">
        <f t="shared" si="55"/>
        <v>82644</v>
      </c>
      <c r="O1085" s="82">
        <v>0.05</v>
      </c>
      <c r="P1085" s="9">
        <f t="shared" si="58"/>
        <v>4132.2</v>
      </c>
      <c r="Q1085" s="214"/>
      <c r="R1085" s="214"/>
      <c r="S1085" s="10">
        <f t="shared" si="57"/>
        <v>86776.2</v>
      </c>
      <c r="T1085" s="1" t="s">
        <v>2887</v>
      </c>
      <c r="U1085" s="3" t="s">
        <v>2816</v>
      </c>
      <c r="V1085" s="89" t="s">
        <v>1420</v>
      </c>
      <c r="W1085" s="89" t="s">
        <v>3149</v>
      </c>
      <c r="X1085" s="89">
        <v>88073000</v>
      </c>
      <c r="Y1085" s="190"/>
      <c r="Z1085" s="21" t="s">
        <v>64</v>
      </c>
      <c r="AA1085" s="21"/>
      <c r="AB1085" s="96">
        <v>2</v>
      </c>
      <c r="AC1085" s="97" t="s">
        <v>3828</v>
      </c>
      <c r="AD1085" s="211"/>
      <c r="AE1085" s="211"/>
      <c r="AF1085" s="211"/>
      <c r="AG1085" s="211"/>
    </row>
    <row r="1086" spans="1:33" s="206" customFormat="1" x14ac:dyDescent="0.25">
      <c r="A1086" s="91">
        <v>46163</v>
      </c>
      <c r="B1086" s="91">
        <v>46165</v>
      </c>
      <c r="C1086" s="6" t="s">
        <v>1683</v>
      </c>
      <c r="D1086" s="224" t="s">
        <v>3431</v>
      </c>
      <c r="E1086" s="89" t="s">
        <v>2746</v>
      </c>
      <c r="F1086" s="103" t="s">
        <v>1615</v>
      </c>
      <c r="G1086" s="89" t="s">
        <v>1615</v>
      </c>
      <c r="H1086" s="92">
        <v>4</v>
      </c>
      <c r="I1086" s="73">
        <v>4</v>
      </c>
      <c r="J1086" s="73">
        <f>Table224[[#This Row],[Qty]]-Table224[[#This Row],[Issue Qty]]</f>
        <v>0</v>
      </c>
      <c r="K1086" s="73"/>
      <c r="L1086" s="73" t="s">
        <v>3480</v>
      </c>
      <c r="M1086" s="93">
        <v>25462</v>
      </c>
      <c r="N1086" s="10">
        <f t="shared" si="55"/>
        <v>101848</v>
      </c>
      <c r="O1086" s="82">
        <v>0.05</v>
      </c>
      <c r="P1086" s="9">
        <f t="shared" si="58"/>
        <v>5092.4000000000005</v>
      </c>
      <c r="Q1086" s="214"/>
      <c r="R1086" s="214"/>
      <c r="S1086" s="10">
        <f t="shared" si="57"/>
        <v>106940.4</v>
      </c>
      <c r="T1086" s="1" t="s">
        <v>2887</v>
      </c>
      <c r="U1086" s="3" t="s">
        <v>2816</v>
      </c>
      <c r="V1086" s="89" t="s">
        <v>1420</v>
      </c>
      <c r="W1086" s="89" t="s">
        <v>3149</v>
      </c>
      <c r="X1086" s="89">
        <v>88073000</v>
      </c>
      <c r="Y1086" s="190"/>
      <c r="Z1086" s="21"/>
      <c r="AA1086" s="21"/>
      <c r="AB1086" s="96">
        <v>2</v>
      </c>
      <c r="AC1086" s="97" t="s">
        <v>3373</v>
      </c>
      <c r="AD1086" s="211"/>
      <c r="AE1086" s="211"/>
      <c r="AF1086" s="211"/>
      <c r="AG1086" s="211"/>
    </row>
    <row r="1087" spans="1:33" s="206" customFormat="1" x14ac:dyDescent="0.25">
      <c r="A1087" s="91">
        <v>46162</v>
      </c>
      <c r="B1087" s="91">
        <v>46167</v>
      </c>
      <c r="C1087" s="6" t="s">
        <v>54</v>
      </c>
      <c r="D1087" s="224" t="s">
        <v>3596</v>
      </c>
      <c r="E1087" s="89" t="s">
        <v>3051</v>
      </c>
      <c r="F1087" s="285" t="s">
        <v>3105</v>
      </c>
      <c r="G1087" s="89" t="s">
        <v>3105</v>
      </c>
      <c r="H1087" s="92">
        <v>3</v>
      </c>
      <c r="I1087" s="73">
        <v>1</v>
      </c>
      <c r="J1087" s="73">
        <f>Table224[[#This Row],[Qty]]-Table224[[#This Row],[Issue Qty]]</f>
        <v>2</v>
      </c>
      <c r="K1087" s="73"/>
      <c r="L1087" s="73" t="s">
        <v>3480</v>
      </c>
      <c r="M1087" s="93">
        <v>1178</v>
      </c>
      <c r="N1087" s="10">
        <f t="shared" si="55"/>
        <v>3534</v>
      </c>
      <c r="O1087" s="82">
        <v>0.18</v>
      </c>
      <c r="P1087" s="9">
        <f t="shared" si="58"/>
        <v>636.12</v>
      </c>
      <c r="Q1087" s="214"/>
      <c r="R1087" s="214"/>
      <c r="S1087" s="10">
        <f t="shared" si="57"/>
        <v>4170.12</v>
      </c>
      <c r="T1087" s="3" t="s">
        <v>2887</v>
      </c>
      <c r="U1087" s="3" t="s">
        <v>1408</v>
      </c>
      <c r="V1087" s="89" t="s">
        <v>3144</v>
      </c>
      <c r="W1087" s="89" t="s">
        <v>3150</v>
      </c>
      <c r="X1087" s="89">
        <v>6815</v>
      </c>
      <c r="Y1087" s="190"/>
      <c r="Z1087" s="21" t="s">
        <v>3182</v>
      </c>
      <c r="AA1087" s="21"/>
      <c r="AB1087" s="96">
        <v>1</v>
      </c>
      <c r="AC1087" s="97" t="s">
        <v>2887</v>
      </c>
      <c r="AD1087" s="211"/>
      <c r="AE1087" s="211"/>
      <c r="AF1087" s="211"/>
      <c r="AG1087" s="211"/>
    </row>
    <row r="1088" spans="1:33" s="206" customFormat="1" x14ac:dyDescent="0.25">
      <c r="A1088" s="91">
        <v>46162</v>
      </c>
      <c r="B1088" s="91">
        <v>46167</v>
      </c>
      <c r="C1088" s="6" t="s">
        <v>54</v>
      </c>
      <c r="D1088" s="224" t="s">
        <v>3596</v>
      </c>
      <c r="E1088" s="89" t="s">
        <v>2559</v>
      </c>
      <c r="F1088" s="103" t="s">
        <v>1468</v>
      </c>
      <c r="G1088" s="89" t="s">
        <v>1468</v>
      </c>
      <c r="H1088" s="92">
        <v>3</v>
      </c>
      <c r="I1088" s="73">
        <v>0</v>
      </c>
      <c r="J1088" s="73">
        <f>Table224[[#This Row],[Qty]]-Table224[[#This Row],[Issue Qty]]</f>
        <v>3</v>
      </c>
      <c r="K1088" s="73"/>
      <c r="L1088" s="73" t="s">
        <v>3480</v>
      </c>
      <c r="M1088" s="93">
        <v>1186</v>
      </c>
      <c r="N1088" s="10">
        <f t="shared" si="55"/>
        <v>3558</v>
      </c>
      <c r="O1088" s="82">
        <v>0.18</v>
      </c>
      <c r="P1088" s="9">
        <f t="shared" si="58"/>
        <v>640.43999999999994</v>
      </c>
      <c r="Q1088" s="141">
        <v>150</v>
      </c>
      <c r="R1088" s="141">
        <v>-1214.45</v>
      </c>
      <c r="S1088" s="10">
        <f t="shared" si="57"/>
        <v>3133.99</v>
      </c>
      <c r="T1088" s="3" t="s">
        <v>2887</v>
      </c>
      <c r="U1088" s="3" t="s">
        <v>1408</v>
      </c>
      <c r="V1088" s="89" t="s">
        <v>3144</v>
      </c>
      <c r="W1088" s="89" t="s">
        <v>3150</v>
      </c>
      <c r="X1088" s="89">
        <v>6815</v>
      </c>
      <c r="Y1088" s="190"/>
      <c r="Z1088" s="21" t="s">
        <v>2777</v>
      </c>
      <c r="AA1088" s="21"/>
      <c r="AB1088" s="96"/>
      <c r="AC1088" s="97"/>
      <c r="AD1088" s="211"/>
      <c r="AE1088" s="211"/>
      <c r="AF1088" s="211"/>
      <c r="AG1088" s="211"/>
    </row>
    <row r="1089" spans="1:33" s="206" customFormat="1" x14ac:dyDescent="0.25">
      <c r="A1089" s="91">
        <v>46158</v>
      </c>
      <c r="B1089" s="78">
        <v>46167</v>
      </c>
      <c r="C1089" s="6" t="s">
        <v>1683</v>
      </c>
      <c r="D1089" s="186" t="s">
        <v>3487</v>
      </c>
      <c r="E1089" s="89" t="s">
        <v>2591</v>
      </c>
      <c r="F1089" s="243" t="s">
        <v>1495</v>
      </c>
      <c r="G1089" s="99" t="s">
        <v>1495</v>
      </c>
      <c r="H1089" s="92">
        <v>500</v>
      </c>
      <c r="I1089" s="73"/>
      <c r="J1089" s="73">
        <f>Table224[[#This Row],[Qty]]-Table224[[#This Row],[Issue Qty]]</f>
        <v>500</v>
      </c>
      <c r="K1089" s="73"/>
      <c r="L1089" s="73" t="s">
        <v>3480</v>
      </c>
      <c r="M1089" s="93"/>
      <c r="N1089" s="10">
        <f t="shared" si="55"/>
        <v>0</v>
      </c>
      <c r="O1089" s="82"/>
      <c r="P1089" s="9">
        <f t="shared" si="58"/>
        <v>0</v>
      </c>
      <c r="Q1089" s="214"/>
      <c r="R1089" s="214"/>
      <c r="S1089" s="10">
        <f t="shared" si="57"/>
        <v>0</v>
      </c>
      <c r="T1089" s="3" t="s">
        <v>2887</v>
      </c>
      <c r="U1089" s="3" t="s">
        <v>1408</v>
      </c>
      <c r="V1089" s="89" t="s">
        <v>1503</v>
      </c>
      <c r="W1089" s="89" t="s">
        <v>3007</v>
      </c>
      <c r="X1089" s="89" t="s">
        <v>1644</v>
      </c>
      <c r="Y1089" s="190"/>
      <c r="Z1089" s="21" t="s">
        <v>2808</v>
      </c>
      <c r="AA1089" s="21" t="s">
        <v>3183</v>
      </c>
      <c r="AB1089" s="96"/>
      <c r="AC1089" s="12"/>
      <c r="AD1089" s="211"/>
      <c r="AE1089" s="211"/>
      <c r="AF1089" s="211"/>
      <c r="AG1089" s="211"/>
    </row>
    <row r="1090" spans="1:33" s="206" customFormat="1" x14ac:dyDescent="0.25">
      <c r="A1090" s="91">
        <v>46160</v>
      </c>
      <c r="B1090" s="91">
        <v>46167</v>
      </c>
      <c r="C1090" s="6" t="s">
        <v>1683</v>
      </c>
      <c r="D1090" s="224" t="s">
        <v>3493</v>
      </c>
      <c r="E1090" s="89" t="s">
        <v>3052</v>
      </c>
      <c r="F1090" s="103" t="s">
        <v>3106</v>
      </c>
      <c r="G1090" s="89" t="s">
        <v>3106</v>
      </c>
      <c r="H1090" s="92">
        <v>2</v>
      </c>
      <c r="I1090" s="73">
        <v>0.5</v>
      </c>
      <c r="J1090" s="73">
        <f>Table224[[#This Row],[Qty]]-Table224[[#This Row],[Issue Qty]]</f>
        <v>1.5</v>
      </c>
      <c r="K1090" s="73"/>
      <c r="L1090" s="73" t="s">
        <v>3480</v>
      </c>
      <c r="M1090" s="93">
        <v>172.39</v>
      </c>
      <c r="N1090" s="10">
        <f t="shared" si="55"/>
        <v>344.78</v>
      </c>
      <c r="O1090" s="82">
        <v>0</v>
      </c>
      <c r="P1090" s="9">
        <f t="shared" si="58"/>
        <v>0</v>
      </c>
      <c r="Q1090" s="141">
        <v>1200</v>
      </c>
      <c r="R1090" s="214"/>
      <c r="S1090" s="10">
        <f t="shared" si="57"/>
        <v>1544.78</v>
      </c>
      <c r="T1090" s="1" t="s">
        <v>2887</v>
      </c>
      <c r="U1090" s="3" t="s">
        <v>2816</v>
      </c>
      <c r="V1090" s="89" t="s">
        <v>1503</v>
      </c>
      <c r="W1090" s="89">
        <v>125988687</v>
      </c>
      <c r="X1090" s="89" t="s">
        <v>1644</v>
      </c>
      <c r="Y1090" s="190"/>
      <c r="Z1090" s="21" t="s">
        <v>38</v>
      </c>
      <c r="AA1090" s="21" t="s">
        <v>3163</v>
      </c>
      <c r="AB1090" s="96">
        <v>0.5</v>
      </c>
      <c r="AC1090" s="97" t="s">
        <v>3164</v>
      </c>
      <c r="AD1090" s="211"/>
      <c r="AE1090" s="211"/>
      <c r="AF1090" s="211"/>
      <c r="AG1090" s="211"/>
    </row>
    <row r="1091" spans="1:33" s="206" customFormat="1" x14ac:dyDescent="0.25">
      <c r="A1091" s="91">
        <v>46162</v>
      </c>
      <c r="B1091" s="91">
        <v>46167</v>
      </c>
      <c r="C1091" s="6" t="s">
        <v>54</v>
      </c>
      <c r="D1091" s="224" t="s">
        <v>3596</v>
      </c>
      <c r="E1091" s="89" t="s">
        <v>2562</v>
      </c>
      <c r="F1091" s="103" t="s">
        <v>1470</v>
      </c>
      <c r="G1091" s="89" t="s">
        <v>1470</v>
      </c>
      <c r="H1091" s="92">
        <v>3</v>
      </c>
      <c r="I1091" s="73">
        <v>3</v>
      </c>
      <c r="J1091" s="73">
        <f>Table224[[#This Row],[Qty]]-Table224[[#This Row],[Issue Qty]]</f>
        <v>0</v>
      </c>
      <c r="K1091" s="73"/>
      <c r="L1091" s="195" t="s">
        <v>3480</v>
      </c>
      <c r="M1091" s="93">
        <v>5399</v>
      </c>
      <c r="N1091" s="10">
        <f t="shared" si="55"/>
        <v>16197</v>
      </c>
      <c r="O1091" s="82">
        <v>0.18</v>
      </c>
      <c r="P1091" s="9">
        <f t="shared" si="58"/>
        <v>2915.46</v>
      </c>
      <c r="Q1091" s="141">
        <v>850</v>
      </c>
      <c r="R1091" s="214"/>
      <c r="S1091" s="10">
        <f t="shared" si="57"/>
        <v>19962.46</v>
      </c>
      <c r="T1091" s="3" t="s">
        <v>2887</v>
      </c>
      <c r="U1091" s="3" t="s">
        <v>1408</v>
      </c>
      <c r="V1091" s="89" t="s">
        <v>3144</v>
      </c>
      <c r="W1091" s="89" t="s">
        <v>3150</v>
      </c>
      <c r="X1091" s="89">
        <v>6815</v>
      </c>
      <c r="Y1091" s="190"/>
      <c r="Z1091" s="21" t="s">
        <v>3349</v>
      </c>
      <c r="AA1091" s="21"/>
      <c r="AB1091" s="96">
        <v>3</v>
      </c>
      <c r="AC1091" s="97" t="s">
        <v>3242</v>
      </c>
      <c r="AD1091" s="211"/>
      <c r="AE1091" s="211"/>
      <c r="AF1091" s="211"/>
      <c r="AG1091" s="211"/>
    </row>
    <row r="1092" spans="1:33" s="206" customFormat="1" x14ac:dyDescent="0.25">
      <c r="A1092" s="91">
        <v>46164</v>
      </c>
      <c r="B1092" s="91">
        <v>46167</v>
      </c>
      <c r="C1092" s="6" t="s">
        <v>1730</v>
      </c>
      <c r="D1092" s="224" t="s">
        <v>1730</v>
      </c>
      <c r="E1092" s="89" t="s">
        <v>3053</v>
      </c>
      <c r="F1092" s="103" t="s">
        <v>3107</v>
      </c>
      <c r="G1092" s="89" t="s">
        <v>3107</v>
      </c>
      <c r="H1092" s="92">
        <v>2</v>
      </c>
      <c r="I1092" s="73">
        <v>2</v>
      </c>
      <c r="J1092" s="73">
        <f>Table224[[#This Row],[Qty]]-Table224[[#This Row],[Issue Qty]]</f>
        <v>0</v>
      </c>
      <c r="K1092" s="73"/>
      <c r="L1092" s="73" t="s">
        <v>3480</v>
      </c>
      <c r="M1092" s="93">
        <v>338.14</v>
      </c>
      <c r="N1092" s="10">
        <f t="shared" si="55"/>
        <v>676.28</v>
      </c>
      <c r="O1092" s="82">
        <v>0.18</v>
      </c>
      <c r="P1092" s="9">
        <f t="shared" si="58"/>
        <v>121.73039999999999</v>
      </c>
      <c r="Q1092" s="214"/>
      <c r="R1092" s="214"/>
      <c r="S1092" s="10">
        <f t="shared" si="57"/>
        <v>798.0104</v>
      </c>
      <c r="T1092" s="3" t="s">
        <v>3243</v>
      </c>
      <c r="U1092" s="3" t="s">
        <v>3243</v>
      </c>
      <c r="V1092" s="89" t="s">
        <v>384</v>
      </c>
      <c r="W1092" s="89" t="s">
        <v>3151</v>
      </c>
      <c r="X1092" s="89" t="s">
        <v>1644</v>
      </c>
      <c r="Y1092" s="190"/>
      <c r="Z1092" s="21" t="s">
        <v>3607</v>
      </c>
      <c r="AA1092" s="21"/>
      <c r="AB1092" s="96">
        <v>2</v>
      </c>
      <c r="AC1092" s="97" t="s">
        <v>3411</v>
      </c>
      <c r="AD1092" s="211"/>
      <c r="AE1092" s="211"/>
      <c r="AF1092" s="211"/>
      <c r="AG1092" s="211"/>
    </row>
    <row r="1093" spans="1:33" s="206" customFormat="1" x14ac:dyDescent="0.25">
      <c r="A1093" s="91">
        <v>46168</v>
      </c>
      <c r="B1093" s="91">
        <v>46168</v>
      </c>
      <c r="C1093" s="6" t="s">
        <v>1730</v>
      </c>
      <c r="D1093" s="224" t="s">
        <v>3595</v>
      </c>
      <c r="E1093" s="89" t="s">
        <v>1644</v>
      </c>
      <c r="F1093" s="103" t="s">
        <v>2870</v>
      </c>
      <c r="G1093" s="89" t="s">
        <v>2870</v>
      </c>
      <c r="H1093" s="92">
        <v>8</v>
      </c>
      <c r="I1093" s="73">
        <v>8</v>
      </c>
      <c r="J1093" s="73">
        <f>Table224[[#This Row],[Qty]]-Table224[[#This Row],[Issue Qty]]</f>
        <v>0</v>
      </c>
      <c r="K1093" s="73"/>
      <c r="L1093" s="73" t="s">
        <v>3514</v>
      </c>
      <c r="M1093" s="93">
        <v>450</v>
      </c>
      <c r="N1093" s="10">
        <f t="shared" si="55"/>
        <v>3600</v>
      </c>
      <c r="O1093" s="82">
        <v>0.18</v>
      </c>
      <c r="P1093" s="9">
        <f t="shared" si="58"/>
        <v>648</v>
      </c>
      <c r="Q1093" s="214"/>
      <c r="R1093" s="214"/>
      <c r="S1093" s="10">
        <f t="shared" si="57"/>
        <v>4248</v>
      </c>
      <c r="T1093" s="3" t="s">
        <v>1408</v>
      </c>
      <c r="U1093" s="3" t="s">
        <v>1408</v>
      </c>
      <c r="V1093" s="89" t="s">
        <v>1645</v>
      </c>
      <c r="W1093" s="89" t="s">
        <v>3152</v>
      </c>
      <c r="X1093" s="89">
        <v>39189090</v>
      </c>
      <c r="Y1093" s="190"/>
      <c r="Z1093" s="21" t="s">
        <v>3349</v>
      </c>
      <c r="AA1093" s="21"/>
      <c r="AB1093" s="96">
        <v>8</v>
      </c>
      <c r="AC1093" s="97"/>
      <c r="AD1093" s="211"/>
      <c r="AE1093" s="211"/>
      <c r="AF1093" s="211"/>
      <c r="AG1093" s="211"/>
    </row>
    <row r="1094" spans="1:33" s="206" customFormat="1" x14ac:dyDescent="0.25">
      <c r="A1094" s="91">
        <v>46169</v>
      </c>
      <c r="B1094" s="91">
        <v>46169</v>
      </c>
      <c r="C1094" s="6" t="s">
        <v>54</v>
      </c>
      <c r="D1094" s="224" t="s">
        <v>3500</v>
      </c>
      <c r="E1094" s="89" t="s">
        <v>3056</v>
      </c>
      <c r="F1094" s="244" t="s">
        <v>3111</v>
      </c>
      <c r="G1094" s="89" t="s">
        <v>3111</v>
      </c>
      <c r="H1094" s="92">
        <v>8</v>
      </c>
      <c r="I1094" s="73">
        <v>4</v>
      </c>
      <c r="J1094" s="73">
        <f>Table224[[#This Row],[Qty]]-Table224[[#This Row],[Issue Qty]]</f>
        <v>4</v>
      </c>
      <c r="K1094" s="336">
        <v>4</v>
      </c>
      <c r="L1094" s="195" t="s">
        <v>3480</v>
      </c>
      <c r="M1094" s="93">
        <v>2937</v>
      </c>
      <c r="N1094" s="10">
        <f t="shared" si="55"/>
        <v>23496</v>
      </c>
      <c r="O1094" s="82">
        <v>0.18</v>
      </c>
      <c r="P1094" s="9">
        <f t="shared" si="58"/>
        <v>4229.28</v>
      </c>
      <c r="Q1094" s="214"/>
      <c r="R1094" s="214"/>
      <c r="S1094" s="10">
        <f t="shared" si="57"/>
        <v>27725.279999999999</v>
      </c>
      <c r="T1094" s="1" t="s">
        <v>2887</v>
      </c>
      <c r="U1094" s="1" t="s">
        <v>2887</v>
      </c>
      <c r="V1094" s="89" t="s">
        <v>1511</v>
      </c>
      <c r="W1094" s="89">
        <v>6760000041</v>
      </c>
      <c r="X1094" s="89"/>
      <c r="Y1094" s="190"/>
      <c r="Z1094" s="21" t="s">
        <v>3165</v>
      </c>
      <c r="AA1094" s="21"/>
      <c r="AB1094" s="96">
        <v>8</v>
      </c>
      <c r="AC1094" s="97" t="s">
        <v>3717</v>
      </c>
      <c r="AD1094" s="211"/>
      <c r="AE1094" s="211"/>
      <c r="AF1094" s="211"/>
      <c r="AG1094" s="211"/>
    </row>
    <row r="1095" spans="1:33" s="206" customFormat="1" x14ac:dyDescent="0.25">
      <c r="A1095" s="91">
        <v>46169</v>
      </c>
      <c r="B1095" s="91">
        <v>46169</v>
      </c>
      <c r="C1095" s="6" t="s">
        <v>54</v>
      </c>
      <c r="D1095" s="186" t="s">
        <v>3497</v>
      </c>
      <c r="E1095" s="89" t="s">
        <v>3061</v>
      </c>
      <c r="F1095" s="103" t="s">
        <v>3116</v>
      </c>
      <c r="G1095" s="89" t="s">
        <v>3116</v>
      </c>
      <c r="H1095" s="92">
        <v>1</v>
      </c>
      <c r="I1095" s="92">
        <v>1</v>
      </c>
      <c r="J1095" s="115">
        <f>Table224[[#This Row],[Qty]]-Table224[[#This Row],[Issue Qty]]</f>
        <v>0</v>
      </c>
      <c r="K1095" s="195"/>
      <c r="L1095" s="195" t="s">
        <v>3480</v>
      </c>
      <c r="M1095" s="93">
        <v>1740</v>
      </c>
      <c r="N1095" s="10">
        <f t="shared" si="55"/>
        <v>1740</v>
      </c>
      <c r="O1095" s="82">
        <v>0.18</v>
      </c>
      <c r="P1095" s="9">
        <f t="shared" si="58"/>
        <v>313.2</v>
      </c>
      <c r="Q1095" s="214"/>
      <c r="R1095" s="214"/>
      <c r="S1095" s="10">
        <f t="shared" si="57"/>
        <v>2053.1999999999998</v>
      </c>
      <c r="T1095" s="1" t="s">
        <v>2887</v>
      </c>
      <c r="U1095" s="3" t="s">
        <v>2816</v>
      </c>
      <c r="V1095" s="89" t="s">
        <v>1511</v>
      </c>
      <c r="W1095" s="89">
        <v>6760000041</v>
      </c>
      <c r="X1095" s="89"/>
      <c r="Y1095" s="190"/>
      <c r="Z1095" s="21" t="s">
        <v>3165</v>
      </c>
      <c r="AA1095" s="21"/>
      <c r="AB1095" s="92">
        <v>1</v>
      </c>
      <c r="AC1095" s="12" t="s">
        <v>3303</v>
      </c>
      <c r="AD1095" s="211"/>
      <c r="AE1095" s="211"/>
      <c r="AF1095" s="211"/>
      <c r="AG1095" s="211"/>
    </row>
    <row r="1096" spans="1:33" s="206" customFormat="1" x14ac:dyDescent="0.25">
      <c r="A1096" s="91">
        <v>46169</v>
      </c>
      <c r="B1096" s="91">
        <v>46169</v>
      </c>
      <c r="C1096" s="6" t="s">
        <v>54</v>
      </c>
      <c r="D1096" s="186" t="s">
        <v>3497</v>
      </c>
      <c r="E1096" s="89" t="s">
        <v>3054</v>
      </c>
      <c r="F1096" s="285" t="s">
        <v>3109</v>
      </c>
      <c r="G1096" s="89" t="s">
        <v>3109</v>
      </c>
      <c r="H1096" s="92">
        <v>6</v>
      </c>
      <c r="I1096" s="92">
        <v>3</v>
      </c>
      <c r="J1096" s="115">
        <f>Table224[[#This Row],[Qty]]-Table224[[#This Row],[Issue Qty]]</f>
        <v>3</v>
      </c>
      <c r="K1096" s="195">
        <v>3</v>
      </c>
      <c r="L1096" s="195" t="s">
        <v>3480</v>
      </c>
      <c r="M1096" s="93">
        <v>1907</v>
      </c>
      <c r="N1096" s="10">
        <f t="shared" si="55"/>
        <v>11442</v>
      </c>
      <c r="O1096" s="82">
        <v>0.18</v>
      </c>
      <c r="P1096" s="9">
        <f t="shared" si="58"/>
        <v>2059.56</v>
      </c>
      <c r="Q1096" s="214"/>
      <c r="R1096" s="214"/>
      <c r="S1096" s="10">
        <f t="shared" si="57"/>
        <v>13501.56</v>
      </c>
      <c r="T1096" s="1" t="s">
        <v>2887</v>
      </c>
      <c r="U1096" s="3" t="s">
        <v>2816</v>
      </c>
      <c r="V1096" s="89" t="s">
        <v>1511</v>
      </c>
      <c r="W1096" s="89">
        <v>6760000041</v>
      </c>
      <c r="X1096" s="89"/>
      <c r="Y1096" s="190"/>
      <c r="Z1096" s="21" t="s">
        <v>3165</v>
      </c>
      <c r="AA1096" s="21"/>
      <c r="AB1096" s="96">
        <v>3</v>
      </c>
      <c r="AC1096" s="12" t="s">
        <v>3731</v>
      </c>
      <c r="AD1096" s="211"/>
      <c r="AE1096" s="211"/>
      <c r="AF1096" s="211"/>
      <c r="AG1096" s="211"/>
    </row>
    <row r="1097" spans="1:33" s="206" customFormat="1" x14ac:dyDescent="0.25">
      <c r="A1097" s="91">
        <v>46169</v>
      </c>
      <c r="B1097" s="91">
        <v>46169</v>
      </c>
      <c r="C1097" s="6" t="s">
        <v>54</v>
      </c>
      <c r="D1097" s="224" t="s">
        <v>3489</v>
      </c>
      <c r="E1097" s="89" t="s">
        <v>3062</v>
      </c>
      <c r="F1097" s="103" t="s">
        <v>3117</v>
      </c>
      <c r="G1097" s="89" t="s">
        <v>3117</v>
      </c>
      <c r="H1097" s="92">
        <v>4</v>
      </c>
      <c r="I1097" s="92">
        <v>4</v>
      </c>
      <c r="J1097" s="115">
        <f>Table224[[#This Row],[Qty]]-Table224[[#This Row],[Issue Qty]]</f>
        <v>0</v>
      </c>
      <c r="K1097" s="195"/>
      <c r="L1097" s="195" t="s">
        <v>3480</v>
      </c>
      <c r="M1097" s="93">
        <v>1933</v>
      </c>
      <c r="N1097" s="10">
        <f t="shared" si="55"/>
        <v>7732</v>
      </c>
      <c r="O1097" s="82">
        <v>0.18</v>
      </c>
      <c r="P1097" s="9">
        <f t="shared" si="58"/>
        <v>1391.76</v>
      </c>
      <c r="Q1097" s="214"/>
      <c r="R1097" s="214"/>
      <c r="S1097" s="10">
        <f t="shared" si="57"/>
        <v>9123.76</v>
      </c>
      <c r="T1097" s="1" t="s">
        <v>2887</v>
      </c>
      <c r="U1097" s="3" t="s">
        <v>2816</v>
      </c>
      <c r="V1097" s="89" t="s">
        <v>1511</v>
      </c>
      <c r="W1097" s="89">
        <v>6760000041</v>
      </c>
      <c r="X1097" s="89"/>
      <c r="Y1097" s="190"/>
      <c r="Z1097" s="21" t="s">
        <v>3165</v>
      </c>
      <c r="AA1097" s="21"/>
      <c r="AB1097" s="92">
        <v>4</v>
      </c>
      <c r="AC1097" s="12" t="s">
        <v>2887</v>
      </c>
      <c r="AD1097" s="211"/>
      <c r="AE1097" s="211"/>
      <c r="AF1097" s="211"/>
      <c r="AG1097" s="211"/>
    </row>
    <row r="1098" spans="1:33" s="206" customFormat="1" x14ac:dyDescent="0.25">
      <c r="A1098" s="91">
        <v>46169</v>
      </c>
      <c r="B1098" s="91">
        <v>46169</v>
      </c>
      <c r="C1098" s="6" t="s">
        <v>54</v>
      </c>
      <c r="D1098" s="224" t="s">
        <v>3489</v>
      </c>
      <c r="E1098" s="89" t="s">
        <v>3055</v>
      </c>
      <c r="F1098" s="283" t="s">
        <v>3110</v>
      </c>
      <c r="G1098" s="89" t="s">
        <v>3110</v>
      </c>
      <c r="H1098" s="92">
        <v>16</v>
      </c>
      <c r="I1098" s="92">
        <v>12</v>
      </c>
      <c r="J1098" s="115">
        <f>Table224[[#This Row],[Qty]]-Table224[[#This Row],[Issue Qty]]</f>
        <v>4</v>
      </c>
      <c r="K1098" s="332">
        <v>4</v>
      </c>
      <c r="L1098" s="195" t="s">
        <v>3480</v>
      </c>
      <c r="M1098" s="93">
        <v>2229</v>
      </c>
      <c r="N1098" s="10">
        <f t="shared" si="55"/>
        <v>35664</v>
      </c>
      <c r="O1098" s="82">
        <v>0.18</v>
      </c>
      <c r="P1098" s="9">
        <f t="shared" si="58"/>
        <v>6419.5199999999995</v>
      </c>
      <c r="Q1098" s="214"/>
      <c r="R1098" s="214"/>
      <c r="S1098" s="10">
        <f t="shared" si="57"/>
        <v>42083.519999999997</v>
      </c>
      <c r="T1098" s="1" t="s">
        <v>2887</v>
      </c>
      <c r="U1098" s="3" t="s">
        <v>2816</v>
      </c>
      <c r="V1098" s="89" t="s">
        <v>1511</v>
      </c>
      <c r="W1098" s="89">
        <v>6760000041</v>
      </c>
      <c r="X1098" s="89"/>
      <c r="Y1098" s="190"/>
      <c r="Z1098" s="21" t="s">
        <v>3165</v>
      </c>
      <c r="AA1098" s="21" t="s">
        <v>3183</v>
      </c>
      <c r="AB1098" s="96">
        <v>12</v>
      </c>
      <c r="AC1098" s="12" t="s">
        <v>2887</v>
      </c>
      <c r="AD1098" s="211"/>
      <c r="AE1098" s="211"/>
      <c r="AF1098" s="211"/>
      <c r="AG1098" s="211"/>
    </row>
    <row r="1099" spans="1:33" s="206" customFormat="1" x14ac:dyDescent="0.25">
      <c r="A1099" s="91">
        <v>46169</v>
      </c>
      <c r="B1099" s="91">
        <v>46169</v>
      </c>
      <c r="C1099" s="6" t="s">
        <v>54</v>
      </c>
      <c r="D1099" s="224" t="s">
        <v>3500</v>
      </c>
      <c r="E1099" s="89" t="s">
        <v>3063</v>
      </c>
      <c r="F1099" s="244" t="s">
        <v>3118</v>
      </c>
      <c r="G1099" s="89" t="s">
        <v>3118</v>
      </c>
      <c r="H1099" s="92">
        <v>4</v>
      </c>
      <c r="I1099" s="92">
        <v>4</v>
      </c>
      <c r="J1099" s="115">
        <f>Table224[[#This Row],[Qty]]-Table224[[#This Row],[Issue Qty]]</f>
        <v>0</v>
      </c>
      <c r="K1099" s="332">
        <v>4</v>
      </c>
      <c r="L1099" s="195" t="s">
        <v>3480</v>
      </c>
      <c r="M1099" s="93">
        <v>2010</v>
      </c>
      <c r="N1099" s="10">
        <f t="shared" si="55"/>
        <v>8040</v>
      </c>
      <c r="O1099" s="82">
        <v>0.18</v>
      </c>
      <c r="P1099" s="9">
        <f t="shared" si="58"/>
        <v>1447.2</v>
      </c>
      <c r="Q1099" s="214"/>
      <c r="R1099" s="214"/>
      <c r="S1099" s="10">
        <f t="shared" si="57"/>
        <v>9487.2000000000007</v>
      </c>
      <c r="T1099" s="1" t="s">
        <v>2887</v>
      </c>
      <c r="U1099" s="3" t="s">
        <v>2816</v>
      </c>
      <c r="V1099" s="89" t="s">
        <v>1511</v>
      </c>
      <c r="W1099" s="89">
        <v>6760000041</v>
      </c>
      <c r="X1099" s="89"/>
      <c r="Y1099" s="190"/>
      <c r="Z1099" s="21" t="s">
        <v>3165</v>
      </c>
      <c r="AA1099" s="21"/>
      <c r="AB1099" s="92">
        <v>4</v>
      </c>
      <c r="AC1099" s="12" t="s">
        <v>2887</v>
      </c>
      <c r="AD1099" s="211"/>
      <c r="AE1099" s="211"/>
      <c r="AF1099" s="211"/>
      <c r="AG1099" s="211"/>
    </row>
    <row r="1100" spans="1:33" s="206" customFormat="1" x14ac:dyDescent="0.25">
      <c r="A1100" s="91">
        <v>46169</v>
      </c>
      <c r="B1100" s="91">
        <v>46169</v>
      </c>
      <c r="C1100" s="6" t="s">
        <v>54</v>
      </c>
      <c r="D1100" s="224" t="s">
        <v>3500</v>
      </c>
      <c r="E1100" s="89" t="s">
        <v>3057</v>
      </c>
      <c r="F1100" s="103" t="s">
        <v>3112</v>
      </c>
      <c r="G1100" s="89" t="s">
        <v>3112</v>
      </c>
      <c r="H1100" s="92">
        <v>8</v>
      </c>
      <c r="I1100" s="92">
        <v>8</v>
      </c>
      <c r="J1100" s="115">
        <f>Table224[[#This Row],[Qty]]-Table224[[#This Row],[Issue Qty]]</f>
        <v>0</v>
      </c>
      <c r="K1100" s="195"/>
      <c r="L1100" s="195" t="s">
        <v>3480</v>
      </c>
      <c r="M1100" s="93">
        <v>2454</v>
      </c>
      <c r="N1100" s="10">
        <f t="shared" si="55"/>
        <v>19632</v>
      </c>
      <c r="O1100" s="82">
        <v>0.18</v>
      </c>
      <c r="P1100" s="9">
        <f t="shared" si="58"/>
        <v>3533.7599999999998</v>
      </c>
      <c r="Q1100" s="214"/>
      <c r="R1100" s="214"/>
      <c r="S1100" s="10">
        <f t="shared" si="57"/>
        <v>23165.759999999998</v>
      </c>
      <c r="T1100" s="1" t="s">
        <v>2887</v>
      </c>
      <c r="U1100" s="3" t="s">
        <v>2816</v>
      </c>
      <c r="V1100" s="89" t="s">
        <v>1511</v>
      </c>
      <c r="W1100" s="89">
        <v>6760000041</v>
      </c>
      <c r="X1100" s="89"/>
      <c r="Y1100" s="190"/>
      <c r="Z1100" s="21" t="s">
        <v>3165</v>
      </c>
      <c r="AA1100" s="21"/>
      <c r="AB1100" s="96">
        <v>4</v>
      </c>
      <c r="AC1100" s="12" t="s">
        <v>2887</v>
      </c>
      <c r="AD1100" s="211"/>
      <c r="AE1100" s="211"/>
      <c r="AF1100" s="211"/>
      <c r="AG1100" s="211"/>
    </row>
    <row r="1101" spans="1:33" s="206" customFormat="1" x14ac:dyDescent="0.25">
      <c r="A1101" s="91">
        <v>46169</v>
      </c>
      <c r="B1101" s="91">
        <v>46169</v>
      </c>
      <c r="C1101" s="6" t="s">
        <v>54</v>
      </c>
      <c r="D1101" s="186" t="s">
        <v>3497</v>
      </c>
      <c r="E1101" s="89" t="s">
        <v>3058</v>
      </c>
      <c r="F1101" s="103" t="s">
        <v>3113</v>
      </c>
      <c r="G1101" s="89" t="s">
        <v>3113</v>
      </c>
      <c r="H1101" s="92">
        <v>16</v>
      </c>
      <c r="I1101" s="92">
        <v>4</v>
      </c>
      <c r="J1101" s="115">
        <f>Table224[[#This Row],[Qty]]-Table224[[#This Row],[Issue Qty]]</f>
        <v>12</v>
      </c>
      <c r="K1101" s="195"/>
      <c r="L1101" s="195" t="s">
        <v>3480</v>
      </c>
      <c r="M1101" s="93">
        <v>792</v>
      </c>
      <c r="N1101" s="10">
        <f t="shared" si="55"/>
        <v>12672</v>
      </c>
      <c r="O1101" s="82">
        <v>0.18</v>
      </c>
      <c r="P1101" s="9">
        <f t="shared" si="58"/>
        <v>2280.96</v>
      </c>
      <c r="Q1101" s="214"/>
      <c r="R1101" s="214"/>
      <c r="S1101" s="10">
        <f t="shared" si="57"/>
        <v>14952.96</v>
      </c>
      <c r="T1101" s="1" t="s">
        <v>2887</v>
      </c>
      <c r="U1101" s="3" t="s">
        <v>2816</v>
      </c>
      <c r="V1101" s="89" t="s">
        <v>1511</v>
      </c>
      <c r="W1101" s="89">
        <v>6760000041</v>
      </c>
      <c r="X1101" s="89"/>
      <c r="Y1101" s="190"/>
      <c r="Z1101" s="21" t="s">
        <v>3165</v>
      </c>
      <c r="AA1101" s="21"/>
      <c r="AB1101" s="96">
        <v>4</v>
      </c>
      <c r="AC1101" s="12" t="s">
        <v>2887</v>
      </c>
      <c r="AD1101" s="211"/>
      <c r="AE1101" s="211"/>
      <c r="AF1101" s="211"/>
      <c r="AG1101" s="211"/>
    </row>
    <row r="1102" spans="1:33" s="206" customFormat="1" x14ac:dyDescent="0.25">
      <c r="A1102" s="91">
        <v>46169</v>
      </c>
      <c r="B1102" s="91">
        <v>46169</v>
      </c>
      <c r="C1102" s="6" t="s">
        <v>54</v>
      </c>
      <c r="D1102" s="186" t="s">
        <v>3497</v>
      </c>
      <c r="E1102" s="89" t="s">
        <v>3059</v>
      </c>
      <c r="F1102" s="103" t="s">
        <v>3114</v>
      </c>
      <c r="G1102" s="89" t="s">
        <v>3114</v>
      </c>
      <c r="H1102" s="92">
        <v>16</v>
      </c>
      <c r="I1102" s="92">
        <v>12</v>
      </c>
      <c r="J1102" s="115">
        <f>Table224[[#This Row],[Qty]]-Table224[[#This Row],[Issue Qty]]</f>
        <v>4</v>
      </c>
      <c r="K1102" s="195"/>
      <c r="L1102" s="195" t="s">
        <v>3480</v>
      </c>
      <c r="M1102" s="93">
        <v>799</v>
      </c>
      <c r="N1102" s="10">
        <f t="shared" si="55"/>
        <v>12784</v>
      </c>
      <c r="O1102" s="82">
        <v>0.18</v>
      </c>
      <c r="P1102" s="9">
        <f t="shared" si="58"/>
        <v>2301.12</v>
      </c>
      <c r="Q1102" s="214"/>
      <c r="R1102" s="214"/>
      <c r="S1102" s="10">
        <f t="shared" si="57"/>
        <v>15085.119999999999</v>
      </c>
      <c r="T1102" s="1" t="s">
        <v>2887</v>
      </c>
      <c r="U1102" s="3" t="s">
        <v>2816</v>
      </c>
      <c r="V1102" s="89" t="s">
        <v>1511</v>
      </c>
      <c r="W1102" s="89">
        <v>6760000041</v>
      </c>
      <c r="X1102" s="89"/>
      <c r="Y1102" s="190"/>
      <c r="Z1102" s="21" t="s">
        <v>3165</v>
      </c>
      <c r="AA1102" s="21"/>
      <c r="AB1102" s="96">
        <v>12</v>
      </c>
      <c r="AC1102" s="12" t="s">
        <v>2887</v>
      </c>
      <c r="AD1102" s="211"/>
      <c r="AE1102" s="211"/>
      <c r="AF1102" s="211"/>
      <c r="AG1102" s="211"/>
    </row>
    <row r="1103" spans="1:33" s="206" customFormat="1" x14ac:dyDescent="0.25">
      <c r="A1103" s="91">
        <v>46169</v>
      </c>
      <c r="B1103" s="91">
        <v>46169</v>
      </c>
      <c r="C1103" s="6" t="s">
        <v>54</v>
      </c>
      <c r="D1103" s="186" t="s">
        <v>3497</v>
      </c>
      <c r="E1103" s="89" t="s">
        <v>3064</v>
      </c>
      <c r="F1103" s="103" t="s">
        <v>3119</v>
      </c>
      <c r="G1103" s="89" t="s">
        <v>3119</v>
      </c>
      <c r="H1103" s="92">
        <v>1</v>
      </c>
      <c r="I1103" s="92">
        <v>1</v>
      </c>
      <c r="J1103" s="115">
        <f>Table224[[#This Row],[Qty]]-Table224[[#This Row],[Issue Qty]]</f>
        <v>0</v>
      </c>
      <c r="K1103" s="195"/>
      <c r="L1103" s="195" t="s">
        <v>3480</v>
      </c>
      <c r="M1103" s="93">
        <v>1402</v>
      </c>
      <c r="N1103" s="10">
        <f t="shared" si="55"/>
        <v>1402</v>
      </c>
      <c r="O1103" s="82">
        <v>0.18</v>
      </c>
      <c r="P1103" s="9">
        <f t="shared" si="58"/>
        <v>252.35999999999999</v>
      </c>
      <c r="Q1103" s="141">
        <v>-0.44</v>
      </c>
      <c r="R1103" s="214"/>
      <c r="S1103" s="10">
        <f t="shared" si="57"/>
        <v>1653.9199999999998</v>
      </c>
      <c r="T1103" s="1" t="s">
        <v>2887</v>
      </c>
      <c r="U1103" s="3" t="s">
        <v>2816</v>
      </c>
      <c r="V1103" s="89" t="s">
        <v>1511</v>
      </c>
      <c r="W1103" s="89">
        <v>6760000041</v>
      </c>
      <c r="X1103" s="89"/>
      <c r="Y1103" s="190"/>
      <c r="Z1103" s="21" t="s">
        <v>3165</v>
      </c>
      <c r="AA1103" s="21" t="s">
        <v>3183</v>
      </c>
      <c r="AB1103" s="92">
        <v>1</v>
      </c>
      <c r="AC1103" s="12" t="s">
        <v>3303</v>
      </c>
      <c r="AD1103" s="211"/>
      <c r="AE1103" s="211"/>
      <c r="AF1103" s="211"/>
      <c r="AG1103" s="211"/>
    </row>
    <row r="1104" spans="1:33" s="206" customFormat="1" x14ac:dyDescent="0.25">
      <c r="A1104" s="91">
        <v>46169</v>
      </c>
      <c r="B1104" s="91">
        <v>46169</v>
      </c>
      <c r="C1104" s="6" t="s">
        <v>54</v>
      </c>
      <c r="D1104" s="6" t="s">
        <v>3497</v>
      </c>
      <c r="E1104" s="89" t="s">
        <v>3060</v>
      </c>
      <c r="F1104" s="103" t="s">
        <v>3115</v>
      </c>
      <c r="G1104" s="89" t="s">
        <v>3115</v>
      </c>
      <c r="H1104" s="92">
        <v>6</v>
      </c>
      <c r="I1104" s="92">
        <v>3</v>
      </c>
      <c r="J1104" s="115">
        <f>Table224[[#This Row],[Qty]]-Table224[[#This Row],[Issue Qty]]</f>
        <v>3</v>
      </c>
      <c r="K1104" s="195"/>
      <c r="L1104" s="195" t="s">
        <v>3480</v>
      </c>
      <c r="M1104" s="93">
        <v>1634</v>
      </c>
      <c r="N1104" s="10">
        <f t="shared" ref="N1104:N1167" si="59">H1104*M1104</f>
        <v>9804</v>
      </c>
      <c r="O1104" s="82">
        <v>0.18</v>
      </c>
      <c r="P1104" s="9">
        <f t="shared" ref="P1104:P1135" si="60">N1104*O1104</f>
        <v>1764.72</v>
      </c>
      <c r="Q1104" s="214"/>
      <c r="R1104" s="214"/>
      <c r="S1104" s="10">
        <f t="shared" ref="S1104:S1167" si="61">N1104+P1104+Q1104+R1104</f>
        <v>11568.72</v>
      </c>
      <c r="T1104" s="1" t="s">
        <v>2887</v>
      </c>
      <c r="U1104" s="3" t="s">
        <v>2816</v>
      </c>
      <c r="V1104" s="89" t="s">
        <v>1511</v>
      </c>
      <c r="W1104" s="89">
        <v>6760000041</v>
      </c>
      <c r="X1104" s="89"/>
      <c r="Y1104" s="190"/>
      <c r="Z1104" s="21" t="s">
        <v>3165</v>
      </c>
      <c r="AA1104" s="21" t="s">
        <v>3183</v>
      </c>
      <c r="AB1104" s="96">
        <v>3</v>
      </c>
      <c r="AC1104" s="12" t="s">
        <v>3728</v>
      </c>
      <c r="AD1104" s="211"/>
      <c r="AE1104" s="211"/>
      <c r="AF1104" s="211"/>
      <c r="AG1104" s="211"/>
    </row>
    <row r="1105" spans="1:33" s="206" customFormat="1" x14ac:dyDescent="0.25">
      <c r="A1105" s="91">
        <v>46169</v>
      </c>
      <c r="B1105" s="91">
        <v>46169</v>
      </c>
      <c r="C1105" s="6" t="s">
        <v>1730</v>
      </c>
      <c r="D1105" s="224" t="s">
        <v>1730</v>
      </c>
      <c r="E1105" s="89" t="s">
        <v>1644</v>
      </c>
      <c r="F1105" s="103" t="s">
        <v>3108</v>
      </c>
      <c r="G1105" s="89" t="s">
        <v>3108</v>
      </c>
      <c r="H1105" s="92">
        <v>4</v>
      </c>
      <c r="I1105" s="92">
        <v>2</v>
      </c>
      <c r="J1105" s="115">
        <f>Table224[[#This Row],[Qty]]-Table224[[#This Row],[Issue Qty]]</f>
        <v>2</v>
      </c>
      <c r="K1105" s="73"/>
      <c r="L1105" s="73" t="s">
        <v>3480</v>
      </c>
      <c r="M1105" s="93">
        <v>1000</v>
      </c>
      <c r="N1105" s="10">
        <f t="shared" si="59"/>
        <v>4000</v>
      </c>
      <c r="O1105" s="82">
        <v>0.18</v>
      </c>
      <c r="P1105" s="9">
        <f t="shared" si="60"/>
        <v>720</v>
      </c>
      <c r="Q1105" s="214"/>
      <c r="R1105" s="214"/>
      <c r="S1105" s="10">
        <f t="shared" si="61"/>
        <v>4720</v>
      </c>
      <c r="T1105" s="3" t="s">
        <v>3243</v>
      </c>
      <c r="U1105" s="3" t="s">
        <v>3243</v>
      </c>
      <c r="V1105" s="89" t="s">
        <v>3145</v>
      </c>
      <c r="W1105" s="89" t="s">
        <v>3153</v>
      </c>
      <c r="X1105" s="89">
        <v>83022000</v>
      </c>
      <c r="Y1105" s="190"/>
      <c r="Z1105" s="21" t="s">
        <v>3180</v>
      </c>
      <c r="AA1105" s="21"/>
      <c r="AB1105" s="96">
        <v>2</v>
      </c>
      <c r="AC1105" s="97" t="s">
        <v>3411</v>
      </c>
      <c r="AD1105" s="211"/>
      <c r="AE1105" s="211"/>
      <c r="AF1105" s="211"/>
      <c r="AG1105" s="211"/>
    </row>
    <row r="1106" spans="1:33" s="206" customFormat="1" x14ac:dyDescent="0.25">
      <c r="A1106" s="91">
        <v>46170</v>
      </c>
      <c r="B1106" s="91">
        <v>46170</v>
      </c>
      <c r="C1106" s="6" t="s">
        <v>54</v>
      </c>
      <c r="D1106" s="224" t="s">
        <v>3494</v>
      </c>
      <c r="E1106" s="89" t="s">
        <v>2604</v>
      </c>
      <c r="F1106" s="103" t="s">
        <v>3176</v>
      </c>
      <c r="G1106" s="89" t="s">
        <v>3176</v>
      </c>
      <c r="H1106" s="92">
        <v>2</v>
      </c>
      <c r="I1106" s="73">
        <v>2</v>
      </c>
      <c r="J1106" s="115">
        <f>Table224[[#This Row],[Qty]]-Table224[[#This Row],[Issue Qty]]</f>
        <v>0</v>
      </c>
      <c r="K1106" s="195"/>
      <c r="L1106" s="195" t="s">
        <v>3480</v>
      </c>
      <c r="M1106" s="93">
        <v>4830</v>
      </c>
      <c r="N1106" s="10">
        <f t="shared" si="59"/>
        <v>9660</v>
      </c>
      <c r="O1106" s="82">
        <v>0.18</v>
      </c>
      <c r="P1106" s="9">
        <f t="shared" si="60"/>
        <v>1738.8</v>
      </c>
      <c r="Q1106" s="214"/>
      <c r="R1106" s="214"/>
      <c r="S1106" s="10">
        <f t="shared" si="61"/>
        <v>11398.8</v>
      </c>
      <c r="T1106" s="1" t="s">
        <v>2887</v>
      </c>
      <c r="U1106" s="3" t="s">
        <v>2816</v>
      </c>
      <c r="V1106" s="89" t="s">
        <v>358</v>
      </c>
      <c r="W1106" s="89" t="s">
        <v>3155</v>
      </c>
      <c r="X1106" s="89">
        <v>39269099</v>
      </c>
      <c r="Y1106" s="190"/>
      <c r="Z1106" s="21"/>
      <c r="AA1106" s="21"/>
      <c r="AB1106" s="201">
        <v>2</v>
      </c>
      <c r="AC1106" s="202" t="s">
        <v>3585</v>
      </c>
      <c r="AD1106" s="211"/>
      <c r="AE1106" s="211"/>
      <c r="AF1106" s="211"/>
      <c r="AG1106" s="211"/>
    </row>
    <row r="1107" spans="1:33" s="206" customFormat="1" x14ac:dyDescent="0.25">
      <c r="A1107" s="91">
        <v>46170</v>
      </c>
      <c r="B1107" s="91">
        <v>46170</v>
      </c>
      <c r="C1107" s="6" t="s">
        <v>54</v>
      </c>
      <c r="D1107" s="224" t="s">
        <v>3494</v>
      </c>
      <c r="E1107" s="89" t="s">
        <v>2604</v>
      </c>
      <c r="F1107" s="269" t="s">
        <v>3175</v>
      </c>
      <c r="G1107" s="89" t="s">
        <v>3175</v>
      </c>
      <c r="H1107" s="92">
        <v>1</v>
      </c>
      <c r="I1107" s="73">
        <v>1</v>
      </c>
      <c r="J1107" s="73">
        <f>Table224[[#This Row],[Qty]]-Table224[[#This Row],[Issue Qty]]</f>
        <v>0</v>
      </c>
      <c r="K1107" s="336">
        <v>1</v>
      </c>
      <c r="L1107" s="195" t="s">
        <v>3480</v>
      </c>
      <c r="M1107" s="93">
        <v>4402.2</v>
      </c>
      <c r="N1107" s="10">
        <f t="shared" si="59"/>
        <v>4402.2</v>
      </c>
      <c r="O1107" s="82">
        <v>0.18</v>
      </c>
      <c r="P1107" s="9">
        <f t="shared" si="60"/>
        <v>792.39599999999996</v>
      </c>
      <c r="Q1107" s="214"/>
      <c r="R1107" s="214"/>
      <c r="S1107" s="10">
        <f t="shared" si="61"/>
        <v>5194.5959999999995</v>
      </c>
      <c r="T1107" s="1" t="s">
        <v>2887</v>
      </c>
      <c r="U1107" s="3" t="s">
        <v>2816</v>
      </c>
      <c r="V1107" s="89" t="s">
        <v>358</v>
      </c>
      <c r="W1107" s="89" t="s">
        <v>3155</v>
      </c>
      <c r="X1107" s="89">
        <v>39269099</v>
      </c>
      <c r="Y1107" s="190"/>
      <c r="Z1107" s="21" t="s">
        <v>3302</v>
      </c>
      <c r="AA1107" s="21"/>
      <c r="AB1107" s="312">
        <v>1</v>
      </c>
      <c r="AC1107" s="12" t="s">
        <v>3641</v>
      </c>
      <c r="AD1107" s="211"/>
      <c r="AE1107" s="211"/>
      <c r="AF1107" s="211"/>
      <c r="AG1107" s="211"/>
    </row>
    <row r="1108" spans="1:33" s="206" customFormat="1" x14ac:dyDescent="0.25">
      <c r="A1108" s="91">
        <v>46170</v>
      </c>
      <c r="B1108" s="91">
        <v>46170</v>
      </c>
      <c r="C1108" s="6" t="s">
        <v>1730</v>
      </c>
      <c r="D1108" s="224" t="s">
        <v>3495</v>
      </c>
      <c r="E1108" s="89" t="s">
        <v>3074</v>
      </c>
      <c r="F1108" s="103" t="s">
        <v>3125</v>
      </c>
      <c r="G1108" s="89" t="s">
        <v>3125</v>
      </c>
      <c r="H1108" s="92">
        <v>600</v>
      </c>
      <c r="I1108" s="73"/>
      <c r="J1108" s="73">
        <f>Table224[[#This Row],[Qty]]-Table224[[#This Row],[Issue Qty]]</f>
        <v>600</v>
      </c>
      <c r="K1108" s="73"/>
      <c r="L1108" s="195" t="s">
        <v>3486</v>
      </c>
      <c r="M1108" s="93">
        <v>2.02</v>
      </c>
      <c r="N1108" s="10">
        <f t="shared" si="59"/>
        <v>1212</v>
      </c>
      <c r="O1108" s="82"/>
      <c r="P1108" s="9">
        <f t="shared" si="60"/>
        <v>0</v>
      </c>
      <c r="Q1108" s="214"/>
      <c r="R1108" s="214"/>
      <c r="S1108" s="10">
        <f t="shared" si="61"/>
        <v>1212</v>
      </c>
      <c r="T1108" s="3" t="s">
        <v>2887</v>
      </c>
      <c r="U1108" s="3" t="s">
        <v>1408</v>
      </c>
      <c r="V1108" s="89" t="s">
        <v>3009</v>
      </c>
      <c r="W1108" s="89" t="s">
        <v>3156</v>
      </c>
      <c r="X1108" s="89">
        <v>73181500</v>
      </c>
      <c r="Y1108" s="190"/>
      <c r="Z1108" s="21" t="s">
        <v>2993</v>
      </c>
      <c r="AA1108" s="21"/>
      <c r="AB1108" s="21"/>
      <c r="AC1108" s="97"/>
      <c r="AD1108" s="211"/>
      <c r="AE1108" s="211"/>
      <c r="AF1108" s="211"/>
      <c r="AG1108" s="211"/>
    </row>
    <row r="1109" spans="1:33" s="206" customFormat="1" x14ac:dyDescent="0.25">
      <c r="A1109" s="91">
        <v>46170</v>
      </c>
      <c r="B1109" s="91">
        <v>46170</v>
      </c>
      <c r="C1109" s="6" t="s">
        <v>54</v>
      </c>
      <c r="D1109" s="224" t="s">
        <v>3494</v>
      </c>
      <c r="E1109" s="89" t="s">
        <v>2603</v>
      </c>
      <c r="F1109" s="103" t="s">
        <v>3174</v>
      </c>
      <c r="G1109" s="89" t="s">
        <v>3174</v>
      </c>
      <c r="H1109" s="92">
        <v>2</v>
      </c>
      <c r="I1109" s="73">
        <v>2</v>
      </c>
      <c r="J1109" s="73">
        <f>Table224[[#This Row],[Qty]]-Table224[[#This Row],[Issue Qty]]</f>
        <v>0</v>
      </c>
      <c r="K1109" s="73"/>
      <c r="L1109" s="73" t="s">
        <v>3480</v>
      </c>
      <c r="M1109" s="93">
        <v>3473</v>
      </c>
      <c r="N1109" s="10">
        <f t="shared" si="59"/>
        <v>6946</v>
      </c>
      <c r="O1109" s="82">
        <v>0.18</v>
      </c>
      <c r="P1109" s="9">
        <f t="shared" si="60"/>
        <v>1250.28</v>
      </c>
      <c r="Q1109" s="214"/>
      <c r="R1109" s="214"/>
      <c r="S1109" s="10">
        <f t="shared" si="61"/>
        <v>8196.2800000000007</v>
      </c>
      <c r="T1109" s="1" t="s">
        <v>2887</v>
      </c>
      <c r="U1109" s="3" t="s">
        <v>2816</v>
      </c>
      <c r="V1109" s="89" t="s">
        <v>358</v>
      </c>
      <c r="W1109" s="89" t="s">
        <v>3155</v>
      </c>
      <c r="X1109" s="89">
        <v>39269099</v>
      </c>
      <c r="Y1109" s="190"/>
      <c r="Z1109" s="21" t="s">
        <v>2777</v>
      </c>
      <c r="AA1109" s="21"/>
      <c r="AB1109" s="21">
        <v>2</v>
      </c>
      <c r="AC1109" s="97" t="s">
        <v>3373</v>
      </c>
      <c r="AD1109" s="211"/>
      <c r="AE1109" s="211"/>
      <c r="AF1109" s="211"/>
      <c r="AG1109" s="211"/>
    </row>
    <row r="1110" spans="1:33" s="206" customFormat="1" x14ac:dyDescent="0.25">
      <c r="A1110" s="91">
        <v>46170</v>
      </c>
      <c r="B1110" s="91">
        <v>46170</v>
      </c>
      <c r="C1110" s="6" t="s">
        <v>54</v>
      </c>
      <c r="D1110" s="224" t="s">
        <v>3494</v>
      </c>
      <c r="E1110" s="89" t="s">
        <v>2603</v>
      </c>
      <c r="F1110" s="244" t="s">
        <v>3173</v>
      </c>
      <c r="G1110" s="89" t="s">
        <v>3173</v>
      </c>
      <c r="H1110" s="92">
        <v>1</v>
      </c>
      <c r="I1110" s="73">
        <v>1</v>
      </c>
      <c r="J1110" s="73">
        <f>Table224[[#This Row],[Qty]]-Table224[[#This Row],[Issue Qty]]</f>
        <v>0</v>
      </c>
      <c r="K1110" s="336">
        <v>1</v>
      </c>
      <c r="L1110" s="195" t="s">
        <v>3480</v>
      </c>
      <c r="M1110" s="93">
        <v>3036</v>
      </c>
      <c r="N1110" s="10">
        <f t="shared" si="59"/>
        <v>3036</v>
      </c>
      <c r="O1110" s="82">
        <v>0.18</v>
      </c>
      <c r="P1110" s="9">
        <f t="shared" si="60"/>
        <v>546.48</v>
      </c>
      <c r="Q1110" s="214"/>
      <c r="R1110" s="214"/>
      <c r="S1110" s="10">
        <f t="shared" si="61"/>
        <v>3582.48</v>
      </c>
      <c r="T1110" s="1" t="s">
        <v>2887</v>
      </c>
      <c r="U1110" s="3" t="s">
        <v>2816</v>
      </c>
      <c r="V1110" s="89" t="s">
        <v>358</v>
      </c>
      <c r="W1110" s="89" t="s">
        <v>3155</v>
      </c>
      <c r="X1110" s="89">
        <v>39269099</v>
      </c>
      <c r="Y1110" s="190"/>
      <c r="Z1110" s="21" t="s">
        <v>3302</v>
      </c>
      <c r="AA1110" s="21"/>
      <c r="AB1110" s="8">
        <v>1</v>
      </c>
      <c r="AC1110" s="97" t="s">
        <v>481</v>
      </c>
      <c r="AD1110" s="211"/>
      <c r="AE1110" s="211"/>
      <c r="AF1110" s="211"/>
      <c r="AG1110" s="211"/>
    </row>
    <row r="1111" spans="1:33" s="206" customFormat="1" x14ac:dyDescent="0.25">
      <c r="A1111" s="91" t="s">
        <v>3356</v>
      </c>
      <c r="B1111" s="91">
        <v>46170</v>
      </c>
      <c r="C1111" s="6" t="s">
        <v>54</v>
      </c>
      <c r="D1111" s="224" t="s">
        <v>3494</v>
      </c>
      <c r="E1111" s="89" t="s">
        <v>2606</v>
      </c>
      <c r="F1111" s="102" t="s">
        <v>1509</v>
      </c>
      <c r="G1111" s="89" t="s">
        <v>1509</v>
      </c>
      <c r="H1111" s="92">
        <v>10</v>
      </c>
      <c r="I1111" s="73">
        <v>4</v>
      </c>
      <c r="J1111" s="73">
        <f>Table224[[#This Row],[Qty]]-Table224[[#This Row],[Issue Qty]]</f>
        <v>6</v>
      </c>
      <c r="K1111" s="73"/>
      <c r="L1111" s="195" t="s">
        <v>3480</v>
      </c>
      <c r="M1111" s="93">
        <v>294.39999999999998</v>
      </c>
      <c r="N1111" s="10">
        <f t="shared" si="59"/>
        <v>2944</v>
      </c>
      <c r="O1111" s="82">
        <v>0.18</v>
      </c>
      <c r="P1111" s="9">
        <f t="shared" si="60"/>
        <v>529.91999999999996</v>
      </c>
      <c r="Q1111" s="214"/>
      <c r="R1111" s="214"/>
      <c r="S1111" s="10">
        <f t="shared" si="61"/>
        <v>3473.92</v>
      </c>
      <c r="T1111" s="1" t="s">
        <v>2887</v>
      </c>
      <c r="U1111" s="3" t="s">
        <v>2816</v>
      </c>
      <c r="V1111" s="89" t="s">
        <v>358</v>
      </c>
      <c r="W1111" s="89" t="s">
        <v>3155</v>
      </c>
      <c r="X1111" s="89">
        <v>39269099</v>
      </c>
      <c r="Y1111" s="190"/>
      <c r="Z1111" s="21" t="s">
        <v>3165</v>
      </c>
      <c r="AA1111" s="21" t="s">
        <v>3161</v>
      </c>
      <c r="AB1111" s="21">
        <v>4</v>
      </c>
      <c r="AC1111" s="97" t="s">
        <v>3823</v>
      </c>
      <c r="AD1111" s="211"/>
      <c r="AE1111" s="211"/>
      <c r="AF1111" s="211"/>
      <c r="AG1111" s="211"/>
    </row>
    <row r="1112" spans="1:33" s="206" customFormat="1" x14ac:dyDescent="0.25">
      <c r="A1112" s="91">
        <v>46170</v>
      </c>
      <c r="B1112" s="91">
        <v>46170</v>
      </c>
      <c r="C1112" s="6" t="s">
        <v>1730</v>
      </c>
      <c r="D1112" s="224" t="s">
        <v>3495</v>
      </c>
      <c r="E1112" s="89" t="s">
        <v>3066</v>
      </c>
      <c r="F1112" s="318" t="s">
        <v>3121</v>
      </c>
      <c r="G1112" s="89" t="s">
        <v>3121</v>
      </c>
      <c r="H1112" s="92">
        <v>600</v>
      </c>
      <c r="I1112" s="73">
        <v>40</v>
      </c>
      <c r="J1112" s="73">
        <f>Table224[[#This Row],[Qty]]-Table224[[#This Row],[Issue Qty]]</f>
        <v>560</v>
      </c>
      <c r="K1112" s="73"/>
      <c r="L1112" s="73" t="s">
        <v>3486</v>
      </c>
      <c r="M1112" s="124">
        <v>1.1499999999999999</v>
      </c>
      <c r="N1112" s="10">
        <f t="shared" si="59"/>
        <v>690</v>
      </c>
      <c r="O1112" s="82"/>
      <c r="P1112" s="79">
        <f t="shared" si="60"/>
        <v>0</v>
      </c>
      <c r="Q1112" s="322"/>
      <c r="R1112" s="322"/>
      <c r="S1112" s="10">
        <f t="shared" si="61"/>
        <v>690</v>
      </c>
      <c r="T1112" s="3" t="s">
        <v>2887</v>
      </c>
      <c r="U1112" s="3" t="s">
        <v>1408</v>
      </c>
      <c r="V1112" s="89" t="s">
        <v>3009</v>
      </c>
      <c r="W1112" s="89" t="s">
        <v>3156</v>
      </c>
      <c r="X1112" s="89">
        <v>73181500</v>
      </c>
      <c r="Y1112" s="190"/>
      <c r="Z1112" s="21" t="s">
        <v>2993</v>
      </c>
      <c r="AA1112" s="21"/>
      <c r="AB1112" s="21"/>
      <c r="AC1112" s="12"/>
      <c r="AD1112" s="211"/>
      <c r="AE1112" s="211"/>
      <c r="AF1112" s="211"/>
      <c r="AG1112" s="211"/>
    </row>
    <row r="1113" spans="1:33" s="206" customFormat="1" x14ac:dyDescent="0.25">
      <c r="A1113" s="91">
        <v>46170</v>
      </c>
      <c r="B1113" s="91">
        <v>46170</v>
      </c>
      <c r="C1113" s="6" t="s">
        <v>1730</v>
      </c>
      <c r="D1113" s="224" t="s">
        <v>3495</v>
      </c>
      <c r="E1113" s="89" t="s">
        <v>2715</v>
      </c>
      <c r="F1113" s="318" t="s">
        <v>1594</v>
      </c>
      <c r="G1113" s="89" t="s">
        <v>1594</v>
      </c>
      <c r="H1113" s="92">
        <v>600</v>
      </c>
      <c r="I1113" s="73">
        <v>40</v>
      </c>
      <c r="J1113" s="73">
        <f>Table224[[#This Row],[Qty]]-Table224[[#This Row],[Issue Qty]]</f>
        <v>560</v>
      </c>
      <c r="K1113" s="73"/>
      <c r="L1113" s="73" t="s">
        <v>3486</v>
      </c>
      <c r="M1113" s="124">
        <v>12.34</v>
      </c>
      <c r="N1113" s="10">
        <f t="shared" si="59"/>
        <v>7404</v>
      </c>
      <c r="O1113" s="82"/>
      <c r="P1113" s="79">
        <f t="shared" si="60"/>
        <v>0</v>
      </c>
      <c r="Q1113" s="322"/>
      <c r="R1113" s="322"/>
      <c r="S1113" s="10">
        <f t="shared" si="61"/>
        <v>7404</v>
      </c>
      <c r="T1113" s="3" t="s">
        <v>2887</v>
      </c>
      <c r="U1113" s="3" t="s">
        <v>1408</v>
      </c>
      <c r="V1113" s="89" t="s">
        <v>3009</v>
      </c>
      <c r="W1113" s="89" t="s">
        <v>3156</v>
      </c>
      <c r="X1113" s="89">
        <v>73181500</v>
      </c>
      <c r="Y1113" s="190"/>
      <c r="Z1113" s="21" t="s">
        <v>2993</v>
      </c>
      <c r="AA1113" s="21"/>
      <c r="AB1113" s="21"/>
      <c r="AC1113" s="97"/>
      <c r="AD1113" s="211"/>
      <c r="AE1113" s="211"/>
      <c r="AF1113" s="211"/>
      <c r="AG1113" s="211"/>
    </row>
    <row r="1114" spans="1:33" s="206" customFormat="1" x14ac:dyDescent="0.25">
      <c r="A1114" s="91">
        <v>46170</v>
      </c>
      <c r="B1114" s="91">
        <v>46170</v>
      </c>
      <c r="C1114" s="6" t="s">
        <v>1730</v>
      </c>
      <c r="D1114" s="224" t="s">
        <v>3495</v>
      </c>
      <c r="E1114" s="89" t="s">
        <v>3068</v>
      </c>
      <c r="F1114" s="318" t="s">
        <v>3122</v>
      </c>
      <c r="G1114" s="89" t="s">
        <v>3122</v>
      </c>
      <c r="H1114" s="92">
        <v>600</v>
      </c>
      <c r="I1114" s="73">
        <v>80</v>
      </c>
      <c r="J1114" s="73">
        <f>Table224[[#This Row],[Qty]]-Table224[[#This Row],[Issue Qty]]</f>
        <v>520</v>
      </c>
      <c r="K1114" s="73"/>
      <c r="L1114" s="73" t="s">
        <v>3486</v>
      </c>
      <c r="M1114" s="124">
        <v>0.75</v>
      </c>
      <c r="N1114" s="10">
        <f t="shared" si="59"/>
        <v>450</v>
      </c>
      <c r="O1114" s="82"/>
      <c r="P1114" s="79">
        <f t="shared" si="60"/>
        <v>0</v>
      </c>
      <c r="Q1114" s="322"/>
      <c r="R1114" s="322"/>
      <c r="S1114" s="10">
        <f t="shared" si="61"/>
        <v>450</v>
      </c>
      <c r="T1114" s="3" t="s">
        <v>2887</v>
      </c>
      <c r="U1114" s="3" t="s">
        <v>1408</v>
      </c>
      <c r="V1114" s="89" t="s">
        <v>3009</v>
      </c>
      <c r="W1114" s="89" t="s">
        <v>3156</v>
      </c>
      <c r="X1114" s="89">
        <v>73181500</v>
      </c>
      <c r="Y1114" s="190"/>
      <c r="Z1114" s="21" t="s">
        <v>2993</v>
      </c>
      <c r="AA1114" s="21"/>
      <c r="AB1114" s="21"/>
      <c r="AC1114" s="97"/>
      <c r="AD1114" s="211"/>
      <c r="AE1114" s="211"/>
      <c r="AF1114" s="211"/>
      <c r="AG1114" s="211"/>
    </row>
    <row r="1115" spans="1:33" s="206" customFormat="1" x14ac:dyDescent="0.25">
      <c r="A1115" s="91">
        <v>46170</v>
      </c>
      <c r="B1115" s="91">
        <v>46170</v>
      </c>
      <c r="C1115" s="6" t="s">
        <v>1730</v>
      </c>
      <c r="D1115" s="224" t="s">
        <v>3665</v>
      </c>
      <c r="E1115" s="89" t="s">
        <v>3067</v>
      </c>
      <c r="F1115" s="103" t="s">
        <v>1653</v>
      </c>
      <c r="G1115" s="89" t="s">
        <v>1653</v>
      </c>
      <c r="H1115" s="92">
        <v>600</v>
      </c>
      <c r="I1115" s="73"/>
      <c r="J1115" s="73">
        <f>Table224[[#This Row],[Qty]]-Table224[[#This Row],[Issue Qty]]</f>
        <v>600</v>
      </c>
      <c r="K1115" s="73"/>
      <c r="L1115" s="73" t="s">
        <v>3486</v>
      </c>
      <c r="M1115" s="124">
        <v>4.71</v>
      </c>
      <c r="N1115" s="10">
        <f t="shared" si="59"/>
        <v>2826</v>
      </c>
      <c r="O1115" s="82"/>
      <c r="P1115" s="79">
        <f t="shared" si="60"/>
        <v>0</v>
      </c>
      <c r="Q1115" s="322"/>
      <c r="R1115" s="322"/>
      <c r="S1115" s="10">
        <f t="shared" si="61"/>
        <v>2826</v>
      </c>
      <c r="T1115" s="3" t="s">
        <v>2887</v>
      </c>
      <c r="U1115" s="3" t="s">
        <v>1408</v>
      </c>
      <c r="V1115" s="89" t="s">
        <v>3009</v>
      </c>
      <c r="W1115" s="89" t="s">
        <v>3156</v>
      </c>
      <c r="X1115" s="89">
        <v>73181500</v>
      </c>
      <c r="Y1115" s="190"/>
      <c r="Z1115" s="21" t="s">
        <v>2993</v>
      </c>
      <c r="AA1115" s="21"/>
      <c r="AB1115" s="21"/>
      <c r="AC1115" s="97"/>
      <c r="AD1115" s="211"/>
      <c r="AE1115" s="211"/>
      <c r="AF1115" s="211"/>
      <c r="AG1115" s="211"/>
    </row>
    <row r="1116" spans="1:33" s="206" customFormat="1" x14ac:dyDescent="0.25">
      <c r="A1116" s="91">
        <v>46170</v>
      </c>
      <c r="B1116" s="91">
        <v>46170</v>
      </c>
      <c r="C1116" s="6" t="s">
        <v>1730</v>
      </c>
      <c r="D1116" s="224" t="s">
        <v>3495</v>
      </c>
      <c r="E1116" s="89" t="s">
        <v>3069</v>
      </c>
      <c r="F1116" s="103" t="s">
        <v>3123</v>
      </c>
      <c r="G1116" s="89" t="s">
        <v>3123</v>
      </c>
      <c r="H1116" s="92">
        <v>600</v>
      </c>
      <c r="I1116" s="73"/>
      <c r="J1116" s="73">
        <f>Table224[[#This Row],[Qty]]-Table224[[#This Row],[Issue Qty]]</f>
        <v>600</v>
      </c>
      <c r="K1116" s="73"/>
      <c r="L1116" s="73" t="s">
        <v>3486</v>
      </c>
      <c r="M1116" s="124">
        <v>1.8</v>
      </c>
      <c r="N1116" s="10">
        <f t="shared" si="59"/>
        <v>1080</v>
      </c>
      <c r="O1116" s="82"/>
      <c r="P1116" s="79">
        <f t="shared" si="60"/>
        <v>0</v>
      </c>
      <c r="Q1116" s="322"/>
      <c r="R1116" s="322"/>
      <c r="S1116" s="10">
        <f t="shared" si="61"/>
        <v>1080</v>
      </c>
      <c r="T1116" s="3" t="s">
        <v>2887</v>
      </c>
      <c r="U1116" s="3" t="s">
        <v>1408</v>
      </c>
      <c r="V1116" s="89" t="s">
        <v>3009</v>
      </c>
      <c r="W1116" s="89" t="s">
        <v>3156</v>
      </c>
      <c r="X1116" s="89">
        <v>73181500</v>
      </c>
      <c r="Y1116" s="190"/>
      <c r="Z1116" s="21" t="s">
        <v>2993</v>
      </c>
      <c r="AA1116" s="21"/>
      <c r="AB1116" s="21"/>
      <c r="AC1116" s="97"/>
      <c r="AD1116" s="211"/>
      <c r="AE1116" s="211"/>
      <c r="AF1116" s="211"/>
      <c r="AG1116" s="211"/>
    </row>
    <row r="1117" spans="1:33" s="206" customFormat="1" x14ac:dyDescent="0.25">
      <c r="A1117" s="91">
        <v>46170</v>
      </c>
      <c r="B1117" s="91">
        <v>46170</v>
      </c>
      <c r="C1117" s="6" t="s">
        <v>1730</v>
      </c>
      <c r="D1117" s="224" t="s">
        <v>3495</v>
      </c>
      <c r="E1117" s="89" t="s">
        <v>3070</v>
      </c>
      <c r="F1117" s="103" t="s">
        <v>1652</v>
      </c>
      <c r="G1117" s="89" t="s">
        <v>1652</v>
      </c>
      <c r="H1117" s="92">
        <v>600</v>
      </c>
      <c r="I1117" s="73"/>
      <c r="J1117" s="73">
        <f>Table224[[#This Row],[Qty]]-Table224[[#This Row],[Issue Qty]]</f>
        <v>600</v>
      </c>
      <c r="K1117" s="73"/>
      <c r="L1117" s="73" t="s">
        <v>3486</v>
      </c>
      <c r="M1117" s="124">
        <v>2.92</v>
      </c>
      <c r="N1117" s="10">
        <f t="shared" si="59"/>
        <v>1752</v>
      </c>
      <c r="O1117" s="82"/>
      <c r="P1117" s="79">
        <f t="shared" si="60"/>
        <v>0</v>
      </c>
      <c r="Q1117" s="322"/>
      <c r="R1117" s="322"/>
      <c r="S1117" s="10">
        <f t="shared" si="61"/>
        <v>1752</v>
      </c>
      <c r="T1117" s="3" t="s">
        <v>2887</v>
      </c>
      <c r="U1117" s="3" t="s">
        <v>1408</v>
      </c>
      <c r="V1117" s="89" t="s">
        <v>3009</v>
      </c>
      <c r="W1117" s="89" t="s">
        <v>3156</v>
      </c>
      <c r="X1117" s="89">
        <v>73181500</v>
      </c>
      <c r="Y1117" s="190"/>
      <c r="Z1117" s="21" t="s">
        <v>2993</v>
      </c>
      <c r="AA1117" s="21"/>
      <c r="AB1117" s="96"/>
      <c r="AC1117" s="97"/>
      <c r="AD1117" s="211"/>
      <c r="AE1117" s="211"/>
      <c r="AF1117" s="211"/>
      <c r="AG1117" s="211"/>
    </row>
    <row r="1118" spans="1:33" s="206" customFormat="1" x14ac:dyDescent="0.25">
      <c r="A1118" s="91">
        <v>46170</v>
      </c>
      <c r="B1118" s="91">
        <v>46170</v>
      </c>
      <c r="C1118" s="6" t="s">
        <v>1730</v>
      </c>
      <c r="D1118" s="224" t="s">
        <v>3495</v>
      </c>
      <c r="E1118" s="89" t="s">
        <v>3039</v>
      </c>
      <c r="F1118" s="103" t="s">
        <v>3129</v>
      </c>
      <c r="G1118" s="89" t="s">
        <v>3129</v>
      </c>
      <c r="H1118" s="92">
        <v>600</v>
      </c>
      <c r="I1118" s="73"/>
      <c r="J1118" s="73">
        <f>Table224[[#This Row],[Qty]]-Table224[[#This Row],[Issue Qty]]</f>
        <v>600</v>
      </c>
      <c r="K1118" s="73"/>
      <c r="L1118" s="73" t="s">
        <v>3480</v>
      </c>
      <c r="M1118" s="124">
        <v>3.8</v>
      </c>
      <c r="N1118" s="10">
        <f t="shared" si="59"/>
        <v>2280</v>
      </c>
      <c r="O1118" s="82"/>
      <c r="P1118" s="79">
        <f t="shared" si="60"/>
        <v>0</v>
      </c>
      <c r="Q1118" s="322"/>
      <c r="R1118" s="322"/>
      <c r="S1118" s="10">
        <f t="shared" si="61"/>
        <v>2280</v>
      </c>
      <c r="T1118" s="3" t="s">
        <v>1408</v>
      </c>
      <c r="U1118" s="3" t="s">
        <v>1408</v>
      </c>
      <c r="V1118" s="89" t="s">
        <v>3009</v>
      </c>
      <c r="W1118" s="89" t="s">
        <v>3156</v>
      </c>
      <c r="X1118" s="89">
        <v>73181500</v>
      </c>
      <c r="Y1118" s="190"/>
      <c r="Z1118" s="21" t="s">
        <v>3188</v>
      </c>
      <c r="AA1118" s="21" t="s">
        <v>3189</v>
      </c>
      <c r="AB1118" s="96"/>
      <c r="AC1118" s="202"/>
      <c r="AD1118" s="211"/>
      <c r="AE1118" s="211"/>
      <c r="AF1118" s="211"/>
      <c r="AG1118" s="211"/>
    </row>
    <row r="1119" spans="1:33" s="206" customFormat="1" x14ac:dyDescent="0.25">
      <c r="A1119" s="91">
        <v>46170</v>
      </c>
      <c r="B1119" s="91">
        <v>46170</v>
      </c>
      <c r="C1119" s="6" t="s">
        <v>1730</v>
      </c>
      <c r="D1119" s="224" t="s">
        <v>3495</v>
      </c>
      <c r="E1119" s="89" t="s">
        <v>3087</v>
      </c>
      <c r="F1119" s="103" t="s">
        <v>3133</v>
      </c>
      <c r="G1119" s="89" t="s">
        <v>3133</v>
      </c>
      <c r="H1119" s="92">
        <v>600</v>
      </c>
      <c r="I1119" s="73"/>
      <c r="J1119" s="73">
        <f>Table224[[#This Row],[Qty]]-Table224[[#This Row],[Issue Qty]]</f>
        <v>600</v>
      </c>
      <c r="K1119" s="73"/>
      <c r="L1119" s="73" t="s">
        <v>3480</v>
      </c>
      <c r="M1119" s="124">
        <v>80</v>
      </c>
      <c r="N1119" s="10">
        <f t="shared" si="59"/>
        <v>48000</v>
      </c>
      <c r="O1119" s="82">
        <v>0.18</v>
      </c>
      <c r="P1119" s="79">
        <f t="shared" si="60"/>
        <v>8640</v>
      </c>
      <c r="Q1119" s="322"/>
      <c r="R1119" s="322"/>
      <c r="S1119" s="10">
        <f t="shared" si="61"/>
        <v>56640</v>
      </c>
      <c r="T1119" s="3" t="s">
        <v>1408</v>
      </c>
      <c r="U1119" s="3" t="s">
        <v>1408</v>
      </c>
      <c r="V1119" s="89" t="s">
        <v>3009</v>
      </c>
      <c r="W1119" s="89" t="s">
        <v>3156</v>
      </c>
      <c r="X1119" s="89">
        <v>73181500</v>
      </c>
      <c r="Y1119" s="190"/>
      <c r="Z1119" s="21" t="s">
        <v>3188</v>
      </c>
      <c r="AA1119" s="21" t="s">
        <v>3189</v>
      </c>
      <c r="AB1119" s="96"/>
      <c r="AC1119" s="202"/>
      <c r="AD1119" s="211"/>
      <c r="AE1119" s="211"/>
      <c r="AF1119" s="211"/>
      <c r="AG1119" s="211"/>
    </row>
    <row r="1120" spans="1:33" s="206" customFormat="1" x14ac:dyDescent="0.25">
      <c r="A1120" s="91">
        <v>46170</v>
      </c>
      <c r="B1120" s="91">
        <v>46170</v>
      </c>
      <c r="C1120" s="6" t="s">
        <v>1730</v>
      </c>
      <c r="D1120" s="224" t="s">
        <v>3495</v>
      </c>
      <c r="E1120" s="89" t="s">
        <v>3040</v>
      </c>
      <c r="F1120" s="103" t="s">
        <v>3130</v>
      </c>
      <c r="G1120" s="89" t="s">
        <v>3130</v>
      </c>
      <c r="H1120" s="92">
        <v>1000</v>
      </c>
      <c r="I1120" s="73"/>
      <c r="J1120" s="73">
        <f>Table224[[#This Row],[Qty]]-Table224[[#This Row],[Issue Qty]]</f>
        <v>1000</v>
      </c>
      <c r="K1120" s="73"/>
      <c r="L1120" s="73" t="s">
        <v>3480</v>
      </c>
      <c r="M1120" s="124">
        <v>3.8</v>
      </c>
      <c r="N1120" s="10">
        <f t="shared" si="59"/>
        <v>3800</v>
      </c>
      <c r="O1120" s="82"/>
      <c r="P1120" s="79">
        <f t="shared" si="60"/>
        <v>0</v>
      </c>
      <c r="Q1120" s="322"/>
      <c r="R1120" s="322"/>
      <c r="S1120" s="10">
        <f t="shared" si="61"/>
        <v>3800</v>
      </c>
      <c r="T1120" s="3" t="s">
        <v>1408</v>
      </c>
      <c r="U1120" s="3" t="s">
        <v>1408</v>
      </c>
      <c r="V1120" s="89" t="s">
        <v>3009</v>
      </c>
      <c r="W1120" s="89" t="s">
        <v>3156</v>
      </c>
      <c r="X1120" s="89">
        <v>73181500</v>
      </c>
      <c r="Y1120" s="190"/>
      <c r="Z1120" s="21" t="s">
        <v>3188</v>
      </c>
      <c r="AA1120" s="21" t="s">
        <v>3189</v>
      </c>
      <c r="AB1120" s="96"/>
      <c r="AC1120" s="202"/>
      <c r="AD1120" s="211"/>
      <c r="AE1120" s="211"/>
      <c r="AF1120" s="211"/>
      <c r="AG1120" s="211"/>
    </row>
    <row r="1121" spans="1:33" s="206" customFormat="1" x14ac:dyDescent="0.25">
      <c r="A1121" s="91">
        <v>46170</v>
      </c>
      <c r="B1121" s="91">
        <v>46170</v>
      </c>
      <c r="C1121" s="6" t="s">
        <v>1730</v>
      </c>
      <c r="D1121" s="224" t="s">
        <v>3495</v>
      </c>
      <c r="E1121" s="89" t="s">
        <v>3071</v>
      </c>
      <c r="F1121" s="318" t="s">
        <v>3124</v>
      </c>
      <c r="G1121" s="89" t="s">
        <v>3124</v>
      </c>
      <c r="H1121" s="92">
        <v>600</v>
      </c>
      <c r="I1121" s="73">
        <v>40</v>
      </c>
      <c r="J1121" s="73">
        <f>Table224[[#This Row],[Qty]]-Table224[[#This Row],[Issue Qty]]</f>
        <v>560</v>
      </c>
      <c r="K1121" s="73"/>
      <c r="L1121" s="73" t="s">
        <v>3486</v>
      </c>
      <c r="M1121" s="124">
        <v>1.57</v>
      </c>
      <c r="N1121" s="10">
        <f t="shared" si="59"/>
        <v>942</v>
      </c>
      <c r="O1121" s="82"/>
      <c r="P1121" s="79">
        <f t="shared" si="60"/>
        <v>0</v>
      </c>
      <c r="Q1121" s="322"/>
      <c r="R1121" s="322"/>
      <c r="S1121" s="10">
        <f t="shared" si="61"/>
        <v>942</v>
      </c>
      <c r="T1121" s="3" t="s">
        <v>2887</v>
      </c>
      <c r="U1121" s="3" t="s">
        <v>1408</v>
      </c>
      <c r="V1121" s="89" t="s">
        <v>3009</v>
      </c>
      <c r="W1121" s="89" t="s">
        <v>3156</v>
      </c>
      <c r="X1121" s="89">
        <v>73181500</v>
      </c>
      <c r="Y1121" s="190"/>
      <c r="Z1121" s="21" t="s">
        <v>2993</v>
      </c>
      <c r="AA1121" s="21"/>
      <c r="AB1121" s="96"/>
      <c r="AC1121" s="97"/>
      <c r="AD1121" s="211"/>
      <c r="AE1121" s="211"/>
      <c r="AF1121" s="211"/>
      <c r="AG1121" s="211"/>
    </row>
    <row r="1122" spans="1:33" s="206" customFormat="1" x14ac:dyDescent="0.25">
      <c r="A1122" s="91">
        <v>46170</v>
      </c>
      <c r="B1122" s="91">
        <v>46170</v>
      </c>
      <c r="C1122" s="6" t="s">
        <v>1730</v>
      </c>
      <c r="D1122" s="224" t="s">
        <v>3495</v>
      </c>
      <c r="E1122" s="89" t="s">
        <v>3073</v>
      </c>
      <c r="F1122" s="103" t="s">
        <v>1649</v>
      </c>
      <c r="G1122" s="89" t="s">
        <v>1649</v>
      </c>
      <c r="H1122" s="92">
        <v>1500</v>
      </c>
      <c r="I1122" s="73"/>
      <c r="J1122" s="73">
        <f>Table224[[#This Row],[Qty]]-Table224[[#This Row],[Issue Qty]]</f>
        <v>1500</v>
      </c>
      <c r="K1122" s="73"/>
      <c r="L1122" s="73" t="s">
        <v>3486</v>
      </c>
      <c r="M1122" s="124">
        <v>0.8</v>
      </c>
      <c r="N1122" s="10">
        <f t="shared" si="59"/>
        <v>1200</v>
      </c>
      <c r="O1122" s="82"/>
      <c r="P1122" s="79">
        <f t="shared" si="60"/>
        <v>0</v>
      </c>
      <c r="Q1122" s="322"/>
      <c r="R1122" s="322"/>
      <c r="S1122" s="10">
        <f t="shared" si="61"/>
        <v>1200</v>
      </c>
      <c r="T1122" s="3" t="s">
        <v>2887</v>
      </c>
      <c r="U1122" s="3" t="s">
        <v>1408</v>
      </c>
      <c r="V1122" s="89" t="s">
        <v>3009</v>
      </c>
      <c r="W1122" s="89" t="s">
        <v>3156</v>
      </c>
      <c r="X1122" s="89">
        <v>73181500</v>
      </c>
      <c r="Y1122" s="190"/>
      <c r="Z1122" s="21" t="s">
        <v>2993</v>
      </c>
      <c r="AA1122" s="21"/>
      <c r="AB1122" s="96"/>
      <c r="AC1122" s="97"/>
      <c r="AD1122" s="211"/>
      <c r="AE1122" s="211"/>
      <c r="AF1122" s="211"/>
      <c r="AG1122" s="211"/>
    </row>
    <row r="1123" spans="1:33" s="206" customFormat="1" x14ac:dyDescent="0.25">
      <c r="A1123" s="91">
        <v>46170</v>
      </c>
      <c r="B1123" s="91">
        <v>46170</v>
      </c>
      <c r="C1123" s="6" t="s">
        <v>1730</v>
      </c>
      <c r="D1123" s="224" t="s">
        <v>3665</v>
      </c>
      <c r="E1123" s="89" t="s">
        <v>3072</v>
      </c>
      <c r="F1123" s="103" t="s">
        <v>1659</v>
      </c>
      <c r="G1123" s="89" t="s">
        <v>1659</v>
      </c>
      <c r="H1123" s="92">
        <v>1500</v>
      </c>
      <c r="I1123" s="73"/>
      <c r="J1123" s="73">
        <f>Table224[[#This Row],[Qty]]-Table224[[#This Row],[Issue Qty]]</f>
        <v>1500</v>
      </c>
      <c r="K1123" s="73"/>
      <c r="L1123" s="73" t="s">
        <v>3486</v>
      </c>
      <c r="M1123" s="124">
        <v>2.02</v>
      </c>
      <c r="N1123" s="10">
        <f t="shared" si="59"/>
        <v>3030</v>
      </c>
      <c r="O1123" s="82"/>
      <c r="P1123" s="79">
        <f t="shared" si="60"/>
        <v>0</v>
      </c>
      <c r="Q1123" s="322"/>
      <c r="R1123" s="322"/>
      <c r="S1123" s="10">
        <f t="shared" si="61"/>
        <v>3030</v>
      </c>
      <c r="T1123" s="3" t="s">
        <v>2887</v>
      </c>
      <c r="U1123" s="3" t="s">
        <v>1408</v>
      </c>
      <c r="V1123" s="89" t="s">
        <v>3009</v>
      </c>
      <c r="W1123" s="89" t="s">
        <v>3156</v>
      </c>
      <c r="X1123" s="89">
        <v>73181500</v>
      </c>
      <c r="Y1123" s="190"/>
      <c r="Z1123" s="21" t="s">
        <v>2993</v>
      </c>
      <c r="AA1123" s="21"/>
      <c r="AB1123" s="96"/>
      <c r="AC1123" s="97"/>
      <c r="AD1123" s="211"/>
      <c r="AE1123" s="211"/>
      <c r="AF1123" s="211"/>
      <c r="AG1123" s="211"/>
    </row>
    <row r="1124" spans="1:33" s="206" customFormat="1" x14ac:dyDescent="0.25">
      <c r="A1124" s="91">
        <v>46170</v>
      </c>
      <c r="B1124" s="91">
        <v>46170</v>
      </c>
      <c r="C1124" s="6" t="s">
        <v>1730</v>
      </c>
      <c r="D1124" s="224" t="s">
        <v>3495</v>
      </c>
      <c r="E1124" s="89" t="s">
        <v>3075</v>
      </c>
      <c r="F1124" s="103" t="s">
        <v>1648</v>
      </c>
      <c r="G1124" s="89" t="s">
        <v>1648</v>
      </c>
      <c r="H1124" s="92">
        <v>600</v>
      </c>
      <c r="I1124" s="73"/>
      <c r="J1124" s="73">
        <f>Table224[[#This Row],[Qty]]-Table224[[#This Row],[Issue Qty]]</f>
        <v>600</v>
      </c>
      <c r="K1124" s="73"/>
      <c r="L1124" s="73" t="s">
        <v>3486</v>
      </c>
      <c r="M1124" s="124">
        <v>2.2400000000000002</v>
      </c>
      <c r="N1124" s="10">
        <f t="shared" si="59"/>
        <v>1344.0000000000002</v>
      </c>
      <c r="O1124" s="82"/>
      <c r="P1124" s="79">
        <f t="shared" si="60"/>
        <v>0</v>
      </c>
      <c r="Q1124" s="322"/>
      <c r="R1124" s="322"/>
      <c r="S1124" s="10">
        <f t="shared" si="61"/>
        <v>1344.0000000000002</v>
      </c>
      <c r="T1124" s="3" t="s">
        <v>2887</v>
      </c>
      <c r="U1124" s="3" t="s">
        <v>1408</v>
      </c>
      <c r="V1124" s="89" t="s">
        <v>3009</v>
      </c>
      <c r="W1124" s="89" t="s">
        <v>3156</v>
      </c>
      <c r="X1124" s="89">
        <v>73181500</v>
      </c>
      <c r="Y1124" s="190"/>
      <c r="Z1124" s="21" t="s">
        <v>2993</v>
      </c>
      <c r="AA1124" s="21"/>
      <c r="AB1124" s="96"/>
      <c r="AC1124" s="97"/>
      <c r="AD1124" s="211"/>
      <c r="AE1124" s="211"/>
      <c r="AF1124" s="211"/>
      <c r="AG1124" s="211"/>
    </row>
    <row r="1125" spans="1:33" s="206" customFormat="1" x14ac:dyDescent="0.25">
      <c r="A1125" s="91">
        <v>46170</v>
      </c>
      <c r="B1125" s="91">
        <v>46170</v>
      </c>
      <c r="C1125" s="6" t="s">
        <v>1730</v>
      </c>
      <c r="D1125" s="224" t="s">
        <v>3495</v>
      </c>
      <c r="E1125" s="89" t="s">
        <v>3076</v>
      </c>
      <c r="F1125" s="318" t="s">
        <v>3126</v>
      </c>
      <c r="G1125" s="89" t="s">
        <v>3126</v>
      </c>
      <c r="H1125" s="92">
        <v>600</v>
      </c>
      <c r="I1125" s="73">
        <v>40</v>
      </c>
      <c r="J1125" s="73">
        <f>Table224[[#This Row],[Qty]]-Table224[[#This Row],[Issue Qty]]</f>
        <v>560</v>
      </c>
      <c r="K1125" s="73"/>
      <c r="L1125" s="73" t="s">
        <v>3486</v>
      </c>
      <c r="M1125" s="124">
        <v>2.69</v>
      </c>
      <c r="N1125" s="10">
        <f t="shared" si="59"/>
        <v>1614</v>
      </c>
      <c r="O1125" s="82"/>
      <c r="P1125" s="79">
        <f t="shared" si="60"/>
        <v>0</v>
      </c>
      <c r="Q1125" s="322"/>
      <c r="R1125" s="322"/>
      <c r="S1125" s="10">
        <f t="shared" si="61"/>
        <v>1614</v>
      </c>
      <c r="T1125" s="3" t="s">
        <v>2887</v>
      </c>
      <c r="U1125" s="3" t="s">
        <v>1408</v>
      </c>
      <c r="V1125" s="89" t="s">
        <v>3009</v>
      </c>
      <c r="W1125" s="89" t="s">
        <v>3156</v>
      </c>
      <c r="X1125" s="89">
        <v>73181500</v>
      </c>
      <c r="Y1125" s="190"/>
      <c r="Z1125" s="21" t="s">
        <v>2993</v>
      </c>
      <c r="AA1125" s="21"/>
      <c r="AB1125" s="96"/>
      <c r="AC1125" s="97"/>
      <c r="AD1125" s="211"/>
      <c r="AE1125" s="211"/>
      <c r="AF1125" s="211"/>
      <c r="AG1125" s="211"/>
    </row>
    <row r="1126" spans="1:33" s="206" customFormat="1" x14ac:dyDescent="0.25">
      <c r="A1126" s="91">
        <v>46170</v>
      </c>
      <c r="B1126" s="91">
        <v>46170</v>
      </c>
      <c r="C1126" s="6" t="s">
        <v>1730</v>
      </c>
      <c r="D1126" s="224" t="s">
        <v>3495</v>
      </c>
      <c r="E1126" s="89" t="s">
        <v>3086</v>
      </c>
      <c r="F1126" s="103" t="s">
        <v>3132</v>
      </c>
      <c r="G1126" s="89" t="s">
        <v>3132</v>
      </c>
      <c r="H1126" s="92">
        <v>600</v>
      </c>
      <c r="I1126" s="73">
        <v>10</v>
      </c>
      <c r="J1126" s="73">
        <f>Table224[[#This Row],[Qty]]-Table224[[#This Row],[Issue Qty]]</f>
        <v>590</v>
      </c>
      <c r="K1126" s="73"/>
      <c r="L1126" s="73" t="s">
        <v>3480</v>
      </c>
      <c r="M1126" s="124">
        <v>70</v>
      </c>
      <c r="N1126" s="10">
        <f t="shared" si="59"/>
        <v>42000</v>
      </c>
      <c r="O1126" s="82"/>
      <c r="P1126" s="79">
        <f t="shared" si="60"/>
        <v>0</v>
      </c>
      <c r="Q1126" s="322"/>
      <c r="R1126" s="322"/>
      <c r="S1126" s="10">
        <f t="shared" si="61"/>
        <v>42000</v>
      </c>
      <c r="T1126" s="3" t="s">
        <v>2887</v>
      </c>
      <c r="U1126" s="3" t="s">
        <v>1408</v>
      </c>
      <c r="V1126" s="89" t="s">
        <v>3009</v>
      </c>
      <c r="W1126" s="89" t="s">
        <v>3156</v>
      </c>
      <c r="X1126" s="89">
        <v>73181500</v>
      </c>
      <c r="Y1126" s="190"/>
      <c r="Z1126" s="21" t="s">
        <v>2993</v>
      </c>
      <c r="AA1126" s="21"/>
      <c r="AB1126" s="96"/>
      <c r="AC1126" s="97"/>
      <c r="AD1126" s="211"/>
      <c r="AE1126" s="211"/>
      <c r="AF1126" s="211"/>
      <c r="AG1126" s="211"/>
    </row>
    <row r="1127" spans="1:33" s="206" customFormat="1" x14ac:dyDescent="0.25">
      <c r="A1127" s="91">
        <v>46170</v>
      </c>
      <c r="B1127" s="91">
        <v>46170</v>
      </c>
      <c r="C1127" s="6" t="s">
        <v>1730</v>
      </c>
      <c r="D1127" s="224" t="s">
        <v>3495</v>
      </c>
      <c r="E1127" s="89" t="s">
        <v>3077</v>
      </c>
      <c r="F1127" s="318" t="s">
        <v>1651</v>
      </c>
      <c r="G1127" s="89" t="s">
        <v>1651</v>
      </c>
      <c r="H1127" s="92">
        <v>600</v>
      </c>
      <c r="I1127" s="73">
        <v>80</v>
      </c>
      <c r="J1127" s="73">
        <f>Table224[[#This Row],[Qty]]-Table224[[#This Row],[Issue Qty]]</f>
        <v>520</v>
      </c>
      <c r="K1127" s="73"/>
      <c r="L1127" s="73" t="s">
        <v>3486</v>
      </c>
      <c r="M1127" s="124">
        <v>3.14</v>
      </c>
      <c r="N1127" s="10">
        <f t="shared" si="59"/>
        <v>1884</v>
      </c>
      <c r="O1127" s="82"/>
      <c r="P1127" s="79">
        <f t="shared" si="60"/>
        <v>0</v>
      </c>
      <c r="Q1127" s="322"/>
      <c r="R1127" s="322"/>
      <c r="S1127" s="10">
        <f t="shared" si="61"/>
        <v>1884</v>
      </c>
      <c r="T1127" s="3" t="s">
        <v>2887</v>
      </c>
      <c r="U1127" s="3" t="s">
        <v>1408</v>
      </c>
      <c r="V1127" s="89" t="s">
        <v>3009</v>
      </c>
      <c r="W1127" s="89" t="s">
        <v>3156</v>
      </c>
      <c r="X1127" s="89">
        <v>73181500</v>
      </c>
      <c r="Y1127" s="190"/>
      <c r="Z1127" s="21" t="s">
        <v>2993</v>
      </c>
      <c r="AA1127" s="21"/>
      <c r="AB1127" s="96"/>
      <c r="AC1127" s="97"/>
      <c r="AD1127" s="211"/>
      <c r="AE1127" s="211"/>
      <c r="AF1127" s="211"/>
      <c r="AG1127" s="211"/>
    </row>
    <row r="1128" spans="1:33" s="206" customFormat="1" x14ac:dyDescent="0.25">
      <c r="A1128" s="91">
        <v>46170</v>
      </c>
      <c r="B1128" s="91">
        <v>46170</v>
      </c>
      <c r="C1128" s="6" t="s">
        <v>1730</v>
      </c>
      <c r="D1128" s="224" t="s">
        <v>3495</v>
      </c>
      <c r="E1128" s="89" t="s">
        <v>3078</v>
      </c>
      <c r="F1128" s="318" t="s">
        <v>1654</v>
      </c>
      <c r="G1128" s="89" t="s">
        <v>1654</v>
      </c>
      <c r="H1128" s="92">
        <v>600</v>
      </c>
      <c r="I1128" s="73">
        <v>235</v>
      </c>
      <c r="J1128" s="73">
        <f>Table224[[#This Row],[Qty]]-Table224[[#This Row],[Issue Qty]]</f>
        <v>365</v>
      </c>
      <c r="K1128" s="73"/>
      <c r="L1128" s="73" t="s">
        <v>3486</v>
      </c>
      <c r="M1128" s="124">
        <v>3.82</v>
      </c>
      <c r="N1128" s="10">
        <f t="shared" si="59"/>
        <v>2292</v>
      </c>
      <c r="O1128" s="82"/>
      <c r="P1128" s="79">
        <f t="shared" si="60"/>
        <v>0</v>
      </c>
      <c r="Q1128" s="322"/>
      <c r="R1128" s="322"/>
      <c r="S1128" s="10">
        <f t="shared" si="61"/>
        <v>2292</v>
      </c>
      <c r="T1128" s="3" t="s">
        <v>2887</v>
      </c>
      <c r="U1128" s="3" t="s">
        <v>1408</v>
      </c>
      <c r="V1128" s="89" t="s">
        <v>3009</v>
      </c>
      <c r="W1128" s="89" t="s">
        <v>3156</v>
      </c>
      <c r="X1128" s="89">
        <v>73181500</v>
      </c>
      <c r="Y1128" s="190"/>
      <c r="Z1128" s="21" t="s">
        <v>2993</v>
      </c>
      <c r="AA1128" s="21"/>
      <c r="AB1128" s="96"/>
      <c r="AC1128" s="97"/>
      <c r="AD1128" s="211"/>
      <c r="AE1128" s="211"/>
      <c r="AF1128" s="211"/>
      <c r="AG1128" s="211"/>
    </row>
    <row r="1129" spans="1:33" s="206" customFormat="1" x14ac:dyDescent="0.25">
      <c r="A1129" s="91">
        <v>46170</v>
      </c>
      <c r="B1129" s="91">
        <v>46170</v>
      </c>
      <c r="C1129" s="6" t="s">
        <v>1730</v>
      </c>
      <c r="D1129" s="224" t="s">
        <v>3495</v>
      </c>
      <c r="E1129" s="89" t="s">
        <v>3085</v>
      </c>
      <c r="F1129" s="103" t="s">
        <v>3131</v>
      </c>
      <c r="G1129" s="89" t="s">
        <v>3131</v>
      </c>
      <c r="H1129" s="92">
        <v>600</v>
      </c>
      <c r="I1129" s="73">
        <v>10</v>
      </c>
      <c r="J1129" s="73">
        <f>Table224[[#This Row],[Qty]]-Table224[[#This Row],[Issue Qty]]</f>
        <v>590</v>
      </c>
      <c r="K1129" s="73"/>
      <c r="L1129" s="73" t="s">
        <v>3480</v>
      </c>
      <c r="M1129" s="124">
        <v>75</v>
      </c>
      <c r="N1129" s="10">
        <f t="shared" si="59"/>
        <v>45000</v>
      </c>
      <c r="O1129" s="82"/>
      <c r="P1129" s="79">
        <f t="shared" si="60"/>
        <v>0</v>
      </c>
      <c r="Q1129" s="322"/>
      <c r="R1129" s="322"/>
      <c r="S1129" s="10">
        <f t="shared" si="61"/>
        <v>45000</v>
      </c>
      <c r="T1129" s="3" t="s">
        <v>2887</v>
      </c>
      <c r="U1129" s="3" t="s">
        <v>1408</v>
      </c>
      <c r="V1129" s="89" t="s">
        <v>3009</v>
      </c>
      <c r="W1129" s="89" t="s">
        <v>3156</v>
      </c>
      <c r="X1129" s="89">
        <v>73181500</v>
      </c>
      <c r="Y1129" s="190"/>
      <c r="Z1129" s="21" t="s">
        <v>2993</v>
      </c>
      <c r="AA1129" s="21"/>
      <c r="AB1129" s="96"/>
      <c r="AC1129" s="97"/>
      <c r="AD1129" s="211"/>
      <c r="AE1129" s="211"/>
      <c r="AF1129" s="211"/>
      <c r="AG1129" s="211"/>
    </row>
    <row r="1130" spans="1:33" s="206" customFormat="1" x14ac:dyDescent="0.25">
      <c r="A1130" s="91">
        <v>46170</v>
      </c>
      <c r="B1130" s="91">
        <v>46170</v>
      </c>
      <c r="C1130" s="6" t="s">
        <v>1730</v>
      </c>
      <c r="D1130" s="224" t="s">
        <v>3495</v>
      </c>
      <c r="E1130" s="89" t="s">
        <v>3079</v>
      </c>
      <c r="F1130" s="103" t="s">
        <v>1658</v>
      </c>
      <c r="G1130" s="89" t="s">
        <v>1658</v>
      </c>
      <c r="H1130" s="92">
        <v>600</v>
      </c>
      <c r="I1130" s="73"/>
      <c r="J1130" s="73">
        <f>Table224[[#This Row],[Qty]]-Table224[[#This Row],[Issue Qty]]</f>
        <v>600</v>
      </c>
      <c r="K1130" s="73"/>
      <c r="L1130" s="73" t="s">
        <v>3486</v>
      </c>
      <c r="M1130" s="124">
        <v>5.16</v>
      </c>
      <c r="N1130" s="10">
        <f t="shared" si="59"/>
        <v>3096</v>
      </c>
      <c r="O1130" s="82"/>
      <c r="P1130" s="79">
        <f t="shared" si="60"/>
        <v>0</v>
      </c>
      <c r="Q1130" s="322"/>
      <c r="R1130" s="322"/>
      <c r="S1130" s="10">
        <f t="shared" si="61"/>
        <v>3096</v>
      </c>
      <c r="T1130" s="3" t="s">
        <v>2887</v>
      </c>
      <c r="U1130" s="3" t="s">
        <v>1408</v>
      </c>
      <c r="V1130" s="89" t="s">
        <v>3009</v>
      </c>
      <c r="W1130" s="89" t="s">
        <v>3156</v>
      </c>
      <c r="X1130" s="89">
        <v>73181500</v>
      </c>
      <c r="Y1130" s="190"/>
      <c r="Z1130" s="21" t="s">
        <v>2993</v>
      </c>
      <c r="AA1130" s="21"/>
      <c r="AB1130" s="96"/>
      <c r="AC1130" s="97"/>
      <c r="AD1130" s="211"/>
      <c r="AE1130" s="211"/>
      <c r="AF1130" s="211"/>
      <c r="AG1130" s="211"/>
    </row>
    <row r="1131" spans="1:33" s="206" customFormat="1" x14ac:dyDescent="0.25">
      <c r="A1131" s="91">
        <v>46170</v>
      </c>
      <c r="B1131" s="91">
        <v>46170</v>
      </c>
      <c r="C1131" s="6" t="s">
        <v>1730</v>
      </c>
      <c r="D1131" s="224" t="s">
        <v>3495</v>
      </c>
      <c r="E1131" s="89" t="s">
        <v>3080</v>
      </c>
      <c r="F1131" s="103" t="s">
        <v>3127</v>
      </c>
      <c r="G1131" s="89" t="s">
        <v>3127</v>
      </c>
      <c r="H1131" s="92">
        <v>600</v>
      </c>
      <c r="I1131" s="73"/>
      <c r="J1131" s="73">
        <f>Table224[[#This Row],[Qty]]-Table224[[#This Row],[Issue Qty]]</f>
        <v>600</v>
      </c>
      <c r="K1131" s="73"/>
      <c r="L1131" s="73" t="s">
        <v>3486</v>
      </c>
      <c r="M1131" s="124">
        <v>7.18</v>
      </c>
      <c r="N1131" s="10">
        <f t="shared" si="59"/>
        <v>4308</v>
      </c>
      <c r="O1131" s="82"/>
      <c r="P1131" s="79">
        <f t="shared" si="60"/>
        <v>0</v>
      </c>
      <c r="Q1131" s="322"/>
      <c r="R1131" s="322"/>
      <c r="S1131" s="10">
        <f t="shared" si="61"/>
        <v>4308</v>
      </c>
      <c r="T1131" s="3" t="s">
        <v>1408</v>
      </c>
      <c r="U1131" s="3" t="s">
        <v>1408</v>
      </c>
      <c r="V1131" s="89" t="s">
        <v>3009</v>
      </c>
      <c r="W1131" s="89" t="s">
        <v>3156</v>
      </c>
      <c r="X1131" s="89">
        <v>73181500</v>
      </c>
      <c r="Y1131" s="190"/>
      <c r="Z1131" s="21" t="s">
        <v>2993</v>
      </c>
      <c r="AA1131" s="21"/>
      <c r="AB1131" s="96"/>
      <c r="AC1131" s="97"/>
      <c r="AD1131" s="211"/>
      <c r="AE1131" s="211"/>
      <c r="AF1131" s="211"/>
      <c r="AG1131" s="211"/>
    </row>
    <row r="1132" spans="1:33" s="206" customFormat="1" x14ac:dyDescent="0.25">
      <c r="A1132" s="91">
        <v>46170</v>
      </c>
      <c r="B1132" s="91">
        <v>46170</v>
      </c>
      <c r="C1132" s="6" t="s">
        <v>1730</v>
      </c>
      <c r="D1132" s="224" t="s">
        <v>3495</v>
      </c>
      <c r="E1132" s="89" t="s">
        <v>3081</v>
      </c>
      <c r="F1132" s="103" t="s">
        <v>1655</v>
      </c>
      <c r="G1132" s="89" t="s">
        <v>1655</v>
      </c>
      <c r="H1132" s="92">
        <v>600</v>
      </c>
      <c r="I1132" s="73"/>
      <c r="J1132" s="73">
        <f>Table224[[#This Row],[Qty]]-Table224[[#This Row],[Issue Qty]]</f>
        <v>600</v>
      </c>
      <c r="K1132" s="73"/>
      <c r="L1132" s="73" t="s">
        <v>3486</v>
      </c>
      <c r="M1132" s="124">
        <v>2.02</v>
      </c>
      <c r="N1132" s="10">
        <f t="shared" si="59"/>
        <v>1212</v>
      </c>
      <c r="O1132" s="82"/>
      <c r="P1132" s="79">
        <f t="shared" si="60"/>
        <v>0</v>
      </c>
      <c r="Q1132" s="322"/>
      <c r="R1132" s="322"/>
      <c r="S1132" s="10">
        <f t="shared" si="61"/>
        <v>1212</v>
      </c>
      <c r="T1132" s="3" t="s">
        <v>1408</v>
      </c>
      <c r="U1132" s="3" t="s">
        <v>1408</v>
      </c>
      <c r="V1132" s="89" t="s">
        <v>3009</v>
      </c>
      <c r="W1132" s="89" t="s">
        <v>3156</v>
      </c>
      <c r="X1132" s="89">
        <v>73181500</v>
      </c>
      <c r="Y1132" s="190"/>
      <c r="Z1132" s="21" t="s">
        <v>2993</v>
      </c>
      <c r="AA1132" s="21"/>
      <c r="AB1132" s="96"/>
      <c r="AC1132" s="97"/>
      <c r="AD1132" s="211"/>
      <c r="AE1132" s="211"/>
      <c r="AF1132" s="211"/>
      <c r="AG1132" s="211"/>
    </row>
    <row r="1133" spans="1:33" s="206" customFormat="1" x14ac:dyDescent="0.25">
      <c r="A1133" s="91">
        <v>46170</v>
      </c>
      <c r="B1133" s="91">
        <v>46170</v>
      </c>
      <c r="C1133" s="6" t="s">
        <v>1730</v>
      </c>
      <c r="D1133" s="224" t="s">
        <v>3495</v>
      </c>
      <c r="E1133" s="89" t="s">
        <v>3082</v>
      </c>
      <c r="F1133" s="103" t="s">
        <v>1650</v>
      </c>
      <c r="G1133" s="89" t="s">
        <v>1650</v>
      </c>
      <c r="H1133" s="92">
        <v>1000</v>
      </c>
      <c r="I1133" s="73"/>
      <c r="J1133" s="73">
        <f>Table224[[#This Row],[Qty]]-Table224[[#This Row],[Issue Qty]]</f>
        <v>1000</v>
      </c>
      <c r="K1133" s="73"/>
      <c r="L1133" s="73" t="s">
        <v>3486</v>
      </c>
      <c r="M1133" s="124">
        <v>1.8</v>
      </c>
      <c r="N1133" s="10">
        <f t="shared" si="59"/>
        <v>1800</v>
      </c>
      <c r="O1133" s="82"/>
      <c r="P1133" s="79">
        <f t="shared" si="60"/>
        <v>0</v>
      </c>
      <c r="Q1133" s="322"/>
      <c r="R1133" s="322"/>
      <c r="S1133" s="10">
        <f t="shared" si="61"/>
        <v>1800</v>
      </c>
      <c r="T1133" s="3" t="s">
        <v>1408</v>
      </c>
      <c r="U1133" s="3" t="s">
        <v>1408</v>
      </c>
      <c r="V1133" s="89" t="s">
        <v>3009</v>
      </c>
      <c r="W1133" s="89" t="s">
        <v>3156</v>
      </c>
      <c r="X1133" s="89">
        <v>73181500</v>
      </c>
      <c r="Y1133" s="190"/>
      <c r="Z1133" s="21" t="s">
        <v>2993</v>
      </c>
      <c r="AA1133" s="21"/>
      <c r="AB1133" s="96"/>
      <c r="AC1133" s="97"/>
      <c r="AD1133" s="211"/>
      <c r="AE1133" s="211"/>
      <c r="AF1133" s="211"/>
      <c r="AG1133" s="211"/>
    </row>
    <row r="1134" spans="1:33" s="206" customFormat="1" x14ac:dyDescent="0.25">
      <c r="A1134" s="91">
        <v>46170</v>
      </c>
      <c r="B1134" s="91">
        <v>46170</v>
      </c>
      <c r="C1134" s="6" t="s">
        <v>1730</v>
      </c>
      <c r="D1134" s="224" t="s">
        <v>3495</v>
      </c>
      <c r="E1134" s="89" t="s">
        <v>3083</v>
      </c>
      <c r="F1134" s="103" t="s">
        <v>1657</v>
      </c>
      <c r="G1134" s="89" t="s">
        <v>1657</v>
      </c>
      <c r="H1134" s="92">
        <v>1000</v>
      </c>
      <c r="I1134" s="73"/>
      <c r="J1134" s="73">
        <f>Table224[[#This Row],[Qty]]-Table224[[#This Row],[Issue Qty]]</f>
        <v>1000</v>
      </c>
      <c r="K1134" s="73"/>
      <c r="L1134" s="73" t="s">
        <v>3486</v>
      </c>
      <c r="M1134" s="124">
        <v>0.9</v>
      </c>
      <c r="N1134" s="10">
        <f t="shared" si="59"/>
        <v>900</v>
      </c>
      <c r="O1134" s="82"/>
      <c r="P1134" s="79">
        <f t="shared" si="60"/>
        <v>0</v>
      </c>
      <c r="Q1134" s="322"/>
      <c r="R1134" s="322"/>
      <c r="S1134" s="10">
        <f t="shared" si="61"/>
        <v>900</v>
      </c>
      <c r="T1134" s="3" t="s">
        <v>1408</v>
      </c>
      <c r="U1134" s="3" t="s">
        <v>1408</v>
      </c>
      <c r="V1134" s="89" t="s">
        <v>3009</v>
      </c>
      <c r="W1134" s="89" t="s">
        <v>3156</v>
      </c>
      <c r="X1134" s="89">
        <v>73181500</v>
      </c>
      <c r="Y1134" s="190"/>
      <c r="Z1134" s="21" t="s">
        <v>2993</v>
      </c>
      <c r="AA1134" s="21"/>
      <c r="AB1134" s="96"/>
      <c r="AC1134" s="97"/>
      <c r="AD1134" s="211"/>
      <c r="AE1134" s="211"/>
      <c r="AF1134" s="211"/>
      <c r="AG1134" s="211"/>
    </row>
    <row r="1135" spans="1:33" s="206" customFormat="1" x14ac:dyDescent="0.25">
      <c r="A1135" s="91">
        <v>46170</v>
      </c>
      <c r="B1135" s="91">
        <v>46170</v>
      </c>
      <c r="C1135" s="6" t="s">
        <v>1730</v>
      </c>
      <c r="D1135" s="224" t="s">
        <v>3664</v>
      </c>
      <c r="E1135" s="89" t="s">
        <v>3084</v>
      </c>
      <c r="F1135" s="103" t="s">
        <v>3128</v>
      </c>
      <c r="G1135" s="89" t="s">
        <v>3128</v>
      </c>
      <c r="H1135" s="92">
        <v>1000</v>
      </c>
      <c r="I1135" s="73"/>
      <c r="J1135" s="73">
        <f>Table224[[#This Row],[Qty]]-Table224[[#This Row],[Issue Qty]]</f>
        <v>1000</v>
      </c>
      <c r="K1135" s="73"/>
      <c r="L1135" s="73" t="s">
        <v>3480</v>
      </c>
      <c r="M1135" s="124">
        <v>6.73</v>
      </c>
      <c r="N1135" s="10">
        <f t="shared" si="59"/>
        <v>6730</v>
      </c>
      <c r="O1135" s="82"/>
      <c r="P1135" s="79">
        <f t="shared" si="60"/>
        <v>0</v>
      </c>
      <c r="Q1135" s="322"/>
      <c r="R1135" s="322"/>
      <c r="S1135" s="10">
        <f t="shared" si="61"/>
        <v>6730</v>
      </c>
      <c r="T1135" s="3" t="s">
        <v>1408</v>
      </c>
      <c r="U1135" s="3" t="s">
        <v>1408</v>
      </c>
      <c r="V1135" s="89" t="s">
        <v>3009</v>
      </c>
      <c r="W1135" s="89" t="s">
        <v>3156</v>
      </c>
      <c r="X1135" s="89">
        <v>73181500</v>
      </c>
      <c r="Y1135" s="190"/>
      <c r="Z1135" s="21" t="s">
        <v>2993</v>
      </c>
      <c r="AA1135" s="21"/>
      <c r="AB1135" s="96"/>
      <c r="AC1135" s="97"/>
      <c r="AD1135" s="211"/>
      <c r="AE1135" s="211"/>
      <c r="AF1135" s="211"/>
      <c r="AG1135" s="211"/>
    </row>
    <row r="1136" spans="1:33" s="206" customFormat="1" x14ac:dyDescent="0.25">
      <c r="A1136" s="91">
        <v>46170</v>
      </c>
      <c r="B1136" s="91">
        <v>46170</v>
      </c>
      <c r="C1136" s="6" t="s">
        <v>1730</v>
      </c>
      <c r="D1136" s="224" t="s">
        <v>3495</v>
      </c>
      <c r="E1136" s="186" t="s">
        <v>3087</v>
      </c>
      <c r="F1136" s="235" t="s">
        <v>3793</v>
      </c>
      <c r="G1136" s="186"/>
      <c r="H1136" s="195">
        <v>600</v>
      </c>
      <c r="I1136" s="73"/>
      <c r="J1136" s="73">
        <f>Table224[[#This Row],[Qty]]-Table224[[#This Row],[Issue Qty]]</f>
        <v>600</v>
      </c>
      <c r="K1136" s="73"/>
      <c r="L1136" s="73" t="s">
        <v>3480</v>
      </c>
      <c r="M1136" s="246">
        <v>80</v>
      </c>
      <c r="N1136" s="10">
        <f t="shared" si="59"/>
        <v>48000</v>
      </c>
      <c r="O1136" s="251"/>
      <c r="P1136" s="323"/>
      <c r="Q1136" s="324"/>
      <c r="R1136" s="324"/>
      <c r="S1136" s="10">
        <f t="shared" si="61"/>
        <v>48000</v>
      </c>
      <c r="T1136" s="200"/>
      <c r="U1136" s="200"/>
      <c r="V1136" s="186"/>
      <c r="W1136" s="186"/>
      <c r="X1136" s="186"/>
      <c r="Y1136" s="219"/>
      <c r="Z1136" s="201"/>
      <c r="AA1136" s="201"/>
      <c r="AB1136" s="201"/>
      <c r="AC1136" s="202"/>
      <c r="AD1136" s="219"/>
      <c r="AE1136" s="219"/>
      <c r="AF1136" s="219"/>
      <c r="AG1136" s="219"/>
    </row>
    <row r="1137" spans="1:33" s="206" customFormat="1" x14ac:dyDescent="0.25">
      <c r="A1137" s="91">
        <v>46170</v>
      </c>
      <c r="B1137" s="91">
        <v>46170</v>
      </c>
      <c r="C1137" s="6" t="s">
        <v>54</v>
      </c>
      <c r="D1137" s="224" t="s">
        <v>3494</v>
      </c>
      <c r="E1137" s="89" t="s">
        <v>3038</v>
      </c>
      <c r="F1137" s="103" t="s">
        <v>3004</v>
      </c>
      <c r="G1137" s="89" t="s">
        <v>3004</v>
      </c>
      <c r="H1137" s="92">
        <v>2</v>
      </c>
      <c r="I1137" s="73">
        <v>1</v>
      </c>
      <c r="J1137" s="73">
        <f>Table224[[#This Row],[Qty]]-Table224[[#This Row],[Issue Qty]]</f>
        <v>1</v>
      </c>
      <c r="K1137" s="73"/>
      <c r="L1137" s="73" t="s">
        <v>3480</v>
      </c>
      <c r="M1137" s="93">
        <v>1136.2</v>
      </c>
      <c r="N1137" s="10">
        <f t="shared" si="59"/>
        <v>2272.4</v>
      </c>
      <c r="O1137" s="82">
        <v>0.18</v>
      </c>
      <c r="P1137" s="9">
        <f t="shared" ref="P1137:P1168" si="62">N1137*O1137</f>
        <v>409.03199999999998</v>
      </c>
      <c r="Q1137" s="214"/>
      <c r="R1137" s="214"/>
      <c r="S1137" s="10">
        <f t="shared" si="61"/>
        <v>2681.4320000000002</v>
      </c>
      <c r="T1137" s="1" t="s">
        <v>2887</v>
      </c>
      <c r="U1137" s="3" t="s">
        <v>2816</v>
      </c>
      <c r="V1137" s="89" t="s">
        <v>358</v>
      </c>
      <c r="W1137" s="89" t="s">
        <v>3155</v>
      </c>
      <c r="X1137" s="89">
        <v>39269099</v>
      </c>
      <c r="Y1137" s="190"/>
      <c r="Z1137" s="21"/>
      <c r="AA1137" s="21"/>
      <c r="AB1137" s="96"/>
      <c r="AC1137" s="97" t="s">
        <v>3373</v>
      </c>
      <c r="AD1137" s="211"/>
      <c r="AE1137" s="211"/>
      <c r="AF1137" s="211"/>
      <c r="AG1137" s="211"/>
    </row>
    <row r="1138" spans="1:33" s="206" customFormat="1" ht="30" x14ac:dyDescent="0.25">
      <c r="A1138" s="91">
        <v>46168</v>
      </c>
      <c r="B1138" s="91">
        <v>46170</v>
      </c>
      <c r="C1138" s="6" t="s">
        <v>1695</v>
      </c>
      <c r="D1138" s="186" t="s">
        <v>3457</v>
      </c>
      <c r="E1138" s="89" t="s">
        <v>3065</v>
      </c>
      <c r="F1138" s="318" t="s">
        <v>3120</v>
      </c>
      <c r="G1138" s="89" t="s">
        <v>3120</v>
      </c>
      <c r="H1138" s="92">
        <v>10</v>
      </c>
      <c r="I1138" s="73">
        <v>8</v>
      </c>
      <c r="J1138" s="73">
        <f>Table224[[#This Row],[Qty]]-Table224[[#This Row],[Issue Qty]]</f>
        <v>2</v>
      </c>
      <c r="K1138" s="73"/>
      <c r="L1138" s="73" t="s">
        <v>3480</v>
      </c>
      <c r="M1138" s="93">
        <v>42800</v>
      </c>
      <c r="N1138" s="10">
        <f t="shared" si="59"/>
        <v>428000</v>
      </c>
      <c r="O1138" s="82">
        <v>0.05</v>
      </c>
      <c r="P1138" s="9">
        <f t="shared" si="62"/>
        <v>21400</v>
      </c>
      <c r="Q1138" s="214"/>
      <c r="R1138" s="214"/>
      <c r="S1138" s="10">
        <f t="shared" si="61"/>
        <v>449400</v>
      </c>
      <c r="T1138" s="3" t="s">
        <v>3242</v>
      </c>
      <c r="U1138" s="3" t="s">
        <v>3242</v>
      </c>
      <c r="V1138" s="89" t="s">
        <v>1420</v>
      </c>
      <c r="W1138" s="89" t="s">
        <v>3154</v>
      </c>
      <c r="X1138" s="89">
        <v>88073020</v>
      </c>
      <c r="Y1138" s="190"/>
      <c r="Z1138" s="21" t="s">
        <v>3461</v>
      </c>
      <c r="AA1138" s="21"/>
      <c r="AB1138" s="96">
        <v>8</v>
      </c>
      <c r="AC1138" s="97" t="s">
        <v>3695</v>
      </c>
      <c r="AD1138" s="211"/>
      <c r="AE1138" s="211"/>
      <c r="AF1138" s="211"/>
      <c r="AG1138" s="211"/>
    </row>
    <row r="1139" spans="1:33" s="206" customFormat="1" x14ac:dyDescent="0.25">
      <c r="A1139" s="91">
        <v>46170</v>
      </c>
      <c r="B1139" s="91">
        <v>46170</v>
      </c>
      <c r="C1139" s="112" t="s">
        <v>1695</v>
      </c>
      <c r="D1139" s="224" t="s">
        <v>3453</v>
      </c>
      <c r="E1139" s="89" t="s">
        <v>3088</v>
      </c>
      <c r="F1139" s="318" t="s">
        <v>3134</v>
      </c>
      <c r="G1139" s="89" t="s">
        <v>3134</v>
      </c>
      <c r="H1139" s="92">
        <v>10</v>
      </c>
      <c r="I1139" s="73">
        <v>10</v>
      </c>
      <c r="J1139" s="73">
        <f>Table224[[#This Row],[Qty]]-Table224[[#This Row],[Issue Qty]]</f>
        <v>0</v>
      </c>
      <c r="K1139" s="73"/>
      <c r="L1139" s="195" t="s">
        <v>3480</v>
      </c>
      <c r="M1139" s="93">
        <v>7690</v>
      </c>
      <c r="N1139" s="10">
        <f t="shared" si="59"/>
        <v>76900</v>
      </c>
      <c r="O1139" s="82">
        <v>0.05</v>
      </c>
      <c r="P1139" s="9">
        <f t="shared" si="62"/>
        <v>3845</v>
      </c>
      <c r="Q1139" s="214"/>
      <c r="R1139" s="214"/>
      <c r="S1139" s="10">
        <f t="shared" si="61"/>
        <v>80745</v>
      </c>
      <c r="T1139" s="3" t="s">
        <v>3242</v>
      </c>
      <c r="U1139" s="3" t="s">
        <v>3242</v>
      </c>
      <c r="V1139" s="89" t="s">
        <v>3009</v>
      </c>
      <c r="W1139" s="89" t="s">
        <v>3157</v>
      </c>
      <c r="X1139" s="89">
        <v>8807</v>
      </c>
      <c r="Y1139" s="190"/>
      <c r="Z1139" s="21" t="s">
        <v>3461</v>
      </c>
      <c r="AA1139" s="21"/>
      <c r="AB1139" s="96">
        <v>8</v>
      </c>
      <c r="AC1139" s="97" t="s">
        <v>3570</v>
      </c>
      <c r="AD1139" s="211"/>
      <c r="AE1139" s="211"/>
      <c r="AF1139" s="211"/>
      <c r="AG1139" s="211"/>
    </row>
    <row r="1140" spans="1:33" s="206" customFormat="1" x14ac:dyDescent="0.25">
      <c r="A1140" s="91">
        <v>46167</v>
      </c>
      <c r="B1140" s="91">
        <v>46172</v>
      </c>
      <c r="C1140" s="112" t="s">
        <v>1683</v>
      </c>
      <c r="D1140" s="224" t="s">
        <v>3493</v>
      </c>
      <c r="E1140" s="89" t="s">
        <v>3089</v>
      </c>
      <c r="F1140" s="318" t="s">
        <v>3135</v>
      </c>
      <c r="G1140" s="89" t="s">
        <v>3135</v>
      </c>
      <c r="H1140" s="92">
        <v>60</v>
      </c>
      <c r="I1140" s="73">
        <v>10</v>
      </c>
      <c r="J1140" s="73">
        <f>Table224[[#This Row],[Qty]]-Table224[[#This Row],[Issue Qty]]</f>
        <v>50</v>
      </c>
      <c r="K1140" s="73"/>
      <c r="L1140" s="195" t="s">
        <v>3514</v>
      </c>
      <c r="M1140" s="93">
        <v>45.084667000000003</v>
      </c>
      <c r="N1140" s="10">
        <f t="shared" si="59"/>
        <v>2705.0800200000003</v>
      </c>
      <c r="O1140" s="82">
        <v>0.18</v>
      </c>
      <c r="P1140" s="9">
        <f t="shared" si="62"/>
        <v>486.91440360000001</v>
      </c>
      <c r="Q1140" s="214"/>
      <c r="R1140" s="214"/>
      <c r="S1140" s="10">
        <f t="shared" si="61"/>
        <v>3191.9944236000001</v>
      </c>
      <c r="T1140" s="3" t="s">
        <v>2887</v>
      </c>
      <c r="U1140" s="3" t="s">
        <v>1408</v>
      </c>
      <c r="V1140" s="89" t="s">
        <v>634</v>
      </c>
      <c r="W1140" s="89" t="s">
        <v>3158</v>
      </c>
      <c r="X1140" s="89">
        <v>85444999</v>
      </c>
      <c r="Y1140" s="190"/>
      <c r="Z1140" s="21" t="s">
        <v>1345</v>
      </c>
      <c r="AA1140" s="21"/>
      <c r="AB1140" s="96"/>
      <c r="AC1140" s="97"/>
      <c r="AD1140" s="211"/>
      <c r="AE1140" s="211"/>
      <c r="AF1140" s="211"/>
      <c r="AG1140" s="211"/>
    </row>
    <row r="1141" spans="1:33" s="206" customFormat="1" x14ac:dyDescent="0.25">
      <c r="A1141" s="91">
        <v>46167</v>
      </c>
      <c r="B1141" s="91">
        <v>46172</v>
      </c>
      <c r="C1141" s="112" t="s">
        <v>1683</v>
      </c>
      <c r="D1141" s="224" t="s">
        <v>3493</v>
      </c>
      <c r="E1141" s="89" t="s">
        <v>3093</v>
      </c>
      <c r="F1141" s="103" t="s">
        <v>3139</v>
      </c>
      <c r="G1141" s="89" t="s">
        <v>3139</v>
      </c>
      <c r="H1141" s="92">
        <v>30</v>
      </c>
      <c r="I1141" s="73"/>
      <c r="J1141" s="73">
        <f>Table224[[#This Row],[Qty]]-Table224[[#This Row],[Issue Qty]]</f>
        <v>30</v>
      </c>
      <c r="K1141" s="73"/>
      <c r="L1141" s="195" t="s">
        <v>3514</v>
      </c>
      <c r="M1141" s="93">
        <v>38.889667000000003</v>
      </c>
      <c r="N1141" s="10">
        <f t="shared" si="59"/>
        <v>1166.69001</v>
      </c>
      <c r="O1141" s="82">
        <v>0.18</v>
      </c>
      <c r="P1141" s="9">
        <f t="shared" si="62"/>
        <v>210.0042018</v>
      </c>
      <c r="Q1141" s="141">
        <v>300</v>
      </c>
      <c r="R1141" s="214"/>
      <c r="S1141" s="10">
        <f t="shared" si="61"/>
        <v>1676.6942117999999</v>
      </c>
      <c r="T1141" s="3" t="s">
        <v>1408</v>
      </c>
      <c r="U1141" s="3" t="s">
        <v>1408</v>
      </c>
      <c r="V1141" s="89" t="s">
        <v>634</v>
      </c>
      <c r="W1141" s="89" t="s">
        <v>3158</v>
      </c>
      <c r="X1141" s="89">
        <v>85444999</v>
      </c>
      <c r="Y1141" s="190"/>
      <c r="Z1141" s="21" t="s">
        <v>1345</v>
      </c>
      <c r="AA1141" s="21"/>
      <c r="AB1141" s="96"/>
      <c r="AC1141" s="97"/>
      <c r="AD1141" s="211"/>
      <c r="AE1141" s="211"/>
      <c r="AF1141" s="211"/>
      <c r="AG1141" s="211"/>
    </row>
    <row r="1142" spans="1:33" s="206" customFormat="1" x14ac:dyDescent="0.25">
      <c r="A1142" s="91">
        <v>46167</v>
      </c>
      <c r="B1142" s="91">
        <v>46172</v>
      </c>
      <c r="C1142" s="112" t="s">
        <v>1683</v>
      </c>
      <c r="D1142" s="224" t="s">
        <v>3493</v>
      </c>
      <c r="E1142" s="89" t="s">
        <v>2549</v>
      </c>
      <c r="F1142" s="103" t="s">
        <v>1453</v>
      </c>
      <c r="G1142" s="89" t="s">
        <v>1453</v>
      </c>
      <c r="H1142" s="92">
        <v>60</v>
      </c>
      <c r="I1142" s="73"/>
      <c r="J1142" s="73">
        <f>Table224[[#This Row],[Qty]]-Table224[[#This Row],[Issue Qty]]</f>
        <v>60</v>
      </c>
      <c r="K1142" s="73"/>
      <c r="L1142" s="195" t="s">
        <v>3514</v>
      </c>
      <c r="M1142" s="93">
        <v>16.838999999999999</v>
      </c>
      <c r="N1142" s="10">
        <f t="shared" si="59"/>
        <v>1010.3399999999999</v>
      </c>
      <c r="O1142" s="82">
        <v>0.18</v>
      </c>
      <c r="P1142" s="9">
        <f t="shared" si="62"/>
        <v>181.86119999999997</v>
      </c>
      <c r="Q1142" s="214"/>
      <c r="R1142" s="214"/>
      <c r="S1142" s="10">
        <f t="shared" si="61"/>
        <v>1192.2012</v>
      </c>
      <c r="T1142" s="3" t="s">
        <v>1408</v>
      </c>
      <c r="U1142" s="3" t="s">
        <v>1408</v>
      </c>
      <c r="V1142" s="89" t="s">
        <v>634</v>
      </c>
      <c r="W1142" s="89" t="s">
        <v>3158</v>
      </c>
      <c r="X1142" s="89">
        <v>85444999</v>
      </c>
      <c r="Y1142" s="190"/>
      <c r="Z1142" s="21" t="s">
        <v>1345</v>
      </c>
      <c r="AA1142" s="21"/>
      <c r="AB1142" s="96"/>
      <c r="AC1142" s="97"/>
      <c r="AD1142" s="211"/>
      <c r="AE1142" s="211"/>
      <c r="AF1142" s="211"/>
      <c r="AG1142" s="211"/>
    </row>
    <row r="1143" spans="1:33" s="206" customFormat="1" x14ac:dyDescent="0.25">
      <c r="A1143" s="91">
        <v>46167</v>
      </c>
      <c r="B1143" s="91">
        <v>46172</v>
      </c>
      <c r="C1143" s="112" t="s">
        <v>1683</v>
      </c>
      <c r="D1143" s="224" t="s">
        <v>3493</v>
      </c>
      <c r="E1143" s="89" t="s">
        <v>2550</v>
      </c>
      <c r="F1143" s="102" t="s">
        <v>1455</v>
      </c>
      <c r="G1143" s="89" t="s">
        <v>1455</v>
      </c>
      <c r="H1143" s="92">
        <v>60</v>
      </c>
      <c r="I1143" s="73"/>
      <c r="J1143" s="73">
        <f>Table224[[#This Row],[Qty]]-Table224[[#This Row],[Issue Qty]]</f>
        <v>60</v>
      </c>
      <c r="K1143" s="73"/>
      <c r="L1143" s="195" t="s">
        <v>3514</v>
      </c>
      <c r="M1143" s="93">
        <v>19.093167000000001</v>
      </c>
      <c r="N1143" s="10">
        <f t="shared" si="59"/>
        <v>1145.5900200000001</v>
      </c>
      <c r="O1143" s="82">
        <v>0.18</v>
      </c>
      <c r="P1143" s="9">
        <f t="shared" si="62"/>
        <v>206.20620360000001</v>
      </c>
      <c r="Q1143" s="214"/>
      <c r="R1143" s="214"/>
      <c r="S1143" s="10">
        <f t="shared" si="61"/>
        <v>1351.7962236000001</v>
      </c>
      <c r="T1143" s="3" t="s">
        <v>1408</v>
      </c>
      <c r="U1143" s="3" t="s">
        <v>1408</v>
      </c>
      <c r="V1143" s="89" t="s">
        <v>634</v>
      </c>
      <c r="W1143" s="89" t="s">
        <v>3158</v>
      </c>
      <c r="X1143" s="89">
        <v>85444999</v>
      </c>
      <c r="Y1143" s="190"/>
      <c r="Z1143" s="21" t="s">
        <v>1345</v>
      </c>
      <c r="AA1143" s="21"/>
      <c r="AB1143" s="96"/>
      <c r="AC1143" s="97"/>
      <c r="AD1143" s="211"/>
      <c r="AE1143" s="211"/>
      <c r="AF1143" s="211"/>
      <c r="AG1143" s="211"/>
    </row>
    <row r="1144" spans="1:33" s="206" customFormat="1" x14ac:dyDescent="0.25">
      <c r="A1144" s="91">
        <v>46167</v>
      </c>
      <c r="B1144" s="91">
        <v>46172</v>
      </c>
      <c r="C1144" s="112" t="s">
        <v>1683</v>
      </c>
      <c r="D1144" s="224" t="s">
        <v>3493</v>
      </c>
      <c r="E1144" s="89" t="s">
        <v>3090</v>
      </c>
      <c r="F1144" s="103" t="s">
        <v>3136</v>
      </c>
      <c r="G1144" s="89" t="s">
        <v>3136</v>
      </c>
      <c r="H1144" s="92">
        <v>60</v>
      </c>
      <c r="I1144" s="73">
        <v>10</v>
      </c>
      <c r="J1144" s="73">
        <f>Table224[[#This Row],[Qty]]-Table224[[#This Row],[Issue Qty]]</f>
        <v>50</v>
      </c>
      <c r="K1144" s="73"/>
      <c r="L1144" s="195" t="s">
        <v>3514</v>
      </c>
      <c r="M1144" s="93">
        <v>13.559333000000001</v>
      </c>
      <c r="N1144" s="10">
        <f t="shared" si="59"/>
        <v>813.55998</v>
      </c>
      <c r="O1144" s="82">
        <v>0.18</v>
      </c>
      <c r="P1144" s="9">
        <f t="shared" si="62"/>
        <v>146.44079639999998</v>
      </c>
      <c r="Q1144" s="214"/>
      <c r="R1144" s="214"/>
      <c r="S1144" s="10">
        <f t="shared" si="61"/>
        <v>960.00077639999995</v>
      </c>
      <c r="T1144" s="3" t="s">
        <v>1408</v>
      </c>
      <c r="U1144" s="3" t="s">
        <v>1408</v>
      </c>
      <c r="V1144" s="89" t="s">
        <v>634</v>
      </c>
      <c r="W1144" s="89" t="s">
        <v>3158</v>
      </c>
      <c r="X1144" s="89">
        <v>85444999</v>
      </c>
      <c r="Y1144" s="190"/>
      <c r="Z1144" s="21" t="s">
        <v>1345</v>
      </c>
      <c r="AA1144" s="21"/>
      <c r="AB1144" s="96">
        <v>10</v>
      </c>
      <c r="AC1144" s="97" t="s">
        <v>3373</v>
      </c>
      <c r="AD1144" s="211"/>
      <c r="AE1144" s="211"/>
      <c r="AF1144" s="211"/>
      <c r="AG1144" s="211"/>
    </row>
    <row r="1145" spans="1:33" s="206" customFormat="1" x14ac:dyDescent="0.25">
      <c r="A1145" s="91">
        <v>46167</v>
      </c>
      <c r="B1145" s="91">
        <v>46172</v>
      </c>
      <c r="C1145" s="112" t="s">
        <v>1683</v>
      </c>
      <c r="D1145" s="224" t="s">
        <v>3493</v>
      </c>
      <c r="E1145" s="89" t="s">
        <v>2552</v>
      </c>
      <c r="F1145" s="103" t="s">
        <v>1459</v>
      </c>
      <c r="G1145" s="89" t="s">
        <v>1459</v>
      </c>
      <c r="H1145" s="92">
        <v>60</v>
      </c>
      <c r="I1145" s="73">
        <v>10</v>
      </c>
      <c r="J1145" s="73">
        <f>Table224[[#This Row],[Qty]]-Table224[[#This Row],[Issue Qty]]</f>
        <v>50</v>
      </c>
      <c r="K1145" s="73"/>
      <c r="L1145" s="195" t="s">
        <v>3514</v>
      </c>
      <c r="M1145" s="93">
        <v>13.516999999999999</v>
      </c>
      <c r="N1145" s="10">
        <f t="shared" si="59"/>
        <v>811.02</v>
      </c>
      <c r="O1145" s="82">
        <v>0.18</v>
      </c>
      <c r="P1145" s="9">
        <f t="shared" si="62"/>
        <v>145.9836</v>
      </c>
      <c r="Q1145" s="214"/>
      <c r="R1145" s="214"/>
      <c r="S1145" s="10">
        <f t="shared" si="61"/>
        <v>957.00360000000001</v>
      </c>
      <c r="T1145" s="3" t="s">
        <v>1408</v>
      </c>
      <c r="U1145" s="3" t="s">
        <v>1408</v>
      </c>
      <c r="V1145" s="89" t="s">
        <v>634</v>
      </c>
      <c r="W1145" s="89" t="s">
        <v>3158</v>
      </c>
      <c r="X1145" s="89">
        <v>85444999</v>
      </c>
      <c r="Y1145" s="190"/>
      <c r="Z1145" s="21" t="s">
        <v>1345</v>
      </c>
      <c r="AA1145" s="21"/>
      <c r="AB1145" s="96">
        <v>10</v>
      </c>
      <c r="AC1145" s="97" t="s">
        <v>3373</v>
      </c>
      <c r="AD1145" s="211"/>
      <c r="AE1145" s="211"/>
      <c r="AF1145" s="211"/>
      <c r="AG1145" s="211"/>
    </row>
    <row r="1146" spans="1:33" s="206" customFormat="1" x14ac:dyDescent="0.25">
      <c r="A1146" s="91">
        <v>46167</v>
      </c>
      <c r="B1146" s="91">
        <v>46172</v>
      </c>
      <c r="C1146" s="112" t="s">
        <v>1683</v>
      </c>
      <c r="D1146" s="224" t="s">
        <v>3493</v>
      </c>
      <c r="E1146" s="89" t="s">
        <v>3092</v>
      </c>
      <c r="F1146" s="318" t="s">
        <v>3138</v>
      </c>
      <c r="G1146" s="103" t="s">
        <v>3138</v>
      </c>
      <c r="H1146" s="92">
        <v>14</v>
      </c>
      <c r="I1146" s="73">
        <v>12</v>
      </c>
      <c r="J1146" s="73">
        <f>Table224[[#This Row],[Qty]]-Table224[[#This Row],[Issue Qty]]</f>
        <v>2</v>
      </c>
      <c r="K1146" s="73"/>
      <c r="L1146" s="195" t="s">
        <v>3514</v>
      </c>
      <c r="M1146" s="93">
        <v>9.5426669999999998</v>
      </c>
      <c r="N1146" s="10">
        <f t="shared" si="59"/>
        <v>133.59733800000001</v>
      </c>
      <c r="O1146" s="82">
        <v>0.18</v>
      </c>
      <c r="P1146" s="9">
        <f t="shared" si="62"/>
        <v>24.047520840000001</v>
      </c>
      <c r="Q1146" s="214"/>
      <c r="R1146" s="214"/>
      <c r="S1146" s="10">
        <f t="shared" si="61"/>
        <v>157.64485884000001</v>
      </c>
      <c r="T1146" s="3" t="s">
        <v>2887</v>
      </c>
      <c r="U1146" s="3" t="s">
        <v>1408</v>
      </c>
      <c r="V1146" s="89" t="s">
        <v>634</v>
      </c>
      <c r="W1146" s="89" t="s">
        <v>3158</v>
      </c>
      <c r="X1146" s="89">
        <v>85444999</v>
      </c>
      <c r="Y1146" s="190"/>
      <c r="Z1146" s="21" t="s">
        <v>1345</v>
      </c>
      <c r="AA1146" s="21"/>
      <c r="AB1146" s="96">
        <v>12</v>
      </c>
      <c r="AC1146" s="97" t="s">
        <v>3624</v>
      </c>
      <c r="AD1146" s="211"/>
      <c r="AE1146" s="211"/>
      <c r="AF1146" s="211"/>
      <c r="AG1146" s="211"/>
    </row>
    <row r="1147" spans="1:33" s="206" customFormat="1" x14ac:dyDescent="0.25">
      <c r="A1147" s="91">
        <v>46167</v>
      </c>
      <c r="B1147" s="91">
        <v>46172</v>
      </c>
      <c r="C1147" s="112" t="s">
        <v>1683</v>
      </c>
      <c r="D1147" s="224" t="s">
        <v>3493</v>
      </c>
      <c r="E1147" s="89" t="s">
        <v>3091</v>
      </c>
      <c r="F1147" s="318" t="s">
        <v>3137</v>
      </c>
      <c r="G1147" s="103" t="s">
        <v>3137</v>
      </c>
      <c r="H1147" s="92">
        <v>14</v>
      </c>
      <c r="I1147" s="73">
        <v>12</v>
      </c>
      <c r="J1147" s="73">
        <f>Table224[[#This Row],[Qty]]-Table224[[#This Row],[Issue Qty]]</f>
        <v>2</v>
      </c>
      <c r="K1147" s="73"/>
      <c r="L1147" s="195" t="s">
        <v>3514</v>
      </c>
      <c r="M1147" s="93">
        <v>9.5426669999999998</v>
      </c>
      <c r="N1147" s="10">
        <f t="shared" si="59"/>
        <v>133.59733800000001</v>
      </c>
      <c r="O1147" s="82">
        <v>0.18</v>
      </c>
      <c r="P1147" s="9">
        <f t="shared" si="62"/>
        <v>24.047520840000001</v>
      </c>
      <c r="Q1147" s="214"/>
      <c r="R1147" s="214"/>
      <c r="S1147" s="10">
        <f t="shared" si="61"/>
        <v>157.64485884000001</v>
      </c>
      <c r="T1147" s="3" t="s">
        <v>2887</v>
      </c>
      <c r="U1147" s="3" t="s">
        <v>1408</v>
      </c>
      <c r="V1147" s="89" t="s">
        <v>634</v>
      </c>
      <c r="W1147" s="89" t="s">
        <v>3158</v>
      </c>
      <c r="X1147" s="89">
        <v>85444999</v>
      </c>
      <c r="Y1147" s="190"/>
      <c r="Z1147" s="21" t="s">
        <v>1345</v>
      </c>
      <c r="AA1147" s="21"/>
      <c r="AB1147" s="96">
        <v>12</v>
      </c>
      <c r="AC1147" s="97" t="s">
        <v>3624</v>
      </c>
      <c r="AD1147" s="211"/>
      <c r="AE1147" s="211"/>
      <c r="AF1147" s="211"/>
      <c r="AG1147" s="211"/>
    </row>
    <row r="1148" spans="1:33" s="206" customFormat="1" ht="15" customHeight="1" x14ac:dyDescent="0.25">
      <c r="A1148" s="113">
        <v>46171</v>
      </c>
      <c r="B1148" s="113">
        <v>46175</v>
      </c>
      <c r="C1148" s="112" t="s">
        <v>1683</v>
      </c>
      <c r="D1148" s="224" t="s">
        <v>3493</v>
      </c>
      <c r="E1148" s="114" t="s">
        <v>2548</v>
      </c>
      <c r="F1148" s="319" t="s">
        <v>1451</v>
      </c>
      <c r="G1148" s="114" t="s">
        <v>1451</v>
      </c>
      <c r="H1148" s="115">
        <v>50</v>
      </c>
      <c r="I1148" s="73">
        <v>20</v>
      </c>
      <c r="J1148" s="73">
        <f>Table224[[#This Row],[Qty]]-Table224[[#This Row],[Issue Qty]]</f>
        <v>30</v>
      </c>
      <c r="K1148" s="73"/>
      <c r="L1148" s="195" t="s">
        <v>3514</v>
      </c>
      <c r="M1148" s="116">
        <v>41</v>
      </c>
      <c r="N1148" s="10">
        <f t="shared" si="59"/>
        <v>2050</v>
      </c>
      <c r="O1148" s="82">
        <v>0.18</v>
      </c>
      <c r="P1148" s="118">
        <f t="shared" si="62"/>
        <v>369</v>
      </c>
      <c r="Q1148" s="135">
        <v>381</v>
      </c>
      <c r="R1148" s="215"/>
      <c r="S1148" s="10">
        <f t="shared" si="61"/>
        <v>2800</v>
      </c>
      <c r="T1148" s="3" t="s">
        <v>2887</v>
      </c>
      <c r="U1148" s="3" t="s">
        <v>1408</v>
      </c>
      <c r="V1148" s="114" t="s">
        <v>746</v>
      </c>
      <c r="W1148" s="114">
        <v>13433</v>
      </c>
      <c r="X1148" s="114"/>
      <c r="Y1148" s="211"/>
      <c r="Z1148" s="21" t="s">
        <v>1345</v>
      </c>
      <c r="AA1148" s="21"/>
      <c r="AB1148" s="121"/>
      <c r="AC1148" s="123" t="s">
        <v>3374</v>
      </c>
      <c r="AD1148" s="211"/>
      <c r="AE1148" s="211"/>
      <c r="AF1148" s="211"/>
      <c r="AG1148" s="211"/>
    </row>
    <row r="1149" spans="1:33" s="206" customFormat="1" ht="15" customHeight="1" x14ac:dyDescent="0.25">
      <c r="A1149" s="113">
        <v>46176</v>
      </c>
      <c r="B1149" s="113">
        <v>46176</v>
      </c>
      <c r="C1149" s="6" t="s">
        <v>1730</v>
      </c>
      <c r="D1149" s="224" t="s">
        <v>3664</v>
      </c>
      <c r="E1149" s="114" t="s">
        <v>3205</v>
      </c>
      <c r="F1149" s="237" t="s">
        <v>3206</v>
      </c>
      <c r="G1149" s="114" t="s">
        <v>3206</v>
      </c>
      <c r="H1149" s="115">
        <v>100</v>
      </c>
      <c r="I1149" s="73">
        <v>100</v>
      </c>
      <c r="J1149" s="73">
        <f>Table224[[#This Row],[Qty]]-Table224[[#This Row],[Issue Qty]]</f>
        <v>0</v>
      </c>
      <c r="K1149" s="73"/>
      <c r="L1149" s="73" t="s">
        <v>3480</v>
      </c>
      <c r="M1149" s="116">
        <v>1.2</v>
      </c>
      <c r="N1149" s="10">
        <f t="shared" si="59"/>
        <v>120</v>
      </c>
      <c r="O1149" s="82">
        <v>0.18</v>
      </c>
      <c r="P1149" s="118">
        <f t="shared" si="62"/>
        <v>21.599999999999998</v>
      </c>
      <c r="Q1149" s="135"/>
      <c r="R1149" s="161"/>
      <c r="S1149" s="116">
        <f t="shared" si="61"/>
        <v>141.6</v>
      </c>
      <c r="T1149" s="3" t="s">
        <v>1408</v>
      </c>
      <c r="U1149" s="3" t="s">
        <v>1408</v>
      </c>
      <c r="V1149" s="114" t="s">
        <v>1626</v>
      </c>
      <c r="W1149" s="114" t="s">
        <v>3207</v>
      </c>
      <c r="X1149" s="114">
        <v>731811</v>
      </c>
      <c r="Y1149" s="211"/>
      <c r="Z1149" s="21" t="s">
        <v>3204</v>
      </c>
      <c r="AA1149" s="21"/>
      <c r="AB1149" s="121">
        <v>100</v>
      </c>
      <c r="AC1149" s="123" t="s">
        <v>3304</v>
      </c>
      <c r="AD1149" s="211"/>
      <c r="AE1149" s="121"/>
      <c r="AF1149" s="121"/>
      <c r="AG1149" s="211"/>
    </row>
    <row r="1150" spans="1:33" s="206" customFormat="1" ht="15" customHeight="1" x14ac:dyDescent="0.25">
      <c r="A1150" s="113">
        <v>46177</v>
      </c>
      <c r="B1150" s="113">
        <v>46177</v>
      </c>
      <c r="C1150" s="6" t="s">
        <v>54</v>
      </c>
      <c r="D1150" s="224" t="s">
        <v>3489</v>
      </c>
      <c r="E1150" s="114" t="s">
        <v>3208</v>
      </c>
      <c r="F1150" s="283" t="s">
        <v>3209</v>
      </c>
      <c r="G1150" s="114" t="s">
        <v>3209</v>
      </c>
      <c r="H1150" s="115">
        <v>3</v>
      </c>
      <c r="I1150" s="73">
        <v>3</v>
      </c>
      <c r="J1150" s="73">
        <f>Table224[[#This Row],[Qty]]-Table224[[#This Row],[Issue Qty]]</f>
        <v>0</v>
      </c>
      <c r="K1150" s="336">
        <v>3</v>
      </c>
      <c r="L1150" s="195" t="s">
        <v>3480</v>
      </c>
      <c r="M1150" s="116">
        <v>9500</v>
      </c>
      <c r="N1150" s="10">
        <f t="shared" si="59"/>
        <v>28500</v>
      </c>
      <c r="O1150" s="82">
        <v>0.18</v>
      </c>
      <c r="P1150" s="118">
        <f t="shared" si="62"/>
        <v>5130</v>
      </c>
      <c r="Q1150" s="135"/>
      <c r="R1150" s="161"/>
      <c r="S1150" s="116">
        <f t="shared" si="61"/>
        <v>33630</v>
      </c>
      <c r="T1150" s="1" t="s">
        <v>2887</v>
      </c>
      <c r="U1150" s="3" t="s">
        <v>2816</v>
      </c>
      <c r="V1150" s="114" t="s">
        <v>2990</v>
      </c>
      <c r="W1150" s="114">
        <v>29</v>
      </c>
      <c r="X1150" s="114"/>
      <c r="Y1150" s="211"/>
      <c r="Z1150" s="21" t="s">
        <v>268</v>
      </c>
      <c r="AA1150" s="21" t="s">
        <v>3183</v>
      </c>
      <c r="AB1150" s="121">
        <v>3</v>
      </c>
      <c r="AC1150" s="123" t="s">
        <v>3247</v>
      </c>
      <c r="AD1150" s="211"/>
      <c r="AE1150" s="21"/>
      <c r="AF1150" s="21"/>
      <c r="AG1150" s="211"/>
    </row>
    <row r="1151" spans="1:33" s="206" customFormat="1" ht="15" customHeight="1" x14ac:dyDescent="0.25">
      <c r="A1151" s="113">
        <v>46177</v>
      </c>
      <c r="B1151" s="113">
        <v>46177</v>
      </c>
      <c r="C1151" s="112" t="s">
        <v>54</v>
      </c>
      <c r="D1151" s="224" t="s">
        <v>3489</v>
      </c>
      <c r="E1151" s="114" t="s">
        <v>3208</v>
      </c>
      <c r="F1151" s="283" t="s">
        <v>3209</v>
      </c>
      <c r="G1151" s="114" t="s">
        <v>3209</v>
      </c>
      <c r="H1151" s="115">
        <v>1</v>
      </c>
      <c r="I1151" s="92">
        <v>1</v>
      </c>
      <c r="J1151" s="115">
        <f>Table224[[#This Row],[Qty]]-Table224[[#This Row],[Issue Qty]]</f>
        <v>0</v>
      </c>
      <c r="K1151" s="332">
        <v>1</v>
      </c>
      <c r="L1151" s="195" t="s">
        <v>3480</v>
      </c>
      <c r="M1151" s="116">
        <v>9500</v>
      </c>
      <c r="N1151" s="10">
        <f t="shared" si="59"/>
        <v>9500</v>
      </c>
      <c r="O1151" s="82">
        <v>0.18</v>
      </c>
      <c r="P1151" s="118">
        <f t="shared" si="62"/>
        <v>1710</v>
      </c>
      <c r="Q1151" s="135"/>
      <c r="R1151" s="161"/>
      <c r="S1151" s="116">
        <f t="shared" si="61"/>
        <v>11210</v>
      </c>
      <c r="T1151" s="1" t="s">
        <v>2887</v>
      </c>
      <c r="U1151" s="135" t="s">
        <v>2816</v>
      </c>
      <c r="V1151" s="114" t="s">
        <v>2990</v>
      </c>
      <c r="W1151" s="114">
        <v>28</v>
      </c>
      <c r="X1151" s="114"/>
      <c r="Y1151" s="211"/>
      <c r="Z1151" s="21" t="s">
        <v>268</v>
      </c>
      <c r="AA1151" s="21" t="s">
        <v>3183</v>
      </c>
      <c r="AB1151" s="121">
        <v>1</v>
      </c>
      <c r="AC1151" s="123" t="s">
        <v>3247</v>
      </c>
      <c r="AD1151" s="211"/>
      <c r="AE1151" s="21"/>
      <c r="AF1151" s="21"/>
      <c r="AG1151" s="211"/>
    </row>
    <row r="1152" spans="1:33" s="206" customFormat="1" ht="15" customHeight="1" x14ac:dyDescent="0.25">
      <c r="A1152" s="113">
        <v>46177</v>
      </c>
      <c r="B1152" s="113">
        <v>46177</v>
      </c>
      <c r="C1152" s="112" t="s">
        <v>54</v>
      </c>
      <c r="D1152" s="224" t="s">
        <v>3489</v>
      </c>
      <c r="E1152" s="114" t="s">
        <v>2983</v>
      </c>
      <c r="F1152" s="344" t="s">
        <v>2986</v>
      </c>
      <c r="G1152" s="114" t="s">
        <v>2986</v>
      </c>
      <c r="H1152" s="115">
        <v>11</v>
      </c>
      <c r="I1152" s="92">
        <v>11</v>
      </c>
      <c r="J1152" s="115">
        <f>Table224[[#This Row],[Qty]]-Table224[[#This Row],[Issue Qty]]</f>
        <v>0</v>
      </c>
      <c r="K1152" s="195"/>
      <c r="L1152" s="195" t="s">
        <v>3480</v>
      </c>
      <c r="M1152" s="116">
        <v>10500</v>
      </c>
      <c r="N1152" s="10">
        <f t="shared" si="59"/>
        <v>115500</v>
      </c>
      <c r="O1152" s="82">
        <v>0.18</v>
      </c>
      <c r="P1152" s="118">
        <f t="shared" si="62"/>
        <v>20790</v>
      </c>
      <c r="Q1152" s="135"/>
      <c r="R1152" s="161"/>
      <c r="S1152" s="116">
        <f t="shared" si="61"/>
        <v>136290</v>
      </c>
      <c r="T1152" s="1" t="s">
        <v>2887</v>
      </c>
      <c r="U1152" s="135" t="s">
        <v>2816</v>
      </c>
      <c r="V1152" s="114" t="s">
        <v>2990</v>
      </c>
      <c r="W1152" s="114">
        <v>29</v>
      </c>
      <c r="X1152" s="114"/>
      <c r="Y1152" s="211"/>
      <c r="Z1152" s="21" t="s">
        <v>2777</v>
      </c>
      <c r="AA1152" s="21"/>
      <c r="AB1152" s="121">
        <v>11</v>
      </c>
      <c r="AC1152" s="123" t="s">
        <v>3376</v>
      </c>
      <c r="AD1152" s="211"/>
      <c r="AE1152" s="21"/>
      <c r="AF1152" s="21"/>
      <c r="AG1152" s="211"/>
    </row>
    <row r="1153" spans="1:33" s="206" customFormat="1" ht="15" customHeight="1" x14ac:dyDescent="0.25">
      <c r="A1153" s="113">
        <v>46177</v>
      </c>
      <c r="B1153" s="113">
        <v>46177</v>
      </c>
      <c r="C1153" s="112" t="s">
        <v>54</v>
      </c>
      <c r="D1153" s="224" t="s">
        <v>3489</v>
      </c>
      <c r="E1153" s="114" t="s">
        <v>2983</v>
      </c>
      <c r="F1153" s="283" t="s">
        <v>2986</v>
      </c>
      <c r="G1153" s="114" t="s">
        <v>2986</v>
      </c>
      <c r="H1153" s="115">
        <v>1</v>
      </c>
      <c r="I1153" s="92">
        <v>1</v>
      </c>
      <c r="J1153" s="115">
        <f>Table224[[#This Row],[Qty]]-Table224[[#This Row],[Issue Qty]]</f>
        <v>0</v>
      </c>
      <c r="K1153" s="332">
        <v>1</v>
      </c>
      <c r="L1153" s="195" t="s">
        <v>3480</v>
      </c>
      <c r="M1153" s="116">
        <v>10500</v>
      </c>
      <c r="N1153" s="10">
        <f t="shared" si="59"/>
        <v>10500</v>
      </c>
      <c r="O1153" s="82">
        <v>0.18</v>
      </c>
      <c r="P1153" s="118">
        <f t="shared" si="62"/>
        <v>1890</v>
      </c>
      <c r="Q1153" s="135"/>
      <c r="R1153" s="161"/>
      <c r="S1153" s="116">
        <f t="shared" si="61"/>
        <v>12390</v>
      </c>
      <c r="T1153" s="1" t="s">
        <v>2887</v>
      </c>
      <c r="U1153" s="135" t="s">
        <v>2816</v>
      </c>
      <c r="V1153" s="114" t="s">
        <v>2990</v>
      </c>
      <c r="W1153" s="114">
        <v>28</v>
      </c>
      <c r="X1153" s="114"/>
      <c r="Y1153" s="211"/>
      <c r="Z1153" s="21" t="s">
        <v>2777</v>
      </c>
      <c r="AA1153" s="21"/>
      <c r="AB1153" s="157">
        <v>1</v>
      </c>
      <c r="AC1153" s="123" t="s">
        <v>3725</v>
      </c>
      <c r="AD1153" s="211"/>
      <c r="AE1153" s="21"/>
      <c r="AF1153" s="21"/>
      <c r="AG1153" s="211"/>
    </row>
    <row r="1154" spans="1:33" s="206" customFormat="1" ht="15" customHeight="1" x14ac:dyDescent="0.25">
      <c r="A1154" s="113">
        <v>46177</v>
      </c>
      <c r="B1154" s="113">
        <v>46177</v>
      </c>
      <c r="C1154" s="6" t="s">
        <v>54</v>
      </c>
      <c r="D1154" s="186" t="s">
        <v>3592</v>
      </c>
      <c r="E1154" s="114" t="s">
        <v>2985</v>
      </c>
      <c r="F1154" s="344" t="s">
        <v>3003</v>
      </c>
      <c r="G1154" s="114" t="s">
        <v>3003</v>
      </c>
      <c r="H1154" s="115">
        <v>8</v>
      </c>
      <c r="I1154" s="92">
        <v>6</v>
      </c>
      <c r="J1154" s="115">
        <f>Table224[[#This Row],[Qty]]-Table224[[#This Row],[Issue Qty]]</f>
        <v>2</v>
      </c>
      <c r="K1154" s="332"/>
      <c r="L1154" s="195" t="s">
        <v>3480</v>
      </c>
      <c r="M1154" s="116">
        <v>1200</v>
      </c>
      <c r="N1154" s="10">
        <f t="shared" si="59"/>
        <v>9600</v>
      </c>
      <c r="O1154" s="82">
        <v>0.18</v>
      </c>
      <c r="P1154" s="118">
        <f t="shared" si="62"/>
        <v>1728</v>
      </c>
      <c r="Q1154" s="135"/>
      <c r="R1154" s="161"/>
      <c r="S1154" s="116">
        <f t="shared" si="61"/>
        <v>11328</v>
      </c>
      <c r="T1154" s="1" t="s">
        <v>2887</v>
      </c>
      <c r="U1154" s="135" t="s">
        <v>2816</v>
      </c>
      <c r="V1154" s="114" t="s">
        <v>2990</v>
      </c>
      <c r="W1154" s="114">
        <v>28</v>
      </c>
      <c r="X1154" s="114"/>
      <c r="Y1154" s="211"/>
      <c r="Z1154" s="21" t="s">
        <v>268</v>
      </c>
      <c r="AA1154" s="21"/>
      <c r="AB1154" s="121">
        <v>6</v>
      </c>
      <c r="AC1154" s="123" t="s">
        <v>3873</v>
      </c>
      <c r="AD1154" s="211"/>
      <c r="AE1154" s="21"/>
      <c r="AF1154" s="21"/>
      <c r="AG1154" s="211"/>
    </row>
    <row r="1155" spans="1:33" s="206" customFormat="1" ht="15" customHeight="1" x14ac:dyDescent="0.25">
      <c r="A1155" s="113">
        <v>46172</v>
      </c>
      <c r="B1155" s="113">
        <v>46177</v>
      </c>
      <c r="C1155" s="6" t="s">
        <v>1730</v>
      </c>
      <c r="D1155" s="224" t="s">
        <v>3664</v>
      </c>
      <c r="E1155" s="114" t="s">
        <v>3201</v>
      </c>
      <c r="F1155" s="237" t="s">
        <v>3202</v>
      </c>
      <c r="G1155" s="114" t="s">
        <v>3202</v>
      </c>
      <c r="H1155" s="115">
        <v>100</v>
      </c>
      <c r="I1155" s="73">
        <v>100</v>
      </c>
      <c r="J1155" s="73">
        <f>Table224[[#This Row],[Qty]]-Table224[[#This Row],[Issue Qty]]</f>
        <v>0</v>
      </c>
      <c r="K1155" s="73"/>
      <c r="L1155" s="73" t="s">
        <v>3480</v>
      </c>
      <c r="M1155" s="116">
        <v>1.4</v>
      </c>
      <c r="N1155" s="10">
        <f t="shared" si="59"/>
        <v>140</v>
      </c>
      <c r="O1155" s="82">
        <v>0.18</v>
      </c>
      <c r="P1155" s="118">
        <f t="shared" si="62"/>
        <v>25.2</v>
      </c>
      <c r="Q1155" s="135">
        <v>60</v>
      </c>
      <c r="R1155" s="161"/>
      <c r="S1155" s="116">
        <f t="shared" si="61"/>
        <v>225.2</v>
      </c>
      <c r="T1155" s="3" t="s">
        <v>1408</v>
      </c>
      <c r="U1155" s="135" t="s">
        <v>1408</v>
      </c>
      <c r="V1155" s="114" t="s">
        <v>1626</v>
      </c>
      <c r="W1155" s="114" t="s">
        <v>3203</v>
      </c>
      <c r="X1155" s="114">
        <v>731811</v>
      </c>
      <c r="Y1155" s="211"/>
      <c r="Z1155" s="21" t="s">
        <v>3204</v>
      </c>
      <c r="AA1155" s="21"/>
      <c r="AB1155" s="121">
        <v>100</v>
      </c>
      <c r="AC1155" s="97" t="s">
        <v>3304</v>
      </c>
      <c r="AD1155" s="211"/>
      <c r="AE1155" s="26"/>
      <c r="AF1155" s="26"/>
      <c r="AG1155" s="211"/>
    </row>
    <row r="1156" spans="1:33" s="206" customFormat="1" ht="15" customHeight="1" x14ac:dyDescent="0.25">
      <c r="A1156" s="113">
        <v>46177</v>
      </c>
      <c r="B1156" s="113">
        <v>46177</v>
      </c>
      <c r="C1156" s="6" t="s">
        <v>54</v>
      </c>
      <c r="D1156" s="186" t="s">
        <v>3592</v>
      </c>
      <c r="E1156" s="114" t="s">
        <v>3036</v>
      </c>
      <c r="F1156" s="344" t="s">
        <v>3002</v>
      </c>
      <c r="G1156" s="114" t="s">
        <v>3002</v>
      </c>
      <c r="H1156" s="115">
        <v>8</v>
      </c>
      <c r="I1156" s="73">
        <v>6</v>
      </c>
      <c r="J1156" s="73">
        <f>Table224[[#This Row],[Qty]]-Table224[[#This Row],[Issue Qty]]</f>
        <v>2</v>
      </c>
      <c r="K1156" s="336"/>
      <c r="L1156" s="195" t="s">
        <v>3480</v>
      </c>
      <c r="M1156" s="116">
        <v>1200</v>
      </c>
      <c r="N1156" s="10">
        <f t="shared" si="59"/>
        <v>9600</v>
      </c>
      <c r="O1156" s="82">
        <v>0.18</v>
      </c>
      <c r="P1156" s="118">
        <f t="shared" si="62"/>
        <v>1728</v>
      </c>
      <c r="Q1156" s="135"/>
      <c r="R1156" s="161"/>
      <c r="S1156" s="116">
        <f t="shared" si="61"/>
        <v>11328</v>
      </c>
      <c r="T1156" s="1" t="s">
        <v>2887</v>
      </c>
      <c r="U1156" s="135" t="s">
        <v>2816</v>
      </c>
      <c r="V1156" s="114" t="s">
        <v>2990</v>
      </c>
      <c r="W1156" s="114">
        <v>28</v>
      </c>
      <c r="X1156" s="114"/>
      <c r="Y1156" s="211"/>
      <c r="Z1156" s="21" t="s">
        <v>268</v>
      </c>
      <c r="AA1156" s="21"/>
      <c r="AB1156" s="121">
        <v>6</v>
      </c>
      <c r="AC1156" s="97" t="s">
        <v>3873</v>
      </c>
      <c r="AD1156" s="211"/>
      <c r="AE1156" s="21"/>
      <c r="AF1156" s="21"/>
      <c r="AG1156" s="211"/>
    </row>
    <row r="1157" spans="1:33" s="206" customFormat="1" ht="15" customHeight="1" x14ac:dyDescent="0.25">
      <c r="A1157" s="113">
        <v>46172</v>
      </c>
      <c r="B1157" s="113">
        <v>46178</v>
      </c>
      <c r="C1157" s="6" t="s">
        <v>1730</v>
      </c>
      <c r="D1157" s="224" t="s">
        <v>3495</v>
      </c>
      <c r="E1157" s="114" t="s">
        <v>3210</v>
      </c>
      <c r="F1157" s="237" t="s">
        <v>3211</v>
      </c>
      <c r="G1157" s="114" t="s">
        <v>3211</v>
      </c>
      <c r="H1157" s="115">
        <v>9</v>
      </c>
      <c r="I1157" s="73">
        <v>9</v>
      </c>
      <c r="J1157" s="73">
        <f>Table224[[#This Row],[Qty]]-Table224[[#This Row],[Issue Qty]]</f>
        <v>0</v>
      </c>
      <c r="K1157" s="73"/>
      <c r="L1157" s="73" t="s">
        <v>3480</v>
      </c>
      <c r="M1157" s="116">
        <v>253.39</v>
      </c>
      <c r="N1157" s="10">
        <f t="shared" si="59"/>
        <v>2280.5099999999998</v>
      </c>
      <c r="O1157" s="82">
        <v>0.18</v>
      </c>
      <c r="P1157" s="118">
        <f t="shared" si="62"/>
        <v>410.49179999999996</v>
      </c>
      <c r="Q1157" s="135"/>
      <c r="R1157" s="161"/>
      <c r="S1157" s="116">
        <f t="shared" si="61"/>
        <v>2691.0017999999995</v>
      </c>
      <c r="T1157" s="135" t="s">
        <v>3243</v>
      </c>
      <c r="U1157" s="135" t="s">
        <v>3243</v>
      </c>
      <c r="V1157" s="114" t="s">
        <v>384</v>
      </c>
      <c r="W1157" s="114" t="s">
        <v>3212</v>
      </c>
      <c r="X1157" s="114"/>
      <c r="Y1157" s="211"/>
      <c r="Z1157" s="21" t="s">
        <v>268</v>
      </c>
      <c r="AA1157" s="21"/>
      <c r="AB1157" s="121">
        <v>3</v>
      </c>
      <c r="AC1157" s="123" t="s">
        <v>2991</v>
      </c>
      <c r="AD1157" s="211"/>
      <c r="AE1157" s="21"/>
      <c r="AF1157" s="21"/>
      <c r="AG1157" s="211"/>
    </row>
    <row r="1158" spans="1:33" s="206" customFormat="1" ht="15" customHeight="1" x14ac:dyDescent="0.25">
      <c r="A1158" s="113"/>
      <c r="B1158" s="113">
        <v>46178</v>
      </c>
      <c r="C1158" s="6" t="s">
        <v>1688</v>
      </c>
      <c r="D1158" s="186" t="s">
        <v>3450</v>
      </c>
      <c r="E1158" s="114" t="s">
        <v>2414</v>
      </c>
      <c r="F1158" s="237" t="s">
        <v>1313</v>
      </c>
      <c r="G1158" s="114" t="s">
        <v>1313</v>
      </c>
      <c r="H1158" s="115">
        <v>2</v>
      </c>
      <c r="I1158" s="73"/>
      <c r="J1158" s="73">
        <f>Table224[[#This Row],[Qty]]-Table224[[#This Row],[Issue Qty]]</f>
        <v>2</v>
      </c>
      <c r="K1158" s="73"/>
      <c r="L1158" s="73" t="s">
        <v>3480</v>
      </c>
      <c r="M1158" s="116">
        <v>1150</v>
      </c>
      <c r="N1158" s="10">
        <f t="shared" si="59"/>
        <v>2300</v>
      </c>
      <c r="O1158" s="82">
        <v>0.18</v>
      </c>
      <c r="P1158" s="118">
        <f t="shared" si="62"/>
        <v>414</v>
      </c>
      <c r="Q1158" s="135"/>
      <c r="R1158" s="161"/>
      <c r="S1158" s="116">
        <f t="shared" si="61"/>
        <v>2714</v>
      </c>
      <c r="T1158" s="1" t="s">
        <v>2887</v>
      </c>
      <c r="U1158" s="135" t="s">
        <v>2816</v>
      </c>
      <c r="V1158" s="114" t="s">
        <v>1314</v>
      </c>
      <c r="W1158" s="114"/>
      <c r="X1158" s="114"/>
      <c r="Y1158" s="211"/>
      <c r="Z1158" s="21" t="s">
        <v>29</v>
      </c>
      <c r="AA1158" s="21"/>
      <c r="AB1158" s="121"/>
      <c r="AC1158" s="123"/>
      <c r="AD1158" s="211"/>
      <c r="AE1158" s="21"/>
      <c r="AF1158" s="21"/>
      <c r="AG1158" s="211"/>
    </row>
    <row r="1159" spans="1:33" s="206" customFormat="1" ht="15" customHeight="1" x14ac:dyDescent="0.25">
      <c r="A1159" s="113">
        <v>46179</v>
      </c>
      <c r="B1159" s="113">
        <v>46179</v>
      </c>
      <c r="C1159" s="6" t="s">
        <v>54</v>
      </c>
      <c r="D1159" s="224" t="s">
        <v>3489</v>
      </c>
      <c r="E1159" s="114" t="s">
        <v>3213</v>
      </c>
      <c r="F1159" s="237" t="s">
        <v>3214</v>
      </c>
      <c r="G1159" s="114" t="s">
        <v>3214</v>
      </c>
      <c r="H1159" s="115">
        <v>2</v>
      </c>
      <c r="I1159" s="73">
        <v>2</v>
      </c>
      <c r="J1159" s="73">
        <f>Table224[[#This Row],[Qty]]-Table224[[#This Row],[Issue Qty]]</f>
        <v>0</v>
      </c>
      <c r="K1159" s="73"/>
      <c r="L1159" s="73" t="s">
        <v>3480</v>
      </c>
      <c r="M1159" s="116">
        <v>3510</v>
      </c>
      <c r="N1159" s="10">
        <f t="shared" si="59"/>
        <v>7020</v>
      </c>
      <c r="O1159" s="82">
        <v>0.18</v>
      </c>
      <c r="P1159" s="118">
        <f t="shared" si="62"/>
        <v>1263.5999999999999</v>
      </c>
      <c r="Q1159" s="135"/>
      <c r="R1159" s="135">
        <v>0.4</v>
      </c>
      <c r="S1159" s="116">
        <f t="shared" si="61"/>
        <v>8284</v>
      </c>
      <c r="T1159" s="135" t="s">
        <v>3243</v>
      </c>
      <c r="U1159" s="135" t="s">
        <v>3243</v>
      </c>
      <c r="V1159" s="114" t="s">
        <v>3215</v>
      </c>
      <c r="W1159" s="114" t="s">
        <v>3216</v>
      </c>
      <c r="X1159" s="114"/>
      <c r="Y1159" s="211"/>
      <c r="Z1159" s="21" t="s">
        <v>268</v>
      </c>
      <c r="AA1159" s="21"/>
      <c r="AB1159" s="121">
        <v>2</v>
      </c>
      <c r="AC1159" s="123" t="s">
        <v>2991</v>
      </c>
      <c r="AD1159" s="211"/>
      <c r="AE1159" s="21"/>
      <c r="AF1159" s="21"/>
      <c r="AG1159" s="211"/>
    </row>
    <row r="1160" spans="1:33" s="206" customFormat="1" ht="15" customHeight="1" x14ac:dyDescent="0.25">
      <c r="A1160" s="113">
        <v>46178</v>
      </c>
      <c r="B1160" s="113">
        <v>46179</v>
      </c>
      <c r="C1160" s="6" t="s">
        <v>54</v>
      </c>
      <c r="D1160" s="186" t="s">
        <v>3430</v>
      </c>
      <c r="E1160" s="114" t="s">
        <v>3217</v>
      </c>
      <c r="F1160" s="319" t="s">
        <v>3474</v>
      </c>
      <c r="G1160" s="114" t="s">
        <v>3218</v>
      </c>
      <c r="H1160" s="115">
        <v>2</v>
      </c>
      <c r="I1160" s="73">
        <v>2</v>
      </c>
      <c r="J1160" s="73">
        <f>Table224[[#This Row],[Qty]]-Table224[[#This Row],[Issue Qty]]</f>
        <v>0</v>
      </c>
      <c r="K1160" s="73"/>
      <c r="L1160" s="73" t="s">
        <v>3479</v>
      </c>
      <c r="M1160" s="116">
        <v>5280.95</v>
      </c>
      <c r="N1160" s="10">
        <f t="shared" si="59"/>
        <v>10561.9</v>
      </c>
      <c r="O1160" s="82">
        <v>0.05</v>
      </c>
      <c r="P1160" s="118">
        <f t="shared" si="62"/>
        <v>528.09500000000003</v>
      </c>
      <c r="Q1160" s="135">
        <v>99</v>
      </c>
      <c r="R1160" s="161"/>
      <c r="S1160" s="116">
        <f t="shared" si="61"/>
        <v>11188.994999999999</v>
      </c>
      <c r="T1160" s="135" t="s">
        <v>3244</v>
      </c>
      <c r="U1160" s="135" t="s">
        <v>3244</v>
      </c>
      <c r="V1160" s="114" t="s">
        <v>634</v>
      </c>
      <c r="W1160" s="114" t="s">
        <v>3219</v>
      </c>
      <c r="X1160" s="114"/>
      <c r="Y1160" s="211"/>
      <c r="Z1160" s="21"/>
      <c r="AA1160" s="21"/>
      <c r="AB1160" s="121">
        <v>2</v>
      </c>
      <c r="AC1160" s="123" t="s">
        <v>3303</v>
      </c>
      <c r="AD1160" s="211"/>
      <c r="AE1160" s="21"/>
      <c r="AF1160" s="21"/>
      <c r="AG1160" s="211"/>
    </row>
    <row r="1161" spans="1:33" s="206" customFormat="1" ht="15" customHeight="1" x14ac:dyDescent="0.25">
      <c r="A1161" s="113">
        <v>46177</v>
      </c>
      <c r="B1161" s="113">
        <v>46182</v>
      </c>
      <c r="C1161" s="6" t="s">
        <v>1730</v>
      </c>
      <c r="D1161" s="224" t="s">
        <v>3590</v>
      </c>
      <c r="E1161" s="114" t="s">
        <v>3220</v>
      </c>
      <c r="F1161" s="319" t="s">
        <v>3221</v>
      </c>
      <c r="G1161" s="114" t="s">
        <v>3221</v>
      </c>
      <c r="H1161" s="115">
        <v>1</v>
      </c>
      <c r="I1161" s="73">
        <v>1</v>
      </c>
      <c r="J1161" s="73">
        <f>Table224[[#This Row],[Qty]]-Table224[[#This Row],[Issue Qty]]</f>
        <v>0</v>
      </c>
      <c r="K1161" s="73"/>
      <c r="L1161" s="73" t="s">
        <v>3480</v>
      </c>
      <c r="M1161" s="116">
        <v>9000</v>
      </c>
      <c r="N1161" s="10">
        <f t="shared" si="59"/>
        <v>9000</v>
      </c>
      <c r="O1161" s="82">
        <v>0.18</v>
      </c>
      <c r="P1161" s="118">
        <f t="shared" si="62"/>
        <v>1620</v>
      </c>
      <c r="Q1161" s="135">
        <v>1888</v>
      </c>
      <c r="R1161" s="161"/>
      <c r="S1161" s="116">
        <f t="shared" si="61"/>
        <v>12508</v>
      </c>
      <c r="T1161" s="135" t="s">
        <v>3244</v>
      </c>
      <c r="U1161" s="135" t="s">
        <v>3244</v>
      </c>
      <c r="V1161" s="114" t="s">
        <v>1210</v>
      </c>
      <c r="W1161" s="114" t="s">
        <v>3222</v>
      </c>
      <c r="X1161" s="114"/>
      <c r="Y1161" s="211"/>
      <c r="Z1161" s="21" t="s">
        <v>3179</v>
      </c>
      <c r="AA1161" s="21"/>
      <c r="AB1161" s="121">
        <v>1</v>
      </c>
      <c r="AC1161" s="123" t="s">
        <v>3303</v>
      </c>
      <c r="AD1161" s="211"/>
      <c r="AE1161" s="21"/>
      <c r="AF1161" s="21"/>
      <c r="AG1161" s="211"/>
    </row>
    <row r="1162" spans="1:33" s="206" customFormat="1" ht="15" customHeight="1" x14ac:dyDescent="0.25">
      <c r="A1162" s="113">
        <v>46186</v>
      </c>
      <c r="B1162" s="113">
        <v>46182</v>
      </c>
      <c r="C1162" s="6" t="s">
        <v>1730</v>
      </c>
      <c r="D1162" s="224" t="s">
        <v>3495</v>
      </c>
      <c r="E1162" s="114" t="s">
        <v>3223</v>
      </c>
      <c r="F1162" s="319" t="s">
        <v>3224</v>
      </c>
      <c r="G1162" s="114" t="s">
        <v>3224</v>
      </c>
      <c r="H1162" s="115">
        <v>600</v>
      </c>
      <c r="I1162" s="73">
        <v>150</v>
      </c>
      <c r="J1162" s="73">
        <f>Table224[[#This Row],[Qty]]-Table224[[#This Row],[Issue Qty]]</f>
        <v>450</v>
      </c>
      <c r="K1162" s="73"/>
      <c r="L1162" s="73" t="s">
        <v>3480</v>
      </c>
      <c r="M1162" s="116">
        <v>3.2</v>
      </c>
      <c r="N1162" s="10">
        <f t="shared" si="59"/>
        <v>1920</v>
      </c>
      <c r="O1162" s="82">
        <v>0.18</v>
      </c>
      <c r="P1162" s="118">
        <f t="shared" si="62"/>
        <v>345.59999999999997</v>
      </c>
      <c r="Q1162" s="135"/>
      <c r="R1162" s="161"/>
      <c r="S1162" s="116">
        <f t="shared" si="61"/>
        <v>2265.6</v>
      </c>
      <c r="T1162" s="135" t="s">
        <v>3245</v>
      </c>
      <c r="U1162" s="135" t="s">
        <v>3245</v>
      </c>
      <c r="V1162" s="114" t="s">
        <v>3009</v>
      </c>
      <c r="W1162" s="114" t="s">
        <v>3258</v>
      </c>
      <c r="X1162" s="114"/>
      <c r="Y1162" s="211"/>
      <c r="Z1162" s="21" t="s">
        <v>2993</v>
      </c>
      <c r="AA1162" s="21" t="s">
        <v>3183</v>
      </c>
      <c r="AB1162" s="121">
        <v>140</v>
      </c>
      <c r="AC1162" s="123" t="s">
        <v>3303</v>
      </c>
      <c r="AD1162" s="211"/>
      <c r="AE1162" s="21"/>
      <c r="AF1162" s="21"/>
      <c r="AG1162" s="211"/>
    </row>
    <row r="1163" spans="1:33" s="206" customFormat="1" ht="15" customHeight="1" x14ac:dyDescent="0.25">
      <c r="A1163" s="113">
        <v>46185</v>
      </c>
      <c r="B1163" s="113">
        <v>46182</v>
      </c>
      <c r="C1163" s="1" t="s">
        <v>1991</v>
      </c>
      <c r="D1163" s="186" t="s">
        <v>3571</v>
      </c>
      <c r="E1163" s="114" t="s">
        <v>2651</v>
      </c>
      <c r="F1163" s="319" t="s">
        <v>1553</v>
      </c>
      <c r="G1163" s="114" t="s">
        <v>1553</v>
      </c>
      <c r="H1163" s="115">
        <v>45</v>
      </c>
      <c r="I1163" s="69">
        <v>12</v>
      </c>
      <c r="J1163" s="69">
        <f>Table224[[#This Row],[Qty]]-Table224[[#This Row],[Issue Qty]]</f>
        <v>33</v>
      </c>
      <c r="K1163" s="69"/>
      <c r="L1163" s="69" t="s">
        <v>3480</v>
      </c>
      <c r="M1163" s="116">
        <v>840</v>
      </c>
      <c r="N1163" s="10">
        <f t="shared" si="59"/>
        <v>37800</v>
      </c>
      <c r="O1163" s="82">
        <v>0.05</v>
      </c>
      <c r="P1163" s="118">
        <f t="shared" si="62"/>
        <v>1890</v>
      </c>
      <c r="Q1163" s="116"/>
      <c r="R1163" s="274"/>
      <c r="S1163" s="116">
        <f t="shared" si="61"/>
        <v>39690</v>
      </c>
      <c r="T1163" s="135" t="s">
        <v>3244</v>
      </c>
      <c r="U1163" s="135" t="s">
        <v>3244</v>
      </c>
      <c r="V1163" s="114" t="s">
        <v>3009</v>
      </c>
      <c r="W1163" s="114" t="s">
        <v>3301</v>
      </c>
      <c r="X1163" s="114"/>
      <c r="Y1163" s="211"/>
      <c r="Z1163" s="21" t="s">
        <v>2808</v>
      </c>
      <c r="AA1163" s="21" t="s">
        <v>3183</v>
      </c>
      <c r="AB1163" s="69">
        <v>12</v>
      </c>
      <c r="AC1163" s="123" t="s">
        <v>3872</v>
      </c>
      <c r="AD1163" s="211"/>
      <c r="AE1163" s="330"/>
      <c r="AF1163" s="121"/>
      <c r="AG1163" s="211"/>
    </row>
    <row r="1164" spans="1:33" s="206" customFormat="1" ht="15" customHeight="1" x14ac:dyDescent="0.25">
      <c r="A1164" s="113">
        <v>46185</v>
      </c>
      <c r="B1164" s="113">
        <v>46182</v>
      </c>
      <c r="C1164" s="1" t="s">
        <v>1991</v>
      </c>
      <c r="D1164" s="186" t="s">
        <v>3571</v>
      </c>
      <c r="E1164" s="114" t="s">
        <v>2648</v>
      </c>
      <c r="F1164" s="319" t="s">
        <v>1550</v>
      </c>
      <c r="G1164" s="114" t="s">
        <v>1550</v>
      </c>
      <c r="H1164" s="115">
        <v>45</v>
      </c>
      <c r="I1164" s="69">
        <v>12</v>
      </c>
      <c r="J1164" s="69">
        <f>Table224[[#This Row],[Qty]]-Table224[[#This Row],[Issue Qty]]</f>
        <v>33</v>
      </c>
      <c r="K1164" s="69"/>
      <c r="L1164" s="69" t="s">
        <v>3480</v>
      </c>
      <c r="M1164" s="116">
        <v>840</v>
      </c>
      <c r="N1164" s="10">
        <f t="shared" si="59"/>
        <v>37800</v>
      </c>
      <c r="O1164" s="82">
        <v>0.05</v>
      </c>
      <c r="P1164" s="118">
        <f t="shared" si="62"/>
        <v>1890</v>
      </c>
      <c r="Q1164" s="116"/>
      <c r="R1164" s="274"/>
      <c r="S1164" s="116">
        <f t="shared" si="61"/>
        <v>39690</v>
      </c>
      <c r="T1164" s="135" t="s">
        <v>3244</v>
      </c>
      <c r="U1164" s="135" t="s">
        <v>3244</v>
      </c>
      <c r="V1164" s="114" t="s">
        <v>3009</v>
      </c>
      <c r="W1164" s="114" t="s">
        <v>3301</v>
      </c>
      <c r="X1164" s="114"/>
      <c r="Y1164" s="211"/>
      <c r="Z1164" s="21" t="s">
        <v>2808</v>
      </c>
      <c r="AA1164" s="21" t="s">
        <v>3183</v>
      </c>
      <c r="AB1164" s="69">
        <v>12</v>
      </c>
      <c r="AC1164" s="123" t="s">
        <v>3872</v>
      </c>
      <c r="AD1164" s="211"/>
      <c r="AE1164" s="330"/>
      <c r="AF1164" s="121"/>
      <c r="AG1164" s="211"/>
    </row>
    <row r="1165" spans="1:33" s="206" customFormat="1" ht="15" customHeight="1" x14ac:dyDescent="0.25">
      <c r="A1165" s="113">
        <v>46185</v>
      </c>
      <c r="B1165" s="113">
        <v>46182</v>
      </c>
      <c r="C1165" s="1" t="s">
        <v>1991</v>
      </c>
      <c r="D1165" s="186" t="s">
        <v>3571</v>
      </c>
      <c r="E1165" s="114" t="s">
        <v>2650</v>
      </c>
      <c r="F1165" s="319" t="s">
        <v>1552</v>
      </c>
      <c r="G1165" s="114" t="s">
        <v>1552</v>
      </c>
      <c r="H1165" s="115">
        <v>46</v>
      </c>
      <c r="I1165" s="69">
        <v>13</v>
      </c>
      <c r="J1165" s="69">
        <f>Table224[[#This Row],[Qty]]-Table224[[#This Row],[Issue Qty]]</f>
        <v>33</v>
      </c>
      <c r="K1165" s="69"/>
      <c r="L1165" s="69" t="s">
        <v>3480</v>
      </c>
      <c r="M1165" s="116">
        <v>840</v>
      </c>
      <c r="N1165" s="10">
        <f t="shared" si="59"/>
        <v>38640</v>
      </c>
      <c r="O1165" s="82">
        <v>0.05</v>
      </c>
      <c r="P1165" s="118">
        <f t="shared" si="62"/>
        <v>1932</v>
      </c>
      <c r="Q1165" s="116"/>
      <c r="R1165" s="274"/>
      <c r="S1165" s="116">
        <f t="shared" si="61"/>
        <v>40572</v>
      </c>
      <c r="T1165" s="135" t="s">
        <v>3244</v>
      </c>
      <c r="U1165" s="135" t="s">
        <v>3244</v>
      </c>
      <c r="V1165" s="114" t="s">
        <v>3009</v>
      </c>
      <c r="W1165" s="114" t="s">
        <v>3301</v>
      </c>
      <c r="X1165" s="114"/>
      <c r="Y1165" s="211"/>
      <c r="Z1165" s="21" t="s">
        <v>2808</v>
      </c>
      <c r="AA1165" s="21" t="s">
        <v>3183</v>
      </c>
      <c r="AB1165" s="69">
        <v>13</v>
      </c>
      <c r="AC1165" s="123" t="s">
        <v>3872</v>
      </c>
      <c r="AD1165" s="211"/>
      <c r="AE1165" s="330"/>
      <c r="AF1165" s="121"/>
      <c r="AG1165" s="211"/>
    </row>
    <row r="1166" spans="1:33" s="206" customFormat="1" ht="15" customHeight="1" x14ac:dyDescent="0.25">
      <c r="A1166" s="113">
        <v>46179</v>
      </c>
      <c r="B1166" s="113">
        <v>46183</v>
      </c>
      <c r="C1166" s="6" t="s">
        <v>1683</v>
      </c>
      <c r="D1166" s="186" t="s">
        <v>1663</v>
      </c>
      <c r="E1166" s="114" t="s">
        <v>3228</v>
      </c>
      <c r="F1166" s="319" t="s">
        <v>3229</v>
      </c>
      <c r="G1166" s="114" t="s">
        <v>3229</v>
      </c>
      <c r="H1166" s="115">
        <v>28</v>
      </c>
      <c r="I1166" s="73">
        <v>26</v>
      </c>
      <c r="J1166" s="73">
        <f>Table224[[#This Row],[Qty]]-Table224[[#This Row],[Issue Qty]]</f>
        <v>2</v>
      </c>
      <c r="K1166" s="73"/>
      <c r="L1166" s="73" t="s">
        <v>3480</v>
      </c>
      <c r="M1166" s="116">
        <v>9930</v>
      </c>
      <c r="N1166" s="10">
        <f t="shared" si="59"/>
        <v>278040</v>
      </c>
      <c r="O1166" s="82">
        <v>0.18</v>
      </c>
      <c r="P1166" s="118">
        <f t="shared" si="62"/>
        <v>50047.199999999997</v>
      </c>
      <c r="Q1166" s="135"/>
      <c r="R1166" s="161"/>
      <c r="S1166" s="116">
        <f t="shared" si="61"/>
        <v>328087.2</v>
      </c>
      <c r="T1166" s="135" t="s">
        <v>3244</v>
      </c>
      <c r="U1166" s="135" t="s">
        <v>3244</v>
      </c>
      <c r="V1166" s="114" t="s">
        <v>792</v>
      </c>
      <c r="W1166" s="114" t="s">
        <v>3230</v>
      </c>
      <c r="X1166" s="114"/>
      <c r="Y1166" s="211"/>
      <c r="Z1166" s="21" t="s">
        <v>3253</v>
      </c>
      <c r="AA1166" s="21"/>
      <c r="AB1166" s="121">
        <f>16+8</f>
        <v>24</v>
      </c>
      <c r="AC1166" s="123" t="s">
        <v>3791</v>
      </c>
      <c r="AD1166" s="211"/>
      <c r="AE1166" s="21"/>
      <c r="AF1166" s="21"/>
      <c r="AG1166" s="211"/>
    </row>
    <row r="1167" spans="1:33" s="206" customFormat="1" ht="15" customHeight="1" x14ac:dyDescent="0.25">
      <c r="A1167" s="113">
        <v>46172</v>
      </c>
      <c r="B1167" s="113">
        <v>46183</v>
      </c>
      <c r="C1167" s="112" t="s">
        <v>1730</v>
      </c>
      <c r="D1167" s="224" t="s">
        <v>3591</v>
      </c>
      <c r="E1167" s="114" t="s">
        <v>3225</v>
      </c>
      <c r="F1167" s="319" t="s">
        <v>3226</v>
      </c>
      <c r="G1167" s="114" t="s">
        <v>3226</v>
      </c>
      <c r="H1167" s="115">
        <v>1</v>
      </c>
      <c r="I1167" s="73">
        <v>1</v>
      </c>
      <c r="J1167" s="73">
        <f>Table224[[#This Row],[Qty]]-Table224[[#This Row],[Issue Qty]]</f>
        <v>0</v>
      </c>
      <c r="K1167" s="73"/>
      <c r="L1167" s="73" t="s">
        <v>3486</v>
      </c>
      <c r="M1167" s="116">
        <v>152.38</v>
      </c>
      <c r="N1167" s="10">
        <f t="shared" si="59"/>
        <v>152.38</v>
      </c>
      <c r="O1167" s="82">
        <v>0.05</v>
      </c>
      <c r="P1167" s="118">
        <f t="shared" si="62"/>
        <v>7.6189999999999998</v>
      </c>
      <c r="Q1167" s="135"/>
      <c r="R1167" s="161"/>
      <c r="S1167" s="116">
        <f t="shared" si="61"/>
        <v>159.999</v>
      </c>
      <c r="T1167" s="135" t="s">
        <v>3242</v>
      </c>
      <c r="U1167" s="135" t="s">
        <v>3242</v>
      </c>
      <c r="V1167" s="114" t="s">
        <v>384</v>
      </c>
      <c r="W1167" s="114" t="s">
        <v>3227</v>
      </c>
      <c r="X1167" s="114"/>
      <c r="Y1167" s="211"/>
      <c r="Z1167" s="21"/>
      <c r="AA1167" s="21"/>
      <c r="AB1167" s="121">
        <v>1</v>
      </c>
      <c r="AC1167" s="123" t="s">
        <v>3303</v>
      </c>
      <c r="AD1167" s="211"/>
      <c r="AE1167" s="21"/>
      <c r="AF1167" s="21"/>
      <c r="AG1167" s="211"/>
    </row>
    <row r="1168" spans="1:33" s="206" customFormat="1" ht="15" customHeight="1" x14ac:dyDescent="0.25">
      <c r="A1168" s="113">
        <v>46184</v>
      </c>
      <c r="B1168" s="113">
        <v>46184</v>
      </c>
      <c r="C1168" s="112" t="s">
        <v>54</v>
      </c>
      <c r="D1168" s="224" t="s">
        <v>3494</v>
      </c>
      <c r="E1168" s="114" t="s">
        <v>3233</v>
      </c>
      <c r="F1168" s="319" t="s">
        <v>3234</v>
      </c>
      <c r="G1168" s="114" t="s">
        <v>3234</v>
      </c>
      <c r="H1168" s="115">
        <v>10</v>
      </c>
      <c r="I1168" s="73">
        <v>10</v>
      </c>
      <c r="J1168" s="73">
        <f>Table224[[#This Row],[Qty]]-Table224[[#This Row],[Issue Qty]]</f>
        <v>0</v>
      </c>
      <c r="K1168" s="73"/>
      <c r="L1168" s="195" t="s">
        <v>3480</v>
      </c>
      <c r="M1168" s="116">
        <v>3060</v>
      </c>
      <c r="N1168" s="10">
        <f t="shared" ref="N1168:N1231" si="63">H1168*M1168</f>
        <v>30600</v>
      </c>
      <c r="O1168" s="82">
        <v>0.18</v>
      </c>
      <c r="P1168" s="118">
        <f t="shared" si="62"/>
        <v>5508</v>
      </c>
      <c r="Q1168" s="135">
        <v>300</v>
      </c>
      <c r="R1168" s="161"/>
      <c r="S1168" s="116">
        <f t="shared" ref="S1168:S1231" si="64">N1168+P1168+Q1168+R1168</f>
        <v>36408</v>
      </c>
      <c r="T1168" s="135" t="s">
        <v>3244</v>
      </c>
      <c r="U1168" s="135" t="s">
        <v>3244</v>
      </c>
      <c r="V1168" s="114" t="s">
        <v>3020</v>
      </c>
      <c r="W1168" s="114" t="s">
        <v>3255</v>
      </c>
      <c r="X1168" s="114">
        <v>39264019</v>
      </c>
      <c r="Y1168" s="211"/>
      <c r="Z1168" s="21" t="s">
        <v>3168</v>
      </c>
      <c r="AA1168" s="21" t="s">
        <v>3183</v>
      </c>
      <c r="AB1168" s="121">
        <v>10</v>
      </c>
      <c r="AC1168" s="123" t="s">
        <v>3303</v>
      </c>
      <c r="AD1168" s="211"/>
      <c r="AE1168" s="21"/>
      <c r="AF1168" s="21"/>
      <c r="AG1168" s="211"/>
    </row>
    <row r="1169" spans="1:33" s="206" customFormat="1" ht="15" customHeight="1" x14ac:dyDescent="0.25">
      <c r="A1169" s="113">
        <v>46184</v>
      </c>
      <c r="B1169" s="113">
        <v>46184</v>
      </c>
      <c r="C1169" s="112" t="s">
        <v>54</v>
      </c>
      <c r="D1169" s="224" t="s">
        <v>3494</v>
      </c>
      <c r="E1169" s="114" t="s">
        <v>3231</v>
      </c>
      <c r="F1169" s="319" t="s">
        <v>3232</v>
      </c>
      <c r="G1169" s="114" t="s">
        <v>3232</v>
      </c>
      <c r="H1169" s="115">
        <v>10</v>
      </c>
      <c r="I1169" s="73">
        <v>10</v>
      </c>
      <c r="J1169" s="73">
        <f>Table224[[#This Row],[Qty]]-Table224[[#This Row],[Issue Qty]]</f>
        <v>0</v>
      </c>
      <c r="K1169" s="73"/>
      <c r="L1169" s="73" t="s">
        <v>3480</v>
      </c>
      <c r="M1169" s="116">
        <v>4050</v>
      </c>
      <c r="N1169" s="10">
        <f t="shared" si="63"/>
        <v>40500</v>
      </c>
      <c r="O1169" s="82">
        <v>0.18</v>
      </c>
      <c r="P1169" s="118">
        <f t="shared" ref="P1169:P1200" si="65">N1169*O1169</f>
        <v>7290</v>
      </c>
      <c r="Q1169" s="135"/>
      <c r="R1169" s="161"/>
      <c r="S1169" s="116">
        <f t="shared" si="64"/>
        <v>47790</v>
      </c>
      <c r="T1169" s="135" t="s">
        <v>3244</v>
      </c>
      <c r="U1169" s="135" t="s">
        <v>3244</v>
      </c>
      <c r="V1169" s="114" t="s">
        <v>3020</v>
      </c>
      <c r="W1169" s="114" t="s">
        <v>3255</v>
      </c>
      <c r="X1169" s="114">
        <v>39264019</v>
      </c>
      <c r="Y1169" s="211"/>
      <c r="Z1169" s="21"/>
      <c r="AA1169" s="21"/>
      <c r="AB1169" s="121">
        <v>10</v>
      </c>
      <c r="AC1169" s="123" t="s">
        <v>3303</v>
      </c>
      <c r="AD1169" s="211"/>
      <c r="AE1169" s="21"/>
      <c r="AF1169" s="21"/>
      <c r="AG1169" s="211"/>
    </row>
    <row r="1170" spans="1:33" s="206" customFormat="1" ht="15" customHeight="1" x14ac:dyDescent="0.25">
      <c r="A1170" s="113">
        <v>46185</v>
      </c>
      <c r="B1170" s="113">
        <v>46185</v>
      </c>
      <c r="C1170" s="6" t="s">
        <v>54</v>
      </c>
      <c r="D1170" s="224" t="s">
        <v>3494</v>
      </c>
      <c r="E1170" s="114" t="s">
        <v>3238</v>
      </c>
      <c r="F1170" s="319" t="s">
        <v>3239</v>
      </c>
      <c r="G1170" s="114" t="s">
        <v>3239</v>
      </c>
      <c r="H1170" s="115">
        <v>10</v>
      </c>
      <c r="I1170" s="73">
        <v>2</v>
      </c>
      <c r="J1170" s="73">
        <f>Table224[[#This Row],[Qty]]-Table224[[#This Row],[Issue Qty]]</f>
        <v>8</v>
      </c>
      <c r="K1170" s="73"/>
      <c r="L1170" s="73" t="s">
        <v>3480</v>
      </c>
      <c r="M1170" s="116">
        <v>805.5</v>
      </c>
      <c r="N1170" s="10">
        <f t="shared" si="63"/>
        <v>8055</v>
      </c>
      <c r="O1170" s="82">
        <v>0.18</v>
      </c>
      <c r="P1170" s="118">
        <f t="shared" si="65"/>
        <v>1449.8999999999999</v>
      </c>
      <c r="Q1170" s="161"/>
      <c r="R1170" s="161"/>
      <c r="S1170" s="116">
        <f t="shared" si="64"/>
        <v>9504.9</v>
      </c>
      <c r="T1170" s="135" t="s">
        <v>3244</v>
      </c>
      <c r="U1170" s="135" t="s">
        <v>3244</v>
      </c>
      <c r="V1170" s="114" t="s">
        <v>358</v>
      </c>
      <c r="W1170" s="114" t="s">
        <v>3240</v>
      </c>
      <c r="X1170" s="114"/>
      <c r="Y1170" s="211"/>
      <c r="Z1170" s="21" t="s">
        <v>3165</v>
      </c>
      <c r="AA1170" s="21" t="s">
        <v>3183</v>
      </c>
      <c r="AB1170" s="121">
        <v>2</v>
      </c>
      <c r="AC1170" s="123" t="s">
        <v>3303</v>
      </c>
      <c r="AD1170" s="211"/>
      <c r="AE1170" s="21"/>
      <c r="AF1170" s="21"/>
      <c r="AG1170" s="211"/>
    </row>
    <row r="1171" spans="1:33" s="206" customFormat="1" ht="15" customHeight="1" x14ac:dyDescent="0.25">
      <c r="A1171" s="113">
        <v>46185</v>
      </c>
      <c r="B1171" s="113">
        <v>46185</v>
      </c>
      <c r="C1171" s="6" t="s">
        <v>54</v>
      </c>
      <c r="D1171" s="224" t="s">
        <v>3500</v>
      </c>
      <c r="E1171" s="114" t="s">
        <v>3037</v>
      </c>
      <c r="F1171" s="319" t="s">
        <v>3241</v>
      </c>
      <c r="G1171" s="114" t="s">
        <v>3241</v>
      </c>
      <c r="H1171" s="115">
        <v>40</v>
      </c>
      <c r="I1171" s="73">
        <v>40</v>
      </c>
      <c r="J1171" s="73">
        <f>Table224[[#This Row],[Qty]]-Table224[[#This Row],[Issue Qty]]</f>
        <v>0</v>
      </c>
      <c r="K1171" s="73"/>
      <c r="L1171" s="73" t="s">
        <v>3480</v>
      </c>
      <c r="M1171" s="116">
        <v>112.5</v>
      </c>
      <c r="N1171" s="10">
        <f t="shared" si="63"/>
        <v>4500</v>
      </c>
      <c r="O1171" s="82">
        <v>0.18</v>
      </c>
      <c r="P1171" s="118">
        <f t="shared" si="65"/>
        <v>810</v>
      </c>
      <c r="Q1171" s="161"/>
      <c r="R1171" s="161"/>
      <c r="S1171" s="116">
        <f t="shared" si="64"/>
        <v>5310</v>
      </c>
      <c r="T1171" s="135" t="s">
        <v>3244</v>
      </c>
      <c r="U1171" s="135" t="s">
        <v>3244</v>
      </c>
      <c r="V1171" s="114" t="s">
        <v>358</v>
      </c>
      <c r="W1171" s="114" t="s">
        <v>3240</v>
      </c>
      <c r="X1171" s="114"/>
      <c r="Y1171" s="211"/>
      <c r="Z1171" s="21" t="s">
        <v>3165</v>
      </c>
      <c r="AA1171" s="21" t="s">
        <v>3161</v>
      </c>
      <c r="AB1171" s="121">
        <v>40</v>
      </c>
      <c r="AC1171" s="123" t="s">
        <v>3303</v>
      </c>
      <c r="AD1171" s="211"/>
      <c r="AE1171" s="21"/>
      <c r="AF1171" s="21"/>
      <c r="AG1171" s="211"/>
    </row>
    <row r="1172" spans="1:33" s="206" customFormat="1" ht="15" customHeight="1" x14ac:dyDescent="0.25">
      <c r="A1172" s="113"/>
      <c r="B1172" s="113">
        <v>46185</v>
      </c>
      <c r="C1172" s="6" t="s">
        <v>1730</v>
      </c>
      <c r="D1172" s="186" t="s">
        <v>3592</v>
      </c>
      <c r="E1172" s="114" t="s">
        <v>2985</v>
      </c>
      <c r="F1172" s="284" t="s">
        <v>3237</v>
      </c>
      <c r="G1172" s="114" t="s">
        <v>3237</v>
      </c>
      <c r="H1172" s="115">
        <v>1</v>
      </c>
      <c r="I1172" s="73">
        <v>1</v>
      </c>
      <c r="J1172" s="73">
        <f>Table224[[#This Row],[Qty]]-Table224[[#This Row],[Issue Qty]]</f>
        <v>0</v>
      </c>
      <c r="K1172" s="336">
        <v>1</v>
      </c>
      <c r="L1172" s="195" t="s">
        <v>3480</v>
      </c>
      <c r="M1172" s="116">
        <v>0</v>
      </c>
      <c r="N1172" s="10">
        <f t="shared" si="63"/>
        <v>0</v>
      </c>
      <c r="O1172" s="82"/>
      <c r="P1172" s="118">
        <f t="shared" si="65"/>
        <v>0</v>
      </c>
      <c r="Q1172" s="135"/>
      <c r="R1172" s="161"/>
      <c r="S1172" s="116">
        <f t="shared" si="64"/>
        <v>0</v>
      </c>
      <c r="T1172" s="135" t="s">
        <v>3244</v>
      </c>
      <c r="U1172" s="135" t="s">
        <v>3244</v>
      </c>
      <c r="V1172" s="114" t="s">
        <v>2990</v>
      </c>
      <c r="W1172" s="114" t="s">
        <v>1644</v>
      </c>
      <c r="X1172" s="114"/>
      <c r="Y1172" s="211"/>
      <c r="Z1172" s="21" t="s">
        <v>268</v>
      </c>
      <c r="AA1172" s="21"/>
      <c r="AB1172" s="121">
        <v>1</v>
      </c>
      <c r="AC1172" s="123" t="s">
        <v>3254</v>
      </c>
      <c r="AD1172" s="211"/>
      <c r="AE1172" s="21"/>
      <c r="AF1172" s="21"/>
      <c r="AG1172" s="211"/>
    </row>
    <row r="1173" spans="1:33" s="206" customFormat="1" ht="15" customHeight="1" x14ac:dyDescent="0.25">
      <c r="A1173" s="113"/>
      <c r="B1173" s="113">
        <v>46185</v>
      </c>
      <c r="C1173" s="112" t="s">
        <v>1730</v>
      </c>
      <c r="D1173" s="186" t="s">
        <v>3592</v>
      </c>
      <c r="E1173" s="114" t="s">
        <v>3036</v>
      </c>
      <c r="F1173" s="284" t="s">
        <v>3002</v>
      </c>
      <c r="G1173" s="114" t="s">
        <v>3002</v>
      </c>
      <c r="H1173" s="115">
        <v>1</v>
      </c>
      <c r="I1173" s="92">
        <v>1</v>
      </c>
      <c r="J1173" s="115">
        <f>Table224[[#This Row],[Qty]]-Table224[[#This Row],[Issue Qty]]</f>
        <v>0</v>
      </c>
      <c r="K1173" s="332">
        <v>1</v>
      </c>
      <c r="L1173" s="195" t="s">
        <v>3480</v>
      </c>
      <c r="M1173" s="116">
        <v>0</v>
      </c>
      <c r="N1173" s="10">
        <f t="shared" si="63"/>
        <v>0</v>
      </c>
      <c r="O1173" s="82"/>
      <c r="P1173" s="118">
        <f t="shared" si="65"/>
        <v>0</v>
      </c>
      <c r="Q1173" s="135"/>
      <c r="R1173" s="161"/>
      <c r="S1173" s="116">
        <f t="shared" si="64"/>
        <v>0</v>
      </c>
      <c r="T1173" s="135" t="s">
        <v>3244</v>
      </c>
      <c r="U1173" s="135" t="s">
        <v>3244</v>
      </c>
      <c r="V1173" s="114" t="s">
        <v>2990</v>
      </c>
      <c r="W1173" s="114" t="s">
        <v>1644</v>
      </c>
      <c r="X1173" s="114"/>
      <c r="Y1173" s="211"/>
      <c r="Z1173" s="21" t="s">
        <v>268</v>
      </c>
      <c r="AA1173" s="21"/>
      <c r="AB1173" s="121">
        <v>1</v>
      </c>
      <c r="AC1173" s="123" t="s">
        <v>3254</v>
      </c>
      <c r="AD1173" s="211"/>
      <c r="AE1173" s="21"/>
      <c r="AF1173" s="21"/>
      <c r="AG1173" s="211"/>
    </row>
    <row r="1174" spans="1:33" s="206" customFormat="1" ht="15" customHeight="1" x14ac:dyDescent="0.25">
      <c r="A1174" s="113">
        <v>46184</v>
      </c>
      <c r="B1174" s="113">
        <v>46185</v>
      </c>
      <c r="C1174" s="112" t="s">
        <v>1730</v>
      </c>
      <c r="D1174" s="112" t="s">
        <v>1730</v>
      </c>
      <c r="E1174" s="114" t="s">
        <v>1644</v>
      </c>
      <c r="F1174" s="237" t="s">
        <v>3235</v>
      </c>
      <c r="G1174" s="114" t="s">
        <v>3235</v>
      </c>
      <c r="H1174" s="115">
        <v>1</v>
      </c>
      <c r="I1174" s="92"/>
      <c r="J1174" s="115">
        <f>Table224[[#This Row],[Qty]]-Table224[[#This Row],[Issue Qty]]</f>
        <v>1</v>
      </c>
      <c r="K1174" s="195"/>
      <c r="L1174" s="195" t="s">
        <v>3480</v>
      </c>
      <c r="M1174" s="116">
        <v>0</v>
      </c>
      <c r="N1174" s="10">
        <f t="shared" si="63"/>
        <v>0</v>
      </c>
      <c r="O1174" s="82"/>
      <c r="P1174" s="118">
        <f t="shared" si="65"/>
        <v>0</v>
      </c>
      <c r="Q1174" s="135"/>
      <c r="R1174" s="161"/>
      <c r="S1174" s="116">
        <f t="shared" si="64"/>
        <v>0</v>
      </c>
      <c r="T1174" s="135" t="s">
        <v>2887</v>
      </c>
      <c r="U1174" s="135" t="s">
        <v>1408</v>
      </c>
      <c r="V1174" s="114" t="s">
        <v>3236</v>
      </c>
      <c r="W1174" s="114">
        <v>73</v>
      </c>
      <c r="X1174" s="114"/>
      <c r="Y1174" s="211"/>
      <c r="Z1174" s="21" t="s">
        <v>944</v>
      </c>
      <c r="AA1174" s="21"/>
      <c r="AB1174" s="121"/>
      <c r="AC1174" s="123"/>
      <c r="AD1174" s="211"/>
      <c r="AE1174" s="21"/>
      <c r="AF1174" s="21"/>
      <c r="AG1174" s="211"/>
    </row>
    <row r="1175" spans="1:33" s="206" customFormat="1" x14ac:dyDescent="0.25">
      <c r="A1175" s="91">
        <v>46185</v>
      </c>
      <c r="B1175" s="91">
        <v>46188</v>
      </c>
      <c r="C1175" s="1" t="s">
        <v>1991</v>
      </c>
      <c r="D1175" s="224" t="s">
        <v>3588</v>
      </c>
      <c r="E1175" s="89" t="s">
        <v>1986</v>
      </c>
      <c r="F1175" s="316" t="s">
        <v>680</v>
      </c>
      <c r="G1175" s="89" t="s">
        <v>3251</v>
      </c>
      <c r="H1175" s="92">
        <v>15</v>
      </c>
      <c r="I1175" s="92">
        <v>6</v>
      </c>
      <c r="J1175" s="115">
        <f>Table224[[#This Row],[Qty]]-Table224[[#This Row],[Issue Qty]]</f>
        <v>9</v>
      </c>
      <c r="K1175" s="195"/>
      <c r="L1175" s="195" t="s">
        <v>3480</v>
      </c>
      <c r="M1175" s="116">
        <v>58</v>
      </c>
      <c r="N1175" s="124">
        <f t="shared" si="63"/>
        <v>870</v>
      </c>
      <c r="O1175" s="82">
        <v>0.18</v>
      </c>
      <c r="P1175" s="125">
        <f t="shared" si="65"/>
        <v>156.6</v>
      </c>
      <c r="Q1175" s="135">
        <v>45</v>
      </c>
      <c r="R1175" s="214"/>
      <c r="S1175" s="93">
        <f t="shared" si="64"/>
        <v>1071.5999999999999</v>
      </c>
      <c r="T1175" s="141" t="s">
        <v>3245</v>
      </c>
      <c r="U1175" s="141" t="s">
        <v>3245</v>
      </c>
      <c r="V1175" s="89" t="s">
        <v>2817</v>
      </c>
      <c r="W1175" s="89" t="s">
        <v>3316</v>
      </c>
      <c r="X1175" s="89">
        <v>85411000</v>
      </c>
      <c r="Y1175" s="190"/>
      <c r="Z1175" s="21" t="s">
        <v>38</v>
      </c>
      <c r="AA1175" s="21" t="s">
        <v>1128</v>
      </c>
      <c r="AB1175" s="96">
        <v>5</v>
      </c>
      <c r="AC1175" s="97" t="s">
        <v>3886</v>
      </c>
      <c r="AD1175" s="190"/>
      <c r="AE1175" s="190"/>
      <c r="AF1175" s="190"/>
      <c r="AG1175" s="190"/>
    </row>
    <row r="1176" spans="1:33" s="206" customFormat="1" x14ac:dyDescent="0.25">
      <c r="A1176" s="91">
        <v>46172</v>
      </c>
      <c r="B1176" s="113">
        <v>46188</v>
      </c>
      <c r="C1176" s="89" t="s">
        <v>54</v>
      </c>
      <c r="D1176" s="224" t="s">
        <v>3489</v>
      </c>
      <c r="E1176" s="89" t="s">
        <v>3208</v>
      </c>
      <c r="F1176" s="318" t="s">
        <v>3209</v>
      </c>
      <c r="G1176" s="89" t="s">
        <v>3209</v>
      </c>
      <c r="H1176" s="92">
        <v>40</v>
      </c>
      <c r="I1176" s="92">
        <v>40</v>
      </c>
      <c r="J1176" s="115">
        <f>Table224[[#This Row],[Qty]]-Table224[[#This Row],[Issue Qty]]</f>
        <v>0</v>
      </c>
      <c r="K1176" s="195"/>
      <c r="L1176" s="195" t="s">
        <v>3480</v>
      </c>
      <c r="M1176" s="116">
        <v>9500</v>
      </c>
      <c r="N1176" s="124">
        <f t="shared" si="63"/>
        <v>380000</v>
      </c>
      <c r="O1176" s="82">
        <v>0.18</v>
      </c>
      <c r="P1176" s="125">
        <f t="shared" si="65"/>
        <v>68400</v>
      </c>
      <c r="Q1176" s="215"/>
      <c r="R1176" s="214"/>
      <c r="S1176" s="93">
        <f t="shared" si="64"/>
        <v>448400</v>
      </c>
      <c r="T1176" s="141" t="s">
        <v>3244</v>
      </c>
      <c r="U1176" s="141" t="s">
        <v>3244</v>
      </c>
      <c r="V1176" s="1" t="s">
        <v>2990</v>
      </c>
      <c r="W1176" s="1">
        <v>31</v>
      </c>
      <c r="X1176" s="26"/>
      <c r="Y1176" s="190"/>
      <c r="Z1176" s="21"/>
      <c r="AA1176" s="21"/>
      <c r="AB1176" s="96">
        <v>40</v>
      </c>
      <c r="AC1176" s="97" t="s">
        <v>3724</v>
      </c>
      <c r="AD1176" s="190"/>
      <c r="AE1176" s="190"/>
      <c r="AF1176" s="190"/>
      <c r="AG1176" s="190"/>
    </row>
    <row r="1177" spans="1:33" s="206" customFormat="1" x14ac:dyDescent="0.25">
      <c r="A1177" s="113">
        <v>46186</v>
      </c>
      <c r="B1177" s="113">
        <v>46188</v>
      </c>
      <c r="C1177" s="112" t="s">
        <v>1683</v>
      </c>
      <c r="D1177" s="186" t="s">
        <v>3493</v>
      </c>
      <c r="E1177" s="114" t="s">
        <v>2592</v>
      </c>
      <c r="F1177" s="237" t="s">
        <v>1496</v>
      </c>
      <c r="G1177" s="114" t="s">
        <v>1496</v>
      </c>
      <c r="H1177" s="115">
        <v>500</v>
      </c>
      <c r="I1177" s="115">
        <v>13</v>
      </c>
      <c r="J1177" s="115">
        <f>Table224[[#This Row],[Qty]]-Table224[[#This Row],[Issue Qty]]</f>
        <v>487</v>
      </c>
      <c r="K1177" s="195"/>
      <c r="L1177" s="195" t="s">
        <v>3480</v>
      </c>
      <c r="M1177" s="116">
        <v>116.62</v>
      </c>
      <c r="N1177" s="124">
        <f t="shared" si="63"/>
        <v>58310</v>
      </c>
      <c r="O1177" s="82">
        <v>0.05</v>
      </c>
      <c r="P1177" s="125">
        <f t="shared" si="65"/>
        <v>2915.5</v>
      </c>
      <c r="Q1177" s="215"/>
      <c r="R1177" s="215"/>
      <c r="S1177" s="93">
        <f t="shared" si="64"/>
        <v>61225.5</v>
      </c>
      <c r="T1177" s="114" t="s">
        <v>2887</v>
      </c>
      <c r="U1177" s="135" t="s">
        <v>3245</v>
      </c>
      <c r="V1177" s="114" t="s">
        <v>3009</v>
      </c>
      <c r="W1177" s="89" t="s">
        <v>3266</v>
      </c>
      <c r="X1177" s="114">
        <v>88073020</v>
      </c>
      <c r="Y1177" s="211"/>
      <c r="Z1177" s="21" t="s">
        <v>638</v>
      </c>
      <c r="AA1177" s="21" t="s">
        <v>3183</v>
      </c>
      <c r="AB1177" s="121">
        <v>13</v>
      </c>
      <c r="AC1177" s="123" t="s">
        <v>3897</v>
      </c>
      <c r="AD1177" s="211"/>
      <c r="AE1177" s="211"/>
      <c r="AF1177" s="211"/>
      <c r="AG1177" s="211"/>
    </row>
    <row r="1178" spans="1:33" s="206" customFormat="1" ht="30" x14ac:dyDescent="0.25">
      <c r="A1178" s="113">
        <v>46186</v>
      </c>
      <c r="B1178" s="113">
        <v>46188</v>
      </c>
      <c r="C1178" s="112" t="s">
        <v>1683</v>
      </c>
      <c r="D1178" s="186" t="s">
        <v>3493</v>
      </c>
      <c r="E1178" s="114" t="s">
        <v>2771</v>
      </c>
      <c r="F1178" s="237" t="s">
        <v>1630</v>
      </c>
      <c r="G1178" s="114" t="s">
        <v>1630</v>
      </c>
      <c r="H1178" s="115">
        <v>500</v>
      </c>
      <c r="I1178" s="116"/>
      <c r="J1178" s="115">
        <f>Table224[[#This Row],[Qty]]-Table224[[#This Row],[Issue Qty]]</f>
        <v>500</v>
      </c>
      <c r="K1178" s="195"/>
      <c r="L1178" s="195" t="s">
        <v>3480</v>
      </c>
      <c r="M1178" s="116">
        <v>15</v>
      </c>
      <c r="N1178" s="124">
        <f t="shared" si="63"/>
        <v>7500</v>
      </c>
      <c r="O1178" s="82">
        <v>0.05</v>
      </c>
      <c r="P1178" s="125">
        <f t="shared" si="65"/>
        <v>375</v>
      </c>
      <c r="Q1178" s="215"/>
      <c r="R1178" s="215"/>
      <c r="S1178" s="93">
        <f t="shared" si="64"/>
        <v>7875</v>
      </c>
      <c r="T1178" s="114" t="s">
        <v>2887</v>
      </c>
      <c r="U1178" s="135" t="s">
        <v>3245</v>
      </c>
      <c r="V1178" s="114" t="s">
        <v>3009</v>
      </c>
      <c r="W1178" s="89" t="s">
        <v>3266</v>
      </c>
      <c r="X1178" s="114">
        <v>88073020</v>
      </c>
      <c r="Y1178" s="211"/>
      <c r="Z1178" s="21" t="s">
        <v>638</v>
      </c>
      <c r="AA1178" s="21" t="s">
        <v>1963</v>
      </c>
      <c r="AB1178" s="121"/>
      <c r="AC1178" s="123"/>
      <c r="AD1178" s="211"/>
      <c r="AE1178" s="211"/>
      <c r="AF1178" s="211"/>
      <c r="AG1178" s="211"/>
    </row>
    <row r="1179" spans="1:33" s="206" customFormat="1" ht="45" x14ac:dyDescent="0.25">
      <c r="A1179" s="113">
        <v>46186</v>
      </c>
      <c r="B1179" s="113">
        <v>46188</v>
      </c>
      <c r="C1179" s="112" t="s">
        <v>1683</v>
      </c>
      <c r="D1179" s="186" t="s">
        <v>3487</v>
      </c>
      <c r="E1179" s="114" t="s">
        <v>2889</v>
      </c>
      <c r="F1179" s="237" t="s">
        <v>2890</v>
      </c>
      <c r="G1179" s="114" t="s">
        <v>2890</v>
      </c>
      <c r="H1179" s="115">
        <v>500</v>
      </c>
      <c r="I1179" s="116"/>
      <c r="J1179" s="115">
        <f>Table224[[#This Row],[Qty]]-Table224[[#This Row],[Issue Qty]]</f>
        <v>500</v>
      </c>
      <c r="K1179" s="195"/>
      <c r="L1179" s="195" t="s">
        <v>3480</v>
      </c>
      <c r="M1179" s="116">
        <v>2.7</v>
      </c>
      <c r="N1179" s="124">
        <f t="shared" si="63"/>
        <v>1350</v>
      </c>
      <c r="O1179" s="82">
        <v>0.05</v>
      </c>
      <c r="P1179" s="125">
        <f t="shared" si="65"/>
        <v>67.5</v>
      </c>
      <c r="Q1179" s="215"/>
      <c r="R1179" s="215"/>
      <c r="S1179" s="93">
        <f t="shared" si="64"/>
        <v>1417.5</v>
      </c>
      <c r="T1179" s="114" t="s">
        <v>2887</v>
      </c>
      <c r="U1179" s="135" t="s">
        <v>2816</v>
      </c>
      <c r="V1179" s="114" t="s">
        <v>3009</v>
      </c>
      <c r="W1179" s="89" t="s">
        <v>3266</v>
      </c>
      <c r="X1179" s="114">
        <v>88073020</v>
      </c>
      <c r="Y1179" s="211"/>
      <c r="Z1179" s="21" t="s">
        <v>638</v>
      </c>
      <c r="AA1179" s="21"/>
      <c r="AB1179" s="121"/>
      <c r="AC1179" s="123"/>
      <c r="AD1179" s="211"/>
      <c r="AE1179" s="211"/>
      <c r="AF1179" s="211"/>
      <c r="AG1179" s="211"/>
    </row>
    <row r="1180" spans="1:33" s="206" customFormat="1" x14ac:dyDescent="0.25">
      <c r="A1180" s="113">
        <v>46186</v>
      </c>
      <c r="B1180" s="113">
        <v>46188</v>
      </c>
      <c r="C1180" s="112" t="s">
        <v>1683</v>
      </c>
      <c r="D1180" s="186" t="s">
        <v>3487</v>
      </c>
      <c r="E1180" s="114" t="s">
        <v>2594</v>
      </c>
      <c r="F1180" s="237" t="s">
        <v>1498</v>
      </c>
      <c r="G1180" s="114" t="s">
        <v>1498</v>
      </c>
      <c r="H1180" s="115">
        <v>500</v>
      </c>
      <c r="I1180" s="116"/>
      <c r="J1180" s="115">
        <f>Table224[[#This Row],[Qty]]-Table224[[#This Row],[Issue Qty]]</f>
        <v>500</v>
      </c>
      <c r="K1180" s="195"/>
      <c r="L1180" s="195" t="s">
        <v>3480</v>
      </c>
      <c r="M1180" s="116">
        <v>2.2000000000000002</v>
      </c>
      <c r="N1180" s="124">
        <f t="shared" si="63"/>
        <v>1100</v>
      </c>
      <c r="O1180" s="82">
        <v>0.05</v>
      </c>
      <c r="P1180" s="125">
        <f t="shared" si="65"/>
        <v>55</v>
      </c>
      <c r="Q1180" s="215"/>
      <c r="R1180" s="215"/>
      <c r="S1180" s="93">
        <f t="shared" si="64"/>
        <v>1155</v>
      </c>
      <c r="T1180" s="1" t="s">
        <v>2887</v>
      </c>
      <c r="U1180" s="141" t="s">
        <v>2816</v>
      </c>
      <c r="V1180" s="114" t="s">
        <v>3009</v>
      </c>
      <c r="W1180" s="114" t="s">
        <v>3266</v>
      </c>
      <c r="X1180" s="114">
        <v>88073020</v>
      </c>
      <c r="Y1180" s="211"/>
      <c r="Z1180" s="21" t="s">
        <v>638</v>
      </c>
      <c r="AA1180" s="21"/>
      <c r="AB1180" s="121"/>
      <c r="AC1180" s="222"/>
      <c r="AD1180" s="211"/>
      <c r="AE1180" s="211"/>
      <c r="AF1180" s="211"/>
      <c r="AG1180" s="211"/>
    </row>
    <row r="1181" spans="1:33" s="206" customFormat="1" x14ac:dyDescent="0.25">
      <c r="A1181" s="113">
        <v>46186</v>
      </c>
      <c r="B1181" s="78">
        <v>46188</v>
      </c>
      <c r="C1181" s="112" t="s">
        <v>1683</v>
      </c>
      <c r="D1181" s="186" t="s">
        <v>3487</v>
      </c>
      <c r="E1181" s="114" t="s">
        <v>2589</v>
      </c>
      <c r="F1181" s="237" t="s">
        <v>1493</v>
      </c>
      <c r="G1181" s="114" t="s">
        <v>1493</v>
      </c>
      <c r="H1181" s="115">
        <v>500</v>
      </c>
      <c r="I1181" s="115">
        <v>20</v>
      </c>
      <c r="J1181" s="115">
        <f>Table224[[#This Row],[Qty]]-Table224[[#This Row],[Issue Qty]]</f>
        <v>480</v>
      </c>
      <c r="K1181" s="195"/>
      <c r="L1181" s="195" t="s">
        <v>3480</v>
      </c>
      <c r="M1181" s="116">
        <v>2.2000000000000002</v>
      </c>
      <c r="N1181" s="124">
        <f t="shared" si="63"/>
        <v>1100</v>
      </c>
      <c r="O1181" s="82">
        <v>0.05</v>
      </c>
      <c r="P1181" s="125">
        <f t="shared" si="65"/>
        <v>55</v>
      </c>
      <c r="Q1181" s="215"/>
      <c r="R1181" s="215"/>
      <c r="S1181" s="93">
        <f t="shared" si="64"/>
        <v>1155</v>
      </c>
      <c r="T1181" s="1" t="s">
        <v>2887</v>
      </c>
      <c r="U1181" s="141" t="s">
        <v>2816</v>
      </c>
      <c r="V1181" s="114" t="s">
        <v>3009</v>
      </c>
      <c r="W1181" s="114" t="s">
        <v>3266</v>
      </c>
      <c r="X1181" s="114">
        <v>88073020</v>
      </c>
      <c r="Y1181" s="211"/>
      <c r="Z1181" s="21" t="s">
        <v>638</v>
      </c>
      <c r="AA1181" s="21"/>
      <c r="AB1181" s="121">
        <v>20</v>
      </c>
      <c r="AC1181" s="202" t="s">
        <v>3304</v>
      </c>
      <c r="AD1181" s="211"/>
      <c r="AE1181" s="211"/>
      <c r="AF1181" s="211"/>
      <c r="AG1181" s="211"/>
    </row>
    <row r="1182" spans="1:33" s="206" customFormat="1" x14ac:dyDescent="0.25">
      <c r="A1182" s="113">
        <v>46186</v>
      </c>
      <c r="B1182" s="78">
        <v>46188</v>
      </c>
      <c r="C1182" s="112" t="s">
        <v>1683</v>
      </c>
      <c r="D1182" s="186" t="s">
        <v>3487</v>
      </c>
      <c r="E1182" s="114" t="s">
        <v>2660</v>
      </c>
      <c r="F1182" s="237" t="s">
        <v>1557</v>
      </c>
      <c r="G1182" s="114" t="s">
        <v>1557</v>
      </c>
      <c r="H1182" s="115">
        <v>500</v>
      </c>
      <c r="I1182" s="8">
        <v>15</v>
      </c>
      <c r="J1182" s="115">
        <f>Table224[[#This Row],[Qty]]-Table224[[#This Row],[Issue Qty]]</f>
        <v>485</v>
      </c>
      <c r="K1182" s="195"/>
      <c r="L1182" s="195" t="s">
        <v>3480</v>
      </c>
      <c r="M1182" s="116">
        <v>2.2999999999999998</v>
      </c>
      <c r="N1182" s="124">
        <f t="shared" si="63"/>
        <v>1150</v>
      </c>
      <c r="O1182" s="82">
        <v>0.05</v>
      </c>
      <c r="P1182" s="125">
        <f t="shared" si="65"/>
        <v>57.5</v>
      </c>
      <c r="Q1182" s="215"/>
      <c r="R1182" s="215"/>
      <c r="S1182" s="93">
        <f t="shared" si="64"/>
        <v>1207.5</v>
      </c>
      <c r="T1182" s="1" t="s">
        <v>2887</v>
      </c>
      <c r="U1182" s="141" t="s">
        <v>2816</v>
      </c>
      <c r="V1182" s="114" t="s">
        <v>3009</v>
      </c>
      <c r="W1182" s="114" t="s">
        <v>3266</v>
      </c>
      <c r="X1182" s="114">
        <v>88073020</v>
      </c>
      <c r="Y1182" s="211"/>
      <c r="Z1182" s="21" t="s">
        <v>638</v>
      </c>
      <c r="AA1182" s="21"/>
      <c r="AB1182" s="121">
        <v>15</v>
      </c>
      <c r="AC1182" s="123" t="s">
        <v>3304</v>
      </c>
      <c r="AD1182" s="211"/>
      <c r="AE1182" s="211"/>
      <c r="AF1182" s="211"/>
      <c r="AG1182" s="211"/>
    </row>
    <row r="1183" spans="1:33" s="206" customFormat="1" x14ac:dyDescent="0.25">
      <c r="A1183" s="113">
        <v>46186</v>
      </c>
      <c r="B1183" s="113">
        <v>46188</v>
      </c>
      <c r="C1183" s="112" t="s">
        <v>1683</v>
      </c>
      <c r="D1183" s="186" t="s">
        <v>3487</v>
      </c>
      <c r="E1183" s="114" t="s">
        <v>2195</v>
      </c>
      <c r="F1183" s="237" t="s">
        <v>988</v>
      </c>
      <c r="G1183" s="114" t="s">
        <v>988</v>
      </c>
      <c r="H1183" s="115">
        <v>500</v>
      </c>
      <c r="I1183" s="8">
        <v>15</v>
      </c>
      <c r="J1183" s="115">
        <f>Table224[[#This Row],[Qty]]-Table224[[#This Row],[Issue Qty]]</f>
        <v>485</v>
      </c>
      <c r="K1183" s="195"/>
      <c r="L1183" s="195" t="s">
        <v>3480</v>
      </c>
      <c r="M1183" s="116">
        <v>2.4</v>
      </c>
      <c r="N1183" s="124">
        <f t="shared" si="63"/>
        <v>1200</v>
      </c>
      <c r="O1183" s="82">
        <v>0.05</v>
      </c>
      <c r="P1183" s="125">
        <f t="shared" si="65"/>
        <v>60</v>
      </c>
      <c r="Q1183" s="215"/>
      <c r="R1183" s="215"/>
      <c r="S1183" s="93">
        <f t="shared" si="64"/>
        <v>1260</v>
      </c>
      <c r="T1183" s="1" t="s">
        <v>2887</v>
      </c>
      <c r="U1183" s="141" t="s">
        <v>2816</v>
      </c>
      <c r="V1183" s="114" t="s">
        <v>3009</v>
      </c>
      <c r="W1183" s="114" t="s">
        <v>3266</v>
      </c>
      <c r="X1183" s="114">
        <v>88073020</v>
      </c>
      <c r="Y1183" s="211"/>
      <c r="Z1183" s="21" t="s">
        <v>638</v>
      </c>
      <c r="AA1183" s="21"/>
      <c r="AB1183" s="121">
        <v>15</v>
      </c>
      <c r="AC1183" s="123" t="s">
        <v>3304</v>
      </c>
      <c r="AD1183" s="211"/>
      <c r="AE1183" s="211"/>
      <c r="AF1183" s="211"/>
      <c r="AG1183" s="211"/>
    </row>
    <row r="1184" spans="1:33" s="206" customFormat="1" x14ac:dyDescent="0.25">
      <c r="A1184" s="113">
        <v>46186</v>
      </c>
      <c r="B1184" s="113">
        <v>46188</v>
      </c>
      <c r="C1184" s="6" t="s">
        <v>1683</v>
      </c>
      <c r="D1184" s="186" t="s">
        <v>3487</v>
      </c>
      <c r="E1184" s="114" t="s">
        <v>2588</v>
      </c>
      <c r="F1184" s="237" t="s">
        <v>1492</v>
      </c>
      <c r="G1184" s="114" t="s">
        <v>1492</v>
      </c>
      <c r="H1184" s="115">
        <v>500</v>
      </c>
      <c r="I1184" s="116">
        <v>15</v>
      </c>
      <c r="J1184" s="115">
        <f>Table224[[#This Row],[Qty]]-Table224[[#This Row],[Issue Qty]]</f>
        <v>485</v>
      </c>
      <c r="K1184" s="195"/>
      <c r="L1184" s="195" t="s">
        <v>3480</v>
      </c>
      <c r="M1184" s="116">
        <v>2.8</v>
      </c>
      <c r="N1184" s="124">
        <f t="shared" si="63"/>
        <v>1400</v>
      </c>
      <c r="O1184" s="82">
        <v>0.05</v>
      </c>
      <c r="P1184" s="125">
        <f t="shared" si="65"/>
        <v>70</v>
      </c>
      <c r="Q1184" s="215"/>
      <c r="R1184" s="215"/>
      <c r="S1184" s="93">
        <f t="shared" si="64"/>
        <v>1470</v>
      </c>
      <c r="T1184" s="1" t="s">
        <v>2887</v>
      </c>
      <c r="U1184" s="141" t="s">
        <v>2816</v>
      </c>
      <c r="V1184" s="114" t="s">
        <v>3009</v>
      </c>
      <c r="W1184" s="114" t="s">
        <v>3266</v>
      </c>
      <c r="X1184" s="114">
        <v>88073020</v>
      </c>
      <c r="Y1184" s="211"/>
      <c r="Z1184" s="21" t="s">
        <v>638</v>
      </c>
      <c r="AA1184" s="21"/>
      <c r="AB1184" s="121">
        <v>15</v>
      </c>
      <c r="AC1184" s="123" t="s">
        <v>3304</v>
      </c>
      <c r="AD1184" s="211"/>
      <c r="AE1184" s="211"/>
      <c r="AF1184" s="211"/>
      <c r="AG1184" s="211"/>
    </row>
    <row r="1185" spans="1:33" s="206" customFormat="1" x14ac:dyDescent="0.25">
      <c r="A1185" s="113">
        <v>46186</v>
      </c>
      <c r="B1185" s="113">
        <v>46188</v>
      </c>
      <c r="C1185" s="6" t="s">
        <v>1683</v>
      </c>
      <c r="D1185" s="186" t="s">
        <v>3487</v>
      </c>
      <c r="E1185" s="114" t="s">
        <v>2590</v>
      </c>
      <c r="F1185" s="237" t="s">
        <v>1494</v>
      </c>
      <c r="G1185" s="114" t="s">
        <v>1494</v>
      </c>
      <c r="H1185" s="115">
        <v>500</v>
      </c>
      <c r="I1185" s="116"/>
      <c r="J1185" s="115">
        <f>Table224[[#This Row],[Qty]]-Table224[[#This Row],[Issue Qty]]</f>
        <v>500</v>
      </c>
      <c r="K1185" s="195"/>
      <c r="L1185" s="195" t="s">
        <v>3480</v>
      </c>
      <c r="M1185" s="116">
        <v>2.6</v>
      </c>
      <c r="N1185" s="124">
        <f t="shared" si="63"/>
        <v>1300</v>
      </c>
      <c r="O1185" s="82">
        <v>0.05</v>
      </c>
      <c r="P1185" s="125">
        <f t="shared" si="65"/>
        <v>65</v>
      </c>
      <c r="Q1185" s="215"/>
      <c r="R1185" s="215"/>
      <c r="S1185" s="93">
        <f t="shared" si="64"/>
        <v>1365</v>
      </c>
      <c r="T1185" s="1" t="s">
        <v>2887</v>
      </c>
      <c r="U1185" s="141" t="s">
        <v>2816</v>
      </c>
      <c r="V1185" s="114" t="s">
        <v>3009</v>
      </c>
      <c r="W1185" s="114" t="s">
        <v>3266</v>
      </c>
      <c r="X1185" s="114">
        <v>88073020</v>
      </c>
      <c r="Y1185" s="211"/>
      <c r="Z1185" s="21" t="s">
        <v>638</v>
      </c>
      <c r="AA1185" s="21"/>
      <c r="AB1185" s="121"/>
      <c r="AC1185" s="123"/>
      <c r="AD1185" s="211"/>
      <c r="AE1185" s="211"/>
      <c r="AF1185" s="211"/>
      <c r="AG1185" s="211"/>
    </row>
    <row r="1186" spans="1:33" s="206" customFormat="1" ht="30" x14ac:dyDescent="0.25">
      <c r="A1186" s="113">
        <v>46172</v>
      </c>
      <c r="B1186" s="113">
        <v>46188</v>
      </c>
      <c r="C1186" s="1" t="s">
        <v>54</v>
      </c>
      <c r="D1186" s="186" t="s">
        <v>3489</v>
      </c>
      <c r="E1186" s="114" t="s">
        <v>2616</v>
      </c>
      <c r="F1186" s="319" t="s">
        <v>1518</v>
      </c>
      <c r="G1186" s="114" t="s">
        <v>1518</v>
      </c>
      <c r="H1186" s="115">
        <v>20</v>
      </c>
      <c r="I1186" s="115">
        <v>20</v>
      </c>
      <c r="J1186" s="115">
        <f>Table224[[#This Row],[Qty]]-Table224[[#This Row],[Issue Qty]]</f>
        <v>0</v>
      </c>
      <c r="K1186" s="195"/>
      <c r="L1186" s="195" t="s">
        <v>3480</v>
      </c>
      <c r="M1186" s="116">
        <v>4250</v>
      </c>
      <c r="N1186" s="124">
        <f t="shared" si="63"/>
        <v>85000</v>
      </c>
      <c r="O1186" s="82">
        <v>0.18</v>
      </c>
      <c r="P1186" s="125">
        <f t="shared" si="65"/>
        <v>15300</v>
      </c>
      <c r="Q1186" s="215"/>
      <c r="R1186" s="215"/>
      <c r="S1186" s="93">
        <f t="shared" si="64"/>
        <v>100300</v>
      </c>
      <c r="T1186" s="3" t="s">
        <v>3244</v>
      </c>
      <c r="U1186" s="141" t="s">
        <v>3244</v>
      </c>
      <c r="V1186" s="114" t="s">
        <v>2990</v>
      </c>
      <c r="W1186" s="114">
        <v>31</v>
      </c>
      <c r="X1186" s="211"/>
      <c r="Y1186" s="211"/>
      <c r="Z1186" s="21" t="s">
        <v>3350</v>
      </c>
      <c r="AA1186" s="21"/>
      <c r="AB1186" s="121">
        <v>20</v>
      </c>
      <c r="AC1186" s="123" t="s">
        <v>3648</v>
      </c>
      <c r="AD1186" s="211"/>
      <c r="AE1186" s="211"/>
      <c r="AF1186" s="211"/>
      <c r="AG1186" s="211"/>
    </row>
    <row r="1187" spans="1:33" s="206" customFormat="1" x14ac:dyDescent="0.25">
      <c r="A1187" s="113">
        <v>46186</v>
      </c>
      <c r="B1187" s="113">
        <v>46188</v>
      </c>
      <c r="C1187" s="6" t="s">
        <v>1683</v>
      </c>
      <c r="D1187" s="186" t="s">
        <v>3493</v>
      </c>
      <c r="E1187" s="114" t="s">
        <v>2198</v>
      </c>
      <c r="F1187" s="318" t="s">
        <v>991</v>
      </c>
      <c r="G1187" s="114" t="s">
        <v>991</v>
      </c>
      <c r="H1187" s="115">
        <v>500</v>
      </c>
      <c r="I1187" s="115">
        <v>150</v>
      </c>
      <c r="J1187" s="115">
        <f>Table224[[#This Row],[Qty]]-Table224[[#This Row],[Issue Qty]]</f>
        <v>350</v>
      </c>
      <c r="K1187" s="195"/>
      <c r="L1187" s="195" t="s">
        <v>3480</v>
      </c>
      <c r="M1187" s="116">
        <v>15</v>
      </c>
      <c r="N1187" s="124">
        <f t="shared" si="63"/>
        <v>7500</v>
      </c>
      <c r="O1187" s="82">
        <v>0.05</v>
      </c>
      <c r="P1187" s="125">
        <f t="shared" si="65"/>
        <v>375</v>
      </c>
      <c r="Q1187" s="215"/>
      <c r="R1187" s="215"/>
      <c r="S1187" s="93">
        <f t="shared" si="64"/>
        <v>7875</v>
      </c>
      <c r="T1187" s="141" t="s">
        <v>2887</v>
      </c>
      <c r="U1187" s="141" t="s">
        <v>3245</v>
      </c>
      <c r="V1187" s="114" t="s">
        <v>3009</v>
      </c>
      <c r="W1187" s="114" t="s">
        <v>3266</v>
      </c>
      <c r="X1187" s="114">
        <v>88073020</v>
      </c>
      <c r="Y1187" s="211"/>
      <c r="Z1187" s="21" t="s">
        <v>638</v>
      </c>
      <c r="AA1187" s="8" t="s">
        <v>1963</v>
      </c>
      <c r="AB1187" s="121"/>
      <c r="AC1187" s="123"/>
      <c r="AD1187" s="211"/>
      <c r="AE1187" s="211"/>
      <c r="AF1187" s="211"/>
      <c r="AG1187" s="211"/>
    </row>
    <row r="1188" spans="1:33" s="206" customFormat="1" x14ac:dyDescent="0.25">
      <c r="A1188" s="113">
        <v>46186</v>
      </c>
      <c r="B1188" s="113">
        <v>46188</v>
      </c>
      <c r="C1188" s="112" t="s">
        <v>1683</v>
      </c>
      <c r="D1188" s="186" t="s">
        <v>3493</v>
      </c>
      <c r="E1188" s="114" t="s">
        <v>2593</v>
      </c>
      <c r="F1188" s="237" t="s">
        <v>1497</v>
      </c>
      <c r="G1188" s="114" t="s">
        <v>1497</v>
      </c>
      <c r="H1188" s="115">
        <v>500</v>
      </c>
      <c r="I1188" s="161">
        <v>40</v>
      </c>
      <c r="J1188" s="115">
        <f>Table224[[#This Row],[Qty]]-Table224[[#This Row],[Issue Qty]]</f>
        <v>460</v>
      </c>
      <c r="K1188" s="195"/>
      <c r="L1188" s="195" t="s">
        <v>3480</v>
      </c>
      <c r="M1188" s="116">
        <v>15</v>
      </c>
      <c r="N1188" s="124">
        <f t="shared" si="63"/>
        <v>7500</v>
      </c>
      <c r="O1188" s="82">
        <v>0.05</v>
      </c>
      <c r="P1188" s="125">
        <f t="shared" si="65"/>
        <v>375</v>
      </c>
      <c r="Q1188" s="215"/>
      <c r="R1188" s="215"/>
      <c r="S1188" s="93">
        <f t="shared" si="64"/>
        <v>7875</v>
      </c>
      <c r="T1188" s="1" t="s">
        <v>2887</v>
      </c>
      <c r="U1188" s="141" t="s">
        <v>3245</v>
      </c>
      <c r="V1188" s="114" t="s">
        <v>3009</v>
      </c>
      <c r="W1188" s="114" t="s">
        <v>3266</v>
      </c>
      <c r="X1188" s="114">
        <v>88073020</v>
      </c>
      <c r="Y1188" s="211"/>
      <c r="Z1188" s="21" t="s">
        <v>638</v>
      </c>
      <c r="AA1188" s="21" t="s">
        <v>3183</v>
      </c>
      <c r="AB1188" s="121">
        <v>40</v>
      </c>
      <c r="AC1188" s="123" t="s">
        <v>2887</v>
      </c>
      <c r="AD1188" s="211"/>
      <c r="AE1188" s="211"/>
      <c r="AF1188" s="211"/>
      <c r="AG1188" s="211"/>
    </row>
    <row r="1189" spans="1:33" s="206" customFormat="1" x14ac:dyDescent="0.25">
      <c r="A1189" s="113">
        <v>46186</v>
      </c>
      <c r="B1189" s="113">
        <v>46188</v>
      </c>
      <c r="C1189" s="112" t="s">
        <v>1683</v>
      </c>
      <c r="D1189" s="186" t="s">
        <v>3487</v>
      </c>
      <c r="E1189" s="114" t="s">
        <v>3249</v>
      </c>
      <c r="F1189" s="237" t="s">
        <v>3250</v>
      </c>
      <c r="G1189" s="114" t="s">
        <v>3250</v>
      </c>
      <c r="H1189" s="115">
        <v>100</v>
      </c>
      <c r="I1189" s="8"/>
      <c r="J1189" s="115">
        <f>Table224[[#This Row],[Qty]]-Table224[[#This Row],[Issue Qty]]</f>
        <v>100</v>
      </c>
      <c r="K1189" s="195"/>
      <c r="L1189" s="195" t="s">
        <v>3480</v>
      </c>
      <c r="M1189" s="116">
        <v>35</v>
      </c>
      <c r="N1189" s="124">
        <f t="shared" si="63"/>
        <v>3500</v>
      </c>
      <c r="O1189" s="82">
        <v>0.18</v>
      </c>
      <c r="P1189" s="125">
        <f t="shared" si="65"/>
        <v>630</v>
      </c>
      <c r="Q1189" s="135">
        <v>1180</v>
      </c>
      <c r="R1189" s="215"/>
      <c r="S1189" s="93">
        <f t="shared" si="64"/>
        <v>5310</v>
      </c>
      <c r="T1189" s="3" t="s">
        <v>1408</v>
      </c>
      <c r="U1189" s="141" t="s">
        <v>1408</v>
      </c>
      <c r="V1189" s="114" t="s">
        <v>1420</v>
      </c>
      <c r="W1189" s="114" t="s">
        <v>3252</v>
      </c>
      <c r="X1189" s="114">
        <v>85367000</v>
      </c>
      <c r="Y1189" s="211"/>
      <c r="Z1189" s="21" t="s">
        <v>268</v>
      </c>
      <c r="AA1189" s="21"/>
      <c r="AB1189" s="121"/>
      <c r="AC1189" s="12"/>
      <c r="AD1189" s="211"/>
      <c r="AE1189" s="211"/>
      <c r="AF1189" s="211"/>
      <c r="AG1189" s="211"/>
    </row>
    <row r="1190" spans="1:33" s="206" customFormat="1" ht="30" x14ac:dyDescent="0.25">
      <c r="A1190" s="113">
        <v>46186</v>
      </c>
      <c r="B1190" s="113">
        <v>46188</v>
      </c>
      <c r="C1190" s="112" t="s">
        <v>1683</v>
      </c>
      <c r="D1190" s="186" t="s">
        <v>3493</v>
      </c>
      <c r="E1190" s="114" t="s">
        <v>3265</v>
      </c>
      <c r="F1190" s="237" t="s">
        <v>3263</v>
      </c>
      <c r="G1190" s="114" t="s">
        <v>3263</v>
      </c>
      <c r="H1190" s="115">
        <v>500</v>
      </c>
      <c r="I1190" s="116"/>
      <c r="J1190" s="115">
        <f>Table224[[#This Row],[Qty]]-Table224[[#This Row],[Issue Qty]]</f>
        <v>500</v>
      </c>
      <c r="K1190" s="195"/>
      <c r="L1190" s="195" t="s">
        <v>3480</v>
      </c>
      <c r="M1190" s="116">
        <v>58.48</v>
      </c>
      <c r="N1190" s="124">
        <f t="shared" si="63"/>
        <v>29240</v>
      </c>
      <c r="O1190" s="82">
        <v>0.05</v>
      </c>
      <c r="P1190" s="125">
        <f t="shared" si="65"/>
        <v>1462</v>
      </c>
      <c r="Q1190" s="215"/>
      <c r="R1190" s="215"/>
      <c r="S1190" s="93">
        <f t="shared" si="64"/>
        <v>30702</v>
      </c>
      <c r="T1190" s="1" t="s">
        <v>2887</v>
      </c>
      <c r="U1190" s="141" t="s">
        <v>3245</v>
      </c>
      <c r="V1190" s="114" t="s">
        <v>3009</v>
      </c>
      <c r="W1190" s="114" t="s">
        <v>3266</v>
      </c>
      <c r="X1190" s="114">
        <v>88073020</v>
      </c>
      <c r="Y1190" s="211"/>
      <c r="Z1190" s="21" t="s">
        <v>638</v>
      </c>
      <c r="AA1190" s="21" t="s">
        <v>3183</v>
      </c>
      <c r="AB1190" s="121"/>
      <c r="AC1190" s="123"/>
      <c r="AD1190" s="211"/>
      <c r="AE1190" s="211"/>
      <c r="AF1190" s="211"/>
      <c r="AG1190" s="211"/>
    </row>
    <row r="1191" spans="1:33" s="206" customFormat="1" ht="30" x14ac:dyDescent="0.25">
      <c r="A1191" s="113">
        <v>46186</v>
      </c>
      <c r="B1191" s="113">
        <v>46188</v>
      </c>
      <c r="C1191" s="112" t="s">
        <v>1683</v>
      </c>
      <c r="D1191" s="186" t="s">
        <v>3493</v>
      </c>
      <c r="E1191" s="114" t="s">
        <v>3264</v>
      </c>
      <c r="F1191" s="237" t="s">
        <v>3262</v>
      </c>
      <c r="G1191" s="114" t="s">
        <v>3262</v>
      </c>
      <c r="H1191" s="115">
        <v>500</v>
      </c>
      <c r="I1191" s="116"/>
      <c r="J1191" s="115">
        <f>Table224[[#This Row],[Qty]]-Table224[[#This Row],[Issue Qty]]</f>
        <v>500</v>
      </c>
      <c r="K1191" s="195"/>
      <c r="L1191" s="195" t="s">
        <v>3480</v>
      </c>
      <c r="M1191" s="116">
        <v>58.48</v>
      </c>
      <c r="N1191" s="124">
        <f t="shared" si="63"/>
        <v>29240</v>
      </c>
      <c r="O1191" s="82">
        <v>0.05</v>
      </c>
      <c r="P1191" s="125">
        <f t="shared" si="65"/>
        <v>1462</v>
      </c>
      <c r="Q1191" s="215"/>
      <c r="R1191" s="215"/>
      <c r="S1191" s="93">
        <f t="shared" si="64"/>
        <v>30702</v>
      </c>
      <c r="T1191" s="1" t="s">
        <v>2887</v>
      </c>
      <c r="U1191" s="141" t="s">
        <v>3245</v>
      </c>
      <c r="V1191" s="114" t="s">
        <v>3009</v>
      </c>
      <c r="W1191" s="114" t="s">
        <v>3266</v>
      </c>
      <c r="X1191" s="114">
        <v>88073020</v>
      </c>
      <c r="Y1191" s="211"/>
      <c r="Z1191" s="21" t="s">
        <v>638</v>
      </c>
      <c r="AA1191" s="21" t="s">
        <v>3183</v>
      </c>
      <c r="AB1191" s="121"/>
      <c r="AC1191" s="123"/>
      <c r="AD1191" s="211"/>
      <c r="AE1191" s="211"/>
      <c r="AF1191" s="211"/>
      <c r="AG1191" s="211"/>
    </row>
    <row r="1192" spans="1:33" s="206" customFormat="1" x14ac:dyDescent="0.25">
      <c r="A1192" s="113">
        <v>46172</v>
      </c>
      <c r="B1192" s="113">
        <v>46188</v>
      </c>
      <c r="C1192" s="114" t="s">
        <v>54</v>
      </c>
      <c r="D1192" s="186" t="s">
        <v>3489</v>
      </c>
      <c r="E1192" s="114" t="s">
        <v>3256</v>
      </c>
      <c r="F1192" s="237" t="s">
        <v>3257</v>
      </c>
      <c r="G1192" s="114" t="s">
        <v>3257</v>
      </c>
      <c r="H1192" s="115">
        <v>1</v>
      </c>
      <c r="I1192" s="116"/>
      <c r="J1192" s="115">
        <f>Table224[[#This Row],[Qty]]-Table224[[#This Row],[Issue Qty]]</f>
        <v>1</v>
      </c>
      <c r="K1192" s="195"/>
      <c r="L1192" s="195" t="s">
        <v>3480</v>
      </c>
      <c r="M1192" s="116">
        <v>4750</v>
      </c>
      <c r="N1192" s="124">
        <f t="shared" si="63"/>
        <v>4750</v>
      </c>
      <c r="O1192" s="82">
        <v>0.18</v>
      </c>
      <c r="P1192" s="125">
        <f t="shared" si="65"/>
        <v>855</v>
      </c>
      <c r="Q1192" s="215"/>
      <c r="R1192" s="215"/>
      <c r="S1192" s="93">
        <f t="shared" si="64"/>
        <v>5605</v>
      </c>
      <c r="T1192" s="3" t="s">
        <v>3244</v>
      </c>
      <c r="U1192" s="141" t="s">
        <v>3244</v>
      </c>
      <c r="V1192" s="114" t="s">
        <v>2990</v>
      </c>
      <c r="W1192" s="114">
        <v>31</v>
      </c>
      <c r="X1192" s="211"/>
      <c r="Y1192" s="211"/>
      <c r="Z1192" s="21"/>
      <c r="AA1192" s="21"/>
      <c r="AB1192" s="121"/>
      <c r="AC1192" s="12"/>
      <c r="AD1192" s="211"/>
      <c r="AE1192" s="211"/>
      <c r="AF1192" s="211"/>
      <c r="AG1192" s="211"/>
    </row>
    <row r="1193" spans="1:33" s="206" customFormat="1" x14ac:dyDescent="0.25">
      <c r="A1193" s="113">
        <v>46188</v>
      </c>
      <c r="B1193" s="113">
        <v>46189</v>
      </c>
      <c r="C1193" s="114" t="s">
        <v>54</v>
      </c>
      <c r="D1193" s="186" t="s">
        <v>3430</v>
      </c>
      <c r="E1193" s="114" t="s">
        <v>3261</v>
      </c>
      <c r="F1193" s="284" t="s">
        <v>3259</v>
      </c>
      <c r="G1193" s="114" t="s">
        <v>3259</v>
      </c>
      <c r="H1193" s="115">
        <v>4</v>
      </c>
      <c r="I1193" s="115">
        <v>1</v>
      </c>
      <c r="J1193" s="115">
        <f>Table224[[#This Row],[Qty]]-Table224[[#This Row],[Issue Qty]]</f>
        <v>3</v>
      </c>
      <c r="K1193" s="195"/>
      <c r="L1193" s="195" t="s">
        <v>3479</v>
      </c>
      <c r="M1193" s="116">
        <v>7850</v>
      </c>
      <c r="N1193" s="124">
        <f t="shared" si="63"/>
        <v>31400</v>
      </c>
      <c r="O1193" s="82">
        <v>0.05</v>
      </c>
      <c r="P1193" s="125">
        <f t="shared" si="65"/>
        <v>1570</v>
      </c>
      <c r="Q1193" s="215"/>
      <c r="R1193" s="215"/>
      <c r="S1193" s="93">
        <f t="shared" si="64"/>
        <v>32970</v>
      </c>
      <c r="T1193" s="1" t="s">
        <v>2887</v>
      </c>
      <c r="U1193" s="3" t="s">
        <v>2816</v>
      </c>
      <c r="V1193" s="114" t="s">
        <v>1420</v>
      </c>
      <c r="W1193" s="114" t="s">
        <v>3260</v>
      </c>
      <c r="X1193" s="114">
        <v>88073020</v>
      </c>
      <c r="Y1193" s="211"/>
      <c r="Z1193" s="21" t="s">
        <v>126</v>
      </c>
      <c r="AA1193" s="21"/>
      <c r="AB1193" s="121">
        <v>1</v>
      </c>
      <c r="AC1193" s="123" t="s">
        <v>3696</v>
      </c>
      <c r="AD1193" s="211"/>
      <c r="AE1193" s="211"/>
      <c r="AF1193" s="211"/>
      <c r="AG1193" s="211"/>
    </row>
    <row r="1194" spans="1:33" s="206" customFormat="1" ht="60" x14ac:dyDescent="0.25">
      <c r="A1194" s="113">
        <v>46188</v>
      </c>
      <c r="B1194" s="113">
        <v>46189</v>
      </c>
      <c r="C1194" s="112" t="s">
        <v>1683</v>
      </c>
      <c r="D1194" s="186" t="s">
        <v>3431</v>
      </c>
      <c r="E1194" s="114" t="s">
        <v>2532</v>
      </c>
      <c r="F1194" s="321" t="s">
        <v>1436</v>
      </c>
      <c r="G1194" s="114" t="s">
        <v>1436</v>
      </c>
      <c r="H1194" s="115">
        <v>20</v>
      </c>
      <c r="I1194" s="115">
        <v>10</v>
      </c>
      <c r="J1194" s="115">
        <f>Table224[[#This Row],[Qty]]-Table224[[#This Row],[Issue Qty]]</f>
        <v>10</v>
      </c>
      <c r="K1194" s="73"/>
      <c r="L1194" s="73" t="s">
        <v>3479</v>
      </c>
      <c r="M1194" s="116">
        <v>10900</v>
      </c>
      <c r="N1194" s="124">
        <f t="shared" si="63"/>
        <v>218000</v>
      </c>
      <c r="O1194" s="82">
        <v>0.05</v>
      </c>
      <c r="P1194" s="125">
        <f t="shared" si="65"/>
        <v>10900</v>
      </c>
      <c r="Q1194" s="215"/>
      <c r="R1194" s="215"/>
      <c r="S1194" s="93">
        <f t="shared" si="64"/>
        <v>228900</v>
      </c>
      <c r="T1194" s="3" t="s">
        <v>3242</v>
      </c>
      <c r="U1194" s="135" t="s">
        <v>3242</v>
      </c>
      <c r="V1194" s="114" t="s">
        <v>1420</v>
      </c>
      <c r="W1194" s="114" t="s">
        <v>3260</v>
      </c>
      <c r="X1194" s="114">
        <v>88073020</v>
      </c>
      <c r="Y1194" s="211"/>
      <c r="Z1194" s="21" t="s">
        <v>3248</v>
      </c>
      <c r="AA1194" s="21" t="s">
        <v>3183</v>
      </c>
      <c r="AB1194" s="121">
        <v>10</v>
      </c>
      <c r="AC1194" s="123" t="s">
        <v>3891</v>
      </c>
      <c r="AD1194" s="211"/>
      <c r="AE1194" s="211"/>
      <c r="AF1194" s="211"/>
      <c r="AG1194" s="211"/>
    </row>
    <row r="1195" spans="1:33" s="206" customFormat="1" x14ac:dyDescent="0.25">
      <c r="A1195" s="113">
        <v>46188</v>
      </c>
      <c r="B1195" s="113">
        <v>46189</v>
      </c>
      <c r="C1195" s="112" t="s">
        <v>1683</v>
      </c>
      <c r="D1195" s="186" t="s">
        <v>3431</v>
      </c>
      <c r="E1195" s="114" t="s">
        <v>2891</v>
      </c>
      <c r="F1195" s="237" t="s">
        <v>2892</v>
      </c>
      <c r="G1195" s="114" t="s">
        <v>2892</v>
      </c>
      <c r="H1195" s="115">
        <v>4</v>
      </c>
      <c r="I1195" s="115">
        <v>4</v>
      </c>
      <c r="J1195" s="115">
        <f>Table224[[#This Row],[Qty]]-Table224[[#This Row],[Issue Qty]]</f>
        <v>0</v>
      </c>
      <c r="K1195" s="195"/>
      <c r="L1195" s="195" t="s">
        <v>3480</v>
      </c>
      <c r="M1195" s="116">
        <v>8500</v>
      </c>
      <c r="N1195" s="124">
        <f t="shared" si="63"/>
        <v>34000</v>
      </c>
      <c r="O1195" s="82">
        <v>0.05</v>
      </c>
      <c r="P1195" s="125">
        <f t="shared" si="65"/>
        <v>1700</v>
      </c>
      <c r="Q1195" s="215"/>
      <c r="R1195" s="215"/>
      <c r="S1195" s="93">
        <f t="shared" si="64"/>
        <v>35700</v>
      </c>
      <c r="T1195" s="1" t="s">
        <v>2887</v>
      </c>
      <c r="U1195" s="135" t="s">
        <v>2816</v>
      </c>
      <c r="V1195" s="114" t="s">
        <v>1420</v>
      </c>
      <c r="W1195" s="114" t="s">
        <v>3260</v>
      </c>
      <c r="X1195" s="114">
        <v>88073020</v>
      </c>
      <c r="Y1195" s="211"/>
      <c r="Z1195" s="21"/>
      <c r="AA1195" s="21"/>
      <c r="AB1195" s="121"/>
      <c r="AC1195" s="123" t="s">
        <v>3790</v>
      </c>
      <c r="AD1195" s="211"/>
      <c r="AE1195" s="211"/>
      <c r="AF1195" s="211"/>
      <c r="AG1195" s="211"/>
    </row>
    <row r="1196" spans="1:33" s="206" customFormat="1" x14ac:dyDescent="0.25">
      <c r="A1196" s="113">
        <v>46188</v>
      </c>
      <c r="B1196" s="113">
        <v>46189</v>
      </c>
      <c r="C1196" s="114" t="s">
        <v>54</v>
      </c>
      <c r="D1196" s="186" t="s">
        <v>3430</v>
      </c>
      <c r="E1196" s="114" t="s">
        <v>2565</v>
      </c>
      <c r="F1196" s="237" t="s">
        <v>1472</v>
      </c>
      <c r="G1196" s="114" t="s">
        <v>1472</v>
      </c>
      <c r="H1196" s="115">
        <v>4</v>
      </c>
      <c r="I1196" s="115"/>
      <c r="J1196" s="115">
        <f>Table224[[#This Row],[Qty]]-Table224[[#This Row],[Issue Qty]]</f>
        <v>4</v>
      </c>
      <c r="K1196" s="195"/>
      <c r="L1196" s="195" t="s">
        <v>3479</v>
      </c>
      <c r="M1196" s="116">
        <v>22560</v>
      </c>
      <c r="N1196" s="126">
        <f t="shared" si="63"/>
        <v>90240</v>
      </c>
      <c r="O1196" s="82">
        <v>0.05</v>
      </c>
      <c r="P1196" s="118">
        <f t="shared" si="65"/>
        <v>4512</v>
      </c>
      <c r="Q1196" s="215"/>
      <c r="R1196" s="215"/>
      <c r="S1196" s="116">
        <f t="shared" si="64"/>
        <v>94752</v>
      </c>
      <c r="T1196" s="1" t="s">
        <v>2887</v>
      </c>
      <c r="U1196" s="135" t="s">
        <v>2816</v>
      </c>
      <c r="V1196" s="114" t="s">
        <v>1420</v>
      </c>
      <c r="W1196" s="114" t="s">
        <v>3260</v>
      </c>
      <c r="X1196" s="114">
        <v>88073020</v>
      </c>
      <c r="Y1196" s="211"/>
      <c r="Z1196" s="21" t="s">
        <v>126</v>
      </c>
      <c r="AA1196" s="21"/>
      <c r="AB1196" s="121"/>
      <c r="AC1196" s="123"/>
      <c r="AD1196" s="211"/>
      <c r="AE1196" s="211"/>
      <c r="AF1196" s="211"/>
      <c r="AG1196" s="211"/>
    </row>
    <row r="1197" spans="1:33" s="206" customFormat="1" x14ac:dyDescent="0.25">
      <c r="A1197" s="113">
        <v>46188</v>
      </c>
      <c r="B1197" s="113">
        <v>46189</v>
      </c>
      <c r="C1197" s="1" t="s">
        <v>54</v>
      </c>
      <c r="D1197" s="186" t="s">
        <v>3430</v>
      </c>
      <c r="E1197" s="114" t="s">
        <v>1902</v>
      </c>
      <c r="F1197" s="181" t="s">
        <v>537</v>
      </c>
      <c r="G1197" s="114" t="s">
        <v>537</v>
      </c>
      <c r="H1197" s="115">
        <v>4</v>
      </c>
      <c r="I1197" s="115">
        <v>0</v>
      </c>
      <c r="J1197" s="115">
        <f>Table224[[#This Row],[Qty]]-Table224[[#This Row],[Issue Qty]]</f>
        <v>4</v>
      </c>
      <c r="K1197" s="195"/>
      <c r="L1197" s="195" t="s">
        <v>3479</v>
      </c>
      <c r="M1197" s="116">
        <v>28080</v>
      </c>
      <c r="N1197" s="126">
        <f t="shared" si="63"/>
        <v>112320</v>
      </c>
      <c r="O1197" s="82">
        <v>0.05</v>
      </c>
      <c r="P1197" s="118">
        <f t="shared" si="65"/>
        <v>5616</v>
      </c>
      <c r="Q1197" s="215"/>
      <c r="R1197" s="215"/>
      <c r="S1197" s="116">
        <f t="shared" si="64"/>
        <v>117936</v>
      </c>
      <c r="T1197" s="1" t="s">
        <v>2887</v>
      </c>
      <c r="U1197" s="135" t="s">
        <v>2816</v>
      </c>
      <c r="V1197" s="114" t="s">
        <v>1420</v>
      </c>
      <c r="W1197" s="114" t="s">
        <v>3260</v>
      </c>
      <c r="X1197" s="114">
        <v>88073020</v>
      </c>
      <c r="Y1197" s="211"/>
      <c r="Z1197" s="21" t="s">
        <v>3349</v>
      </c>
      <c r="AA1197" s="21"/>
      <c r="AB1197" s="121">
        <v>1</v>
      </c>
      <c r="AC1197" s="22" t="s">
        <v>3668</v>
      </c>
      <c r="AD1197" s="211"/>
      <c r="AE1197" s="211"/>
      <c r="AF1197" s="211"/>
      <c r="AG1197" s="211"/>
    </row>
    <row r="1198" spans="1:33" s="206" customFormat="1" x14ac:dyDescent="0.25">
      <c r="A1198" s="113">
        <v>46181</v>
      </c>
      <c r="B1198" s="113">
        <v>46190</v>
      </c>
      <c r="C1198" s="6" t="s">
        <v>1730</v>
      </c>
      <c r="D1198" s="186" t="s">
        <v>3592</v>
      </c>
      <c r="E1198" s="114" t="s">
        <v>2985</v>
      </c>
      <c r="F1198" s="319" t="s">
        <v>3237</v>
      </c>
      <c r="G1198" s="29" t="s">
        <v>3237</v>
      </c>
      <c r="H1198" s="115">
        <v>20</v>
      </c>
      <c r="I1198" s="115">
        <v>20</v>
      </c>
      <c r="J1198" s="115">
        <f>Table224[[#This Row],[Qty]]-Table224[[#This Row],[Issue Qty]]</f>
        <v>0</v>
      </c>
      <c r="K1198" s="195"/>
      <c r="L1198" s="195" t="s">
        <v>3480</v>
      </c>
      <c r="M1198" s="116">
        <v>1200</v>
      </c>
      <c r="N1198" s="126">
        <f t="shared" si="63"/>
        <v>24000</v>
      </c>
      <c r="O1198" s="82">
        <v>0.18</v>
      </c>
      <c r="P1198" s="118">
        <f t="shared" si="65"/>
        <v>4320</v>
      </c>
      <c r="Q1198" s="215"/>
      <c r="R1198" s="215"/>
      <c r="S1198" s="116">
        <f t="shared" si="64"/>
        <v>28320</v>
      </c>
      <c r="T1198" s="135" t="s">
        <v>3242</v>
      </c>
      <c r="U1198" s="135" t="s">
        <v>3242</v>
      </c>
      <c r="V1198" s="114" t="s">
        <v>2990</v>
      </c>
      <c r="W1198" s="114">
        <v>32</v>
      </c>
      <c r="X1198" s="211"/>
      <c r="Y1198" s="211"/>
      <c r="Z1198" s="21"/>
      <c r="AA1198" s="21"/>
      <c r="AB1198" s="121">
        <v>20</v>
      </c>
      <c r="AC1198" s="123" t="s">
        <v>3835</v>
      </c>
      <c r="AD1198" s="211"/>
      <c r="AE1198" s="211"/>
      <c r="AF1198" s="211"/>
      <c r="AG1198" s="211"/>
    </row>
    <row r="1199" spans="1:33" s="206" customFormat="1" x14ac:dyDescent="0.25">
      <c r="A1199" s="113">
        <v>46181</v>
      </c>
      <c r="B1199" s="113">
        <v>46190</v>
      </c>
      <c r="C1199" s="6" t="s">
        <v>1730</v>
      </c>
      <c r="D1199" s="186" t="s">
        <v>3592</v>
      </c>
      <c r="E1199" s="114" t="s">
        <v>3036</v>
      </c>
      <c r="F1199" s="319" t="s">
        <v>3002</v>
      </c>
      <c r="G1199" s="29" t="s">
        <v>3002</v>
      </c>
      <c r="H1199" s="115">
        <v>20</v>
      </c>
      <c r="I1199" s="115">
        <v>20</v>
      </c>
      <c r="J1199" s="115">
        <f>Table224[[#This Row],[Qty]]-Table224[[#This Row],[Issue Qty]]</f>
        <v>0</v>
      </c>
      <c r="K1199" s="195"/>
      <c r="L1199" s="195" t="s">
        <v>3480</v>
      </c>
      <c r="M1199" s="116">
        <v>1300</v>
      </c>
      <c r="N1199" s="126">
        <f t="shared" si="63"/>
        <v>26000</v>
      </c>
      <c r="O1199" s="82">
        <v>0.18</v>
      </c>
      <c r="P1199" s="118">
        <f t="shared" si="65"/>
        <v>4680</v>
      </c>
      <c r="Q1199" s="215"/>
      <c r="R1199" s="215"/>
      <c r="S1199" s="116">
        <f t="shared" si="64"/>
        <v>30680</v>
      </c>
      <c r="T1199" s="135" t="s">
        <v>3242</v>
      </c>
      <c r="U1199" s="135" t="s">
        <v>3242</v>
      </c>
      <c r="V1199" s="114" t="s">
        <v>2990</v>
      </c>
      <c r="W1199" s="114">
        <v>32</v>
      </c>
      <c r="X1199" s="114"/>
      <c r="Y1199" s="114"/>
      <c r="Z1199" s="21"/>
      <c r="AA1199" s="21"/>
      <c r="AB1199" s="121">
        <v>20</v>
      </c>
      <c r="AC1199" s="202" t="s">
        <v>3836</v>
      </c>
      <c r="AD1199" s="211"/>
      <c r="AE1199" s="211"/>
      <c r="AF1199" s="211"/>
      <c r="AG1199" s="211"/>
    </row>
    <row r="1200" spans="1:33" s="206" customFormat="1" ht="30" x14ac:dyDescent="0.25">
      <c r="A1200" s="113">
        <v>46186</v>
      </c>
      <c r="B1200" s="113">
        <v>46191</v>
      </c>
      <c r="C1200" s="112" t="s">
        <v>1683</v>
      </c>
      <c r="D1200" s="186" t="s">
        <v>3493</v>
      </c>
      <c r="E1200" s="114" t="s">
        <v>3287</v>
      </c>
      <c r="F1200" s="237" t="s">
        <v>3270</v>
      </c>
      <c r="G1200" s="29" t="s">
        <v>3270</v>
      </c>
      <c r="H1200" s="115">
        <v>60</v>
      </c>
      <c r="I1200" s="115"/>
      <c r="J1200" s="115">
        <f>Table224[[#This Row],[Qty]]-Table224[[#This Row],[Issue Qty]]</f>
        <v>60</v>
      </c>
      <c r="K1200" s="195"/>
      <c r="L1200" s="195" t="s">
        <v>3514</v>
      </c>
      <c r="M1200" s="116">
        <v>30.508500000000002</v>
      </c>
      <c r="N1200" s="126">
        <f t="shared" si="63"/>
        <v>1830.51</v>
      </c>
      <c r="O1200" s="82">
        <v>0.18</v>
      </c>
      <c r="P1200" s="118">
        <f t="shared" si="65"/>
        <v>329.49180000000001</v>
      </c>
      <c r="Q1200" s="215"/>
      <c r="R1200" s="215"/>
      <c r="S1200" s="116">
        <f t="shared" si="64"/>
        <v>2160.0018</v>
      </c>
      <c r="T1200" s="135" t="s">
        <v>2887</v>
      </c>
      <c r="U1200" s="135" t="s">
        <v>3245</v>
      </c>
      <c r="V1200" s="114" t="s">
        <v>634</v>
      </c>
      <c r="W1200" s="114" t="s">
        <v>3283</v>
      </c>
      <c r="X1200" s="114">
        <v>85444999</v>
      </c>
      <c r="Y1200" s="211"/>
      <c r="Z1200" s="21" t="s">
        <v>1345</v>
      </c>
      <c r="AA1200" s="21"/>
      <c r="AB1200" s="121"/>
      <c r="AC1200" s="123"/>
      <c r="AD1200" s="211"/>
      <c r="AE1200" s="211"/>
      <c r="AF1200" s="211"/>
      <c r="AG1200" s="211"/>
    </row>
    <row r="1201" spans="1:33" s="206" customFormat="1" ht="30" x14ac:dyDescent="0.25">
      <c r="A1201" s="113">
        <v>46186</v>
      </c>
      <c r="B1201" s="113">
        <v>46191</v>
      </c>
      <c r="C1201" s="112" t="s">
        <v>1683</v>
      </c>
      <c r="D1201" s="186" t="s">
        <v>3528</v>
      </c>
      <c r="E1201" s="114" t="s">
        <v>3288</v>
      </c>
      <c r="F1201" s="237" t="s">
        <v>3271</v>
      </c>
      <c r="G1201" s="29" t="s">
        <v>3271</v>
      </c>
      <c r="H1201" s="115">
        <v>15</v>
      </c>
      <c r="I1201" s="115">
        <v>9</v>
      </c>
      <c r="J1201" s="115">
        <f>Table224[[#This Row],[Qty]]-Table224[[#This Row],[Issue Qty]]</f>
        <v>6</v>
      </c>
      <c r="K1201" s="195"/>
      <c r="L1201" s="195" t="s">
        <v>3480</v>
      </c>
      <c r="M1201" s="116">
        <v>81.355999999999995</v>
      </c>
      <c r="N1201" s="126">
        <f t="shared" si="63"/>
        <v>1220.3399999999999</v>
      </c>
      <c r="O1201" s="82">
        <v>0.18</v>
      </c>
      <c r="P1201" s="118">
        <f t="shared" ref="P1201:P1232" si="66">N1201*O1201</f>
        <v>219.66119999999998</v>
      </c>
      <c r="Q1201" s="215"/>
      <c r="R1201" s="215"/>
      <c r="S1201" s="116">
        <f t="shared" si="64"/>
        <v>1440.0011999999999</v>
      </c>
      <c r="T1201" s="135" t="s">
        <v>3245</v>
      </c>
      <c r="U1201" s="135" t="s">
        <v>3245</v>
      </c>
      <c r="V1201" s="114" t="s">
        <v>634</v>
      </c>
      <c r="W1201" s="114" t="s">
        <v>3283</v>
      </c>
      <c r="X1201" s="114">
        <v>85439000</v>
      </c>
      <c r="Y1201" s="211"/>
      <c r="Z1201" s="21" t="s">
        <v>2808</v>
      </c>
      <c r="AA1201" s="21"/>
      <c r="AB1201" s="121">
        <v>9</v>
      </c>
      <c r="AC1201" s="123" t="s">
        <v>3303</v>
      </c>
      <c r="AD1201" s="211"/>
      <c r="AE1201" s="211"/>
      <c r="AF1201" s="211"/>
      <c r="AG1201" s="211"/>
    </row>
    <row r="1202" spans="1:33" s="206" customFormat="1" x14ac:dyDescent="0.25">
      <c r="A1202" s="113">
        <v>46191</v>
      </c>
      <c r="B1202" s="113">
        <v>46191</v>
      </c>
      <c r="C1202" s="1" t="s">
        <v>54</v>
      </c>
      <c r="D1202" s="186" t="s">
        <v>3497</v>
      </c>
      <c r="E1202" s="114" t="s">
        <v>3291</v>
      </c>
      <c r="F1202" s="319" t="s">
        <v>3274</v>
      </c>
      <c r="G1202" s="29" t="s">
        <v>3274</v>
      </c>
      <c r="H1202" s="115">
        <v>10</v>
      </c>
      <c r="I1202" s="115">
        <v>10</v>
      </c>
      <c r="J1202" s="115">
        <f>Table224[[#This Row],[Qty]]-Table224[[#This Row],[Issue Qty]]</f>
        <v>0</v>
      </c>
      <c r="K1202" s="195"/>
      <c r="L1202" s="195" t="s">
        <v>3480</v>
      </c>
      <c r="M1202" s="116">
        <v>1261.8</v>
      </c>
      <c r="N1202" s="126">
        <f t="shared" si="63"/>
        <v>12618</v>
      </c>
      <c r="O1202" s="82">
        <v>0.18</v>
      </c>
      <c r="P1202" s="118">
        <f t="shared" si="66"/>
        <v>2271.2399999999998</v>
      </c>
      <c r="Q1202" s="215"/>
      <c r="R1202" s="215"/>
      <c r="S1202" s="116">
        <f t="shared" si="64"/>
        <v>14889.24</v>
      </c>
      <c r="T1202" s="135" t="s">
        <v>3242</v>
      </c>
      <c r="U1202" s="135" t="s">
        <v>3242</v>
      </c>
      <c r="V1202" s="114" t="s">
        <v>1511</v>
      </c>
      <c r="W1202" s="114">
        <v>6760000056</v>
      </c>
      <c r="X1202" s="114">
        <v>68151090</v>
      </c>
      <c r="Y1202" s="211"/>
      <c r="Z1202" s="21"/>
      <c r="AA1202" s="21"/>
      <c r="AB1202" s="121">
        <v>10</v>
      </c>
      <c r="AC1202" s="123"/>
      <c r="AD1202" s="211"/>
      <c r="AE1202" s="211"/>
      <c r="AF1202" s="211"/>
      <c r="AG1202" s="211"/>
    </row>
    <row r="1203" spans="1:33" s="206" customFormat="1" x14ac:dyDescent="0.25">
      <c r="A1203" s="113">
        <v>46186</v>
      </c>
      <c r="B1203" s="113">
        <v>46191</v>
      </c>
      <c r="C1203" s="112" t="s">
        <v>1730</v>
      </c>
      <c r="D1203" s="224" t="s">
        <v>3594</v>
      </c>
      <c r="E1203" s="114" t="s">
        <v>3289</v>
      </c>
      <c r="F1203" s="237" t="s">
        <v>3272</v>
      </c>
      <c r="G1203" s="29" t="s">
        <v>3272</v>
      </c>
      <c r="H1203" s="115">
        <v>3</v>
      </c>
      <c r="I1203" s="115">
        <v>2</v>
      </c>
      <c r="J1203" s="115">
        <f>Table224[[#This Row],[Qty]]-Table224[[#This Row],[Issue Qty]]</f>
        <v>1</v>
      </c>
      <c r="K1203" s="195"/>
      <c r="L1203" s="195" t="s">
        <v>3480</v>
      </c>
      <c r="M1203" s="116">
        <v>1093.22</v>
      </c>
      <c r="N1203" s="126">
        <f t="shared" si="63"/>
        <v>3279.66</v>
      </c>
      <c r="O1203" s="82">
        <v>0.18</v>
      </c>
      <c r="P1203" s="118">
        <f t="shared" si="66"/>
        <v>590.33879999999999</v>
      </c>
      <c r="Q1203" s="215"/>
      <c r="R1203" s="215"/>
      <c r="S1203" s="116">
        <f t="shared" si="64"/>
        <v>3869.9987999999998</v>
      </c>
      <c r="T1203" s="135" t="s">
        <v>3245</v>
      </c>
      <c r="U1203" s="135" t="s">
        <v>3245</v>
      </c>
      <c r="V1203" s="114" t="s">
        <v>634</v>
      </c>
      <c r="W1203" s="114" t="s">
        <v>3283</v>
      </c>
      <c r="X1203" s="114">
        <v>84439990</v>
      </c>
      <c r="Y1203" s="211"/>
      <c r="Z1203" s="21" t="s">
        <v>1317</v>
      </c>
      <c r="AA1203" s="21"/>
      <c r="AB1203" s="121">
        <v>1</v>
      </c>
      <c r="AC1203" s="123" t="s">
        <v>3640</v>
      </c>
      <c r="AD1203" s="211"/>
      <c r="AE1203" s="211"/>
      <c r="AF1203" s="211"/>
      <c r="AG1203" s="211"/>
    </row>
    <row r="1204" spans="1:33" s="206" customFormat="1" x14ac:dyDescent="0.25">
      <c r="A1204" s="113">
        <v>46191</v>
      </c>
      <c r="B1204" s="113">
        <v>46191</v>
      </c>
      <c r="C1204" s="114" t="s">
        <v>54</v>
      </c>
      <c r="D1204" s="186" t="s">
        <v>3489</v>
      </c>
      <c r="E1204" s="114" t="s">
        <v>3292</v>
      </c>
      <c r="F1204" s="319" t="s">
        <v>3275</v>
      </c>
      <c r="G1204" s="29" t="s">
        <v>3275</v>
      </c>
      <c r="H1204" s="115">
        <v>20</v>
      </c>
      <c r="I1204" s="115">
        <v>20</v>
      </c>
      <c r="J1204" s="115">
        <f>Table224[[#This Row],[Qty]]-Table224[[#This Row],[Issue Qty]]</f>
        <v>0</v>
      </c>
      <c r="K1204" s="195"/>
      <c r="L1204" s="195" t="s">
        <v>3480</v>
      </c>
      <c r="M1204" s="116">
        <v>1449.9</v>
      </c>
      <c r="N1204" s="126">
        <f t="shared" si="63"/>
        <v>28998</v>
      </c>
      <c r="O1204" s="82">
        <v>0.18</v>
      </c>
      <c r="P1204" s="118">
        <f t="shared" si="66"/>
        <v>5219.6399999999994</v>
      </c>
      <c r="Q1204" s="215"/>
      <c r="R1204" s="215"/>
      <c r="S1204" s="116">
        <f t="shared" si="64"/>
        <v>34217.64</v>
      </c>
      <c r="T1204" s="135" t="s">
        <v>3242</v>
      </c>
      <c r="U1204" s="135" t="s">
        <v>3242</v>
      </c>
      <c r="V1204" s="114" t="s">
        <v>1511</v>
      </c>
      <c r="W1204" s="114">
        <v>6760000056</v>
      </c>
      <c r="X1204" s="114">
        <v>68151090</v>
      </c>
      <c r="Y1204" s="211"/>
      <c r="Z1204" s="21"/>
      <c r="AA1204" s="21"/>
      <c r="AB1204" s="121">
        <v>20</v>
      </c>
      <c r="AC1204" s="123" t="s">
        <v>3303</v>
      </c>
      <c r="AD1204" s="211"/>
      <c r="AE1204" s="211"/>
      <c r="AF1204" s="211"/>
      <c r="AG1204" s="211"/>
    </row>
    <row r="1205" spans="1:33" s="206" customFormat="1" x14ac:dyDescent="0.25">
      <c r="A1205" s="113">
        <v>46189</v>
      </c>
      <c r="B1205" s="113">
        <v>46191</v>
      </c>
      <c r="C1205" s="1" t="s">
        <v>1991</v>
      </c>
      <c r="D1205" s="186" t="s">
        <v>3490</v>
      </c>
      <c r="E1205" s="114" t="s">
        <v>2553</v>
      </c>
      <c r="F1205" s="319" t="s">
        <v>1461</v>
      </c>
      <c r="G1205" s="29" t="s">
        <v>1461</v>
      </c>
      <c r="H1205" s="115">
        <v>16</v>
      </c>
      <c r="I1205" s="115">
        <v>11</v>
      </c>
      <c r="J1205" s="115">
        <f>Table224[[#This Row],[Qty]]-Table224[[#This Row],[Issue Qty]]</f>
        <v>5</v>
      </c>
      <c r="K1205" s="195"/>
      <c r="L1205" s="195" t="s">
        <v>3480</v>
      </c>
      <c r="M1205" s="116">
        <v>7125</v>
      </c>
      <c r="N1205" s="126">
        <f t="shared" si="63"/>
        <v>114000</v>
      </c>
      <c r="O1205" s="82">
        <v>0.05</v>
      </c>
      <c r="P1205" s="118">
        <f t="shared" si="66"/>
        <v>5700</v>
      </c>
      <c r="Q1205" s="215"/>
      <c r="R1205" s="215"/>
      <c r="S1205" s="116">
        <f t="shared" si="64"/>
        <v>119700</v>
      </c>
      <c r="T1205" s="135" t="s">
        <v>3242</v>
      </c>
      <c r="U1205" s="135" t="s">
        <v>3242</v>
      </c>
      <c r="V1205" s="114" t="s">
        <v>1420</v>
      </c>
      <c r="W1205" s="114" t="s">
        <v>3284</v>
      </c>
      <c r="X1205" s="114">
        <v>88073020</v>
      </c>
      <c r="Y1205" s="211"/>
      <c r="Z1205" s="21" t="s">
        <v>52</v>
      </c>
      <c r="AA1205" s="21" t="s">
        <v>1656</v>
      </c>
      <c r="AB1205" s="121">
        <v>11</v>
      </c>
      <c r="AC1205" s="123" t="s">
        <v>3792</v>
      </c>
      <c r="AD1205" s="211"/>
      <c r="AE1205" s="211"/>
      <c r="AF1205" s="211"/>
      <c r="AG1205" s="211"/>
    </row>
    <row r="1206" spans="1:33" s="206" customFormat="1" x14ac:dyDescent="0.25">
      <c r="A1206" s="113">
        <v>46191</v>
      </c>
      <c r="B1206" s="113">
        <v>46191</v>
      </c>
      <c r="C1206" s="114" t="s">
        <v>54</v>
      </c>
      <c r="D1206" s="186" t="s">
        <v>3497</v>
      </c>
      <c r="E1206" s="114" t="s">
        <v>3290</v>
      </c>
      <c r="F1206" s="319" t="s">
        <v>3273</v>
      </c>
      <c r="G1206" s="29" t="s">
        <v>3273</v>
      </c>
      <c r="H1206" s="115">
        <v>10</v>
      </c>
      <c r="I1206" s="115">
        <v>10</v>
      </c>
      <c r="J1206" s="115">
        <f>Table224[[#This Row],[Qty]]-Table224[[#This Row],[Issue Qty]]</f>
        <v>0</v>
      </c>
      <c r="K1206" s="195"/>
      <c r="L1206" s="195" t="s">
        <v>3480</v>
      </c>
      <c r="M1206" s="116">
        <v>1566</v>
      </c>
      <c r="N1206" s="126">
        <f t="shared" si="63"/>
        <v>15660</v>
      </c>
      <c r="O1206" s="82">
        <v>0.18</v>
      </c>
      <c r="P1206" s="118">
        <f t="shared" si="66"/>
        <v>2818.7999999999997</v>
      </c>
      <c r="Q1206" s="215"/>
      <c r="R1206" s="215"/>
      <c r="S1206" s="116">
        <f t="shared" si="64"/>
        <v>18478.8</v>
      </c>
      <c r="T1206" s="135" t="s">
        <v>3242</v>
      </c>
      <c r="U1206" s="135" t="s">
        <v>3242</v>
      </c>
      <c r="V1206" s="114" t="s">
        <v>1511</v>
      </c>
      <c r="W1206" s="114">
        <v>6760000056</v>
      </c>
      <c r="X1206" s="114">
        <v>68151090</v>
      </c>
      <c r="Y1206" s="211"/>
      <c r="Z1206" s="21"/>
      <c r="AA1206" s="21"/>
      <c r="AB1206" s="121">
        <v>10</v>
      </c>
      <c r="AC1206" s="123" t="s">
        <v>3303</v>
      </c>
      <c r="AD1206" s="211"/>
      <c r="AE1206" s="211"/>
      <c r="AF1206" s="211"/>
      <c r="AG1206" s="211"/>
    </row>
    <row r="1207" spans="1:33" s="206" customFormat="1" x14ac:dyDescent="0.25">
      <c r="A1207" s="113">
        <v>46205</v>
      </c>
      <c r="B1207" s="113">
        <v>46193</v>
      </c>
      <c r="C1207" s="6" t="s">
        <v>1683</v>
      </c>
      <c r="D1207" s="186" t="s">
        <v>3487</v>
      </c>
      <c r="E1207" s="114" t="s">
        <v>2179</v>
      </c>
      <c r="F1207" s="319" t="s">
        <v>972</v>
      </c>
      <c r="G1207" s="29" t="s">
        <v>972</v>
      </c>
      <c r="H1207" s="115">
        <v>30</v>
      </c>
      <c r="I1207" s="115">
        <v>9</v>
      </c>
      <c r="J1207" s="115">
        <f>Table224[[#This Row],[Qty]]-Table224[[#This Row],[Issue Qty]]</f>
        <v>21</v>
      </c>
      <c r="K1207" s="195"/>
      <c r="L1207" s="195" t="s">
        <v>3480</v>
      </c>
      <c r="M1207" s="116">
        <v>84</v>
      </c>
      <c r="N1207" s="126">
        <f t="shared" si="63"/>
        <v>2520</v>
      </c>
      <c r="O1207" s="82">
        <v>0.18</v>
      </c>
      <c r="P1207" s="118">
        <f t="shared" si="66"/>
        <v>453.59999999999997</v>
      </c>
      <c r="Q1207" s="215"/>
      <c r="R1207" s="135">
        <v>0.4</v>
      </c>
      <c r="S1207" s="116">
        <f t="shared" si="64"/>
        <v>2974</v>
      </c>
      <c r="T1207" s="135" t="s">
        <v>3245</v>
      </c>
      <c r="U1207" s="135" t="s">
        <v>3245</v>
      </c>
      <c r="V1207" s="114" t="s">
        <v>444</v>
      </c>
      <c r="W1207" s="114" t="s">
        <v>3339</v>
      </c>
      <c r="X1207" s="114">
        <v>8807300</v>
      </c>
      <c r="Y1207" s="211"/>
      <c r="Z1207" s="21" t="s">
        <v>78</v>
      </c>
      <c r="AA1207" s="21"/>
      <c r="AB1207" s="121">
        <v>9</v>
      </c>
      <c r="AC1207" s="123" t="s">
        <v>3303</v>
      </c>
      <c r="AD1207" s="211"/>
      <c r="AE1207" s="211"/>
      <c r="AF1207" s="211"/>
      <c r="AG1207" s="211"/>
    </row>
    <row r="1208" spans="1:33" s="206" customFormat="1" x14ac:dyDescent="0.25">
      <c r="A1208" s="113">
        <v>46193</v>
      </c>
      <c r="B1208" s="113">
        <v>46193</v>
      </c>
      <c r="C1208" s="1" t="s">
        <v>54</v>
      </c>
      <c r="D1208" s="186" t="s">
        <v>3489</v>
      </c>
      <c r="E1208" s="114" t="s">
        <v>3293</v>
      </c>
      <c r="F1208" s="319" t="s">
        <v>3275</v>
      </c>
      <c r="G1208" s="29" t="s">
        <v>3275</v>
      </c>
      <c r="H1208" s="115">
        <v>20</v>
      </c>
      <c r="I1208" s="69">
        <v>20</v>
      </c>
      <c r="J1208" s="115">
        <f>Table224[[#This Row],[Qty]]-Table224[[#This Row],[Issue Qty]]</f>
        <v>0</v>
      </c>
      <c r="K1208" s="195"/>
      <c r="L1208" s="195" t="s">
        <v>3480</v>
      </c>
      <c r="M1208" s="116">
        <v>1449.9</v>
      </c>
      <c r="N1208" s="126">
        <f t="shared" si="63"/>
        <v>28998</v>
      </c>
      <c r="O1208" s="82">
        <v>0.18</v>
      </c>
      <c r="P1208" s="118">
        <f t="shared" si="66"/>
        <v>5219.6399999999994</v>
      </c>
      <c r="Q1208" s="215"/>
      <c r="R1208" s="215"/>
      <c r="S1208" s="116">
        <f t="shared" si="64"/>
        <v>34217.64</v>
      </c>
      <c r="T1208" s="135" t="s">
        <v>3242</v>
      </c>
      <c r="U1208" s="135" t="s">
        <v>3242</v>
      </c>
      <c r="V1208" s="114" t="s">
        <v>1511</v>
      </c>
      <c r="W1208" s="114">
        <v>6760000057</v>
      </c>
      <c r="X1208" s="114">
        <v>68151090</v>
      </c>
      <c r="Y1208" s="211"/>
      <c r="Z1208" s="21"/>
      <c r="AA1208" s="121"/>
      <c r="AB1208" s="121">
        <v>20</v>
      </c>
      <c r="AC1208" s="123" t="s">
        <v>3303</v>
      </c>
      <c r="AD1208" s="211"/>
      <c r="AE1208" s="211"/>
      <c r="AF1208" s="211"/>
      <c r="AG1208" s="211"/>
    </row>
    <row r="1209" spans="1:33" s="206" customFormat="1" x14ac:dyDescent="0.25">
      <c r="A1209" s="113">
        <v>46193</v>
      </c>
      <c r="B1209" s="113">
        <v>46193</v>
      </c>
      <c r="C1209" s="114" t="s">
        <v>54</v>
      </c>
      <c r="D1209" s="186" t="s">
        <v>3489</v>
      </c>
      <c r="E1209" s="114" t="s">
        <v>3293</v>
      </c>
      <c r="F1209" s="319" t="s">
        <v>3277</v>
      </c>
      <c r="G1209" s="29" t="s">
        <v>3277</v>
      </c>
      <c r="H1209" s="115">
        <v>20</v>
      </c>
      <c r="I1209" s="115">
        <v>20</v>
      </c>
      <c r="J1209" s="115">
        <f>Table224[[#This Row],[Qty]]-Table224[[#This Row],[Issue Qty]]</f>
        <v>0</v>
      </c>
      <c r="K1209" s="195"/>
      <c r="L1209" s="195" t="s">
        <v>3480</v>
      </c>
      <c r="M1209" s="116">
        <v>1507.5</v>
      </c>
      <c r="N1209" s="126">
        <f t="shared" si="63"/>
        <v>30150</v>
      </c>
      <c r="O1209" s="82">
        <v>0.18</v>
      </c>
      <c r="P1209" s="118">
        <f t="shared" si="66"/>
        <v>5427</v>
      </c>
      <c r="Q1209" s="215"/>
      <c r="R1209" s="215"/>
      <c r="S1209" s="116">
        <f t="shared" si="64"/>
        <v>35577</v>
      </c>
      <c r="T1209" s="135" t="s">
        <v>3242</v>
      </c>
      <c r="U1209" s="135" t="s">
        <v>3242</v>
      </c>
      <c r="V1209" s="114" t="s">
        <v>1511</v>
      </c>
      <c r="W1209" s="114">
        <v>6760000057</v>
      </c>
      <c r="X1209" s="114">
        <v>68151090</v>
      </c>
      <c r="Y1209" s="211"/>
      <c r="Z1209" s="21"/>
      <c r="AA1209" s="21"/>
      <c r="AB1209" s="121">
        <v>4</v>
      </c>
      <c r="AC1209" s="123" t="s">
        <v>3303</v>
      </c>
      <c r="AD1209" s="211"/>
      <c r="AE1209" s="211"/>
      <c r="AF1209" s="211"/>
      <c r="AG1209" s="211"/>
    </row>
    <row r="1210" spans="1:33" s="206" customFormat="1" ht="45" x14ac:dyDescent="0.25">
      <c r="A1210" s="113">
        <v>46192</v>
      </c>
      <c r="B1210" s="113">
        <v>46193</v>
      </c>
      <c r="C1210" s="1" t="s">
        <v>1688</v>
      </c>
      <c r="D1210" s="224" t="s">
        <v>3451</v>
      </c>
      <c r="E1210" s="114" t="s">
        <v>3294</v>
      </c>
      <c r="F1210" s="319" t="s">
        <v>3278</v>
      </c>
      <c r="G1210" s="29" t="s">
        <v>3278</v>
      </c>
      <c r="H1210" s="115">
        <v>10</v>
      </c>
      <c r="I1210" s="115">
        <v>10</v>
      </c>
      <c r="J1210" s="115">
        <f>Table224[[#This Row],[Qty]]-Table224[[#This Row],[Issue Qty]]</f>
        <v>0</v>
      </c>
      <c r="K1210" s="195"/>
      <c r="L1210" s="195" t="s">
        <v>3480</v>
      </c>
      <c r="M1210" s="116">
        <v>36000</v>
      </c>
      <c r="N1210" s="126">
        <f t="shared" si="63"/>
        <v>360000</v>
      </c>
      <c r="O1210" s="82">
        <v>0.05</v>
      </c>
      <c r="P1210" s="118">
        <f t="shared" si="66"/>
        <v>18000</v>
      </c>
      <c r="Q1210" s="215"/>
      <c r="R1210" s="215"/>
      <c r="S1210" s="116">
        <f t="shared" si="64"/>
        <v>378000</v>
      </c>
      <c r="T1210" s="135" t="s">
        <v>3242</v>
      </c>
      <c r="U1210" s="135" t="s">
        <v>3242</v>
      </c>
      <c r="V1210" s="114" t="s">
        <v>1420</v>
      </c>
      <c r="W1210" s="114" t="s">
        <v>3285</v>
      </c>
      <c r="X1210" s="114">
        <v>88073020</v>
      </c>
      <c r="Y1210" s="211"/>
      <c r="Z1210" s="21" t="s">
        <v>3031</v>
      </c>
      <c r="AA1210" s="21"/>
      <c r="AB1210" s="121">
        <v>10</v>
      </c>
      <c r="AC1210" s="123" t="s">
        <v>3303</v>
      </c>
      <c r="AD1210" s="211"/>
      <c r="AE1210" s="211"/>
      <c r="AF1210" s="211"/>
      <c r="AG1210" s="277" t="s">
        <v>3311</v>
      </c>
    </row>
    <row r="1211" spans="1:33" s="206" customFormat="1" x14ac:dyDescent="0.25">
      <c r="A1211" s="113">
        <v>46193</v>
      </c>
      <c r="B1211" s="113">
        <v>46193</v>
      </c>
      <c r="C1211" s="1" t="s">
        <v>54</v>
      </c>
      <c r="D1211" s="224" t="s">
        <v>3500</v>
      </c>
      <c r="E1211" s="114" t="s">
        <v>3295</v>
      </c>
      <c r="F1211" s="319" t="s">
        <v>3279</v>
      </c>
      <c r="G1211" s="29" t="s">
        <v>3279</v>
      </c>
      <c r="H1211" s="115">
        <v>20</v>
      </c>
      <c r="I1211" s="115">
        <v>20</v>
      </c>
      <c r="J1211" s="115">
        <f>Table224[[#This Row],[Qty]]-Table224[[#This Row],[Issue Qty]]</f>
        <v>0</v>
      </c>
      <c r="K1211" s="195"/>
      <c r="L1211" s="195" t="s">
        <v>3480</v>
      </c>
      <c r="M1211" s="116">
        <v>2115</v>
      </c>
      <c r="N1211" s="126">
        <f t="shared" si="63"/>
        <v>42300</v>
      </c>
      <c r="O1211" s="82">
        <v>0.18</v>
      </c>
      <c r="P1211" s="118">
        <f t="shared" si="66"/>
        <v>7614</v>
      </c>
      <c r="Q1211" s="215"/>
      <c r="R1211" s="215"/>
      <c r="S1211" s="116">
        <f t="shared" si="64"/>
        <v>49914</v>
      </c>
      <c r="T1211" s="135" t="s">
        <v>3242</v>
      </c>
      <c r="U1211" s="135" t="s">
        <v>3242</v>
      </c>
      <c r="V1211" s="114" t="s">
        <v>1511</v>
      </c>
      <c r="W1211" s="114">
        <v>6760000060</v>
      </c>
      <c r="X1211" s="114">
        <v>68151090</v>
      </c>
      <c r="Y1211" s="211"/>
      <c r="Z1211" s="21" t="s">
        <v>3165</v>
      </c>
      <c r="AA1211" s="21" t="s">
        <v>3183</v>
      </c>
      <c r="AB1211" s="121">
        <v>20</v>
      </c>
      <c r="AC1211" s="123" t="s">
        <v>3303</v>
      </c>
      <c r="AD1211" s="211"/>
      <c r="AE1211" s="211"/>
      <c r="AF1211" s="211"/>
      <c r="AG1211" s="211"/>
    </row>
    <row r="1212" spans="1:33" s="206" customFormat="1" x14ac:dyDescent="0.25">
      <c r="A1212" s="113">
        <v>46193</v>
      </c>
      <c r="B1212" s="113">
        <v>46193</v>
      </c>
      <c r="C1212" s="1" t="s">
        <v>54</v>
      </c>
      <c r="D1212" s="224" t="s">
        <v>3500</v>
      </c>
      <c r="E1212" s="114" t="s">
        <v>3298</v>
      </c>
      <c r="F1212" s="237" t="s">
        <v>3282</v>
      </c>
      <c r="G1212" s="29" t="s">
        <v>3282</v>
      </c>
      <c r="H1212" s="115">
        <v>2</v>
      </c>
      <c r="I1212" s="115"/>
      <c r="J1212" s="115">
        <f>Table224[[#This Row],[Qty]]-Table224[[#This Row],[Issue Qty]]</f>
        <v>2</v>
      </c>
      <c r="K1212" s="195"/>
      <c r="L1212" s="195" t="s">
        <v>3480</v>
      </c>
      <c r="M1212" s="116">
        <v>2820</v>
      </c>
      <c r="N1212" s="126">
        <f t="shared" si="63"/>
        <v>5640</v>
      </c>
      <c r="O1212" s="82">
        <v>0.18</v>
      </c>
      <c r="P1212" s="118">
        <f t="shared" si="66"/>
        <v>1015.1999999999999</v>
      </c>
      <c r="Q1212" s="215"/>
      <c r="R1212" s="215"/>
      <c r="S1212" s="116">
        <f t="shared" si="64"/>
        <v>6655.2</v>
      </c>
      <c r="T1212" s="114" t="s">
        <v>2887</v>
      </c>
      <c r="U1212" s="135" t="s">
        <v>2816</v>
      </c>
      <c r="V1212" s="114" t="s">
        <v>1511</v>
      </c>
      <c r="W1212" s="114">
        <v>6760000059</v>
      </c>
      <c r="X1212" s="114">
        <v>68151090</v>
      </c>
      <c r="Y1212" s="211"/>
      <c r="Z1212" s="21" t="s">
        <v>3165</v>
      </c>
      <c r="AA1212" s="21" t="s">
        <v>3183</v>
      </c>
      <c r="AB1212" s="121"/>
      <c r="AC1212" s="123"/>
      <c r="AD1212" s="211"/>
      <c r="AE1212" s="211"/>
      <c r="AF1212" s="211"/>
      <c r="AG1212" s="211"/>
    </row>
    <row r="1213" spans="1:33" s="206" customFormat="1" x14ac:dyDescent="0.25">
      <c r="A1213" s="113">
        <v>46193</v>
      </c>
      <c r="B1213" s="113">
        <v>46193</v>
      </c>
      <c r="C1213" s="114" t="s">
        <v>54</v>
      </c>
      <c r="D1213" s="224" t="s">
        <v>3500</v>
      </c>
      <c r="E1213" s="114" t="s">
        <v>3296</v>
      </c>
      <c r="F1213" s="237" t="s">
        <v>3280</v>
      </c>
      <c r="G1213" s="29" t="s">
        <v>3280</v>
      </c>
      <c r="H1213" s="115">
        <v>12</v>
      </c>
      <c r="I1213" s="115"/>
      <c r="J1213" s="115">
        <f>Table224[[#This Row],[Qty]]-Table224[[#This Row],[Issue Qty]]</f>
        <v>12</v>
      </c>
      <c r="K1213" s="195"/>
      <c r="L1213" s="195" t="s">
        <v>3480</v>
      </c>
      <c r="M1213" s="116">
        <v>3180</v>
      </c>
      <c r="N1213" s="126">
        <f t="shared" si="63"/>
        <v>38160</v>
      </c>
      <c r="O1213" s="82">
        <v>0.18</v>
      </c>
      <c r="P1213" s="118">
        <f t="shared" si="66"/>
        <v>6868.8</v>
      </c>
      <c r="Q1213" s="215"/>
      <c r="R1213" s="215"/>
      <c r="S1213" s="116">
        <f t="shared" si="64"/>
        <v>45028.800000000003</v>
      </c>
      <c r="T1213" s="114" t="s">
        <v>2887</v>
      </c>
      <c r="U1213" s="135" t="s">
        <v>2816</v>
      </c>
      <c r="V1213" s="114" t="s">
        <v>1511</v>
      </c>
      <c r="W1213" s="114">
        <v>6760000059</v>
      </c>
      <c r="X1213" s="114">
        <v>68151090</v>
      </c>
      <c r="Y1213" s="211"/>
      <c r="Z1213" s="21" t="s">
        <v>3165</v>
      </c>
      <c r="AA1213" s="21" t="s">
        <v>3183</v>
      </c>
      <c r="AB1213" s="121"/>
      <c r="AC1213" s="123"/>
      <c r="AD1213" s="211"/>
      <c r="AE1213" s="211"/>
      <c r="AF1213" s="211"/>
      <c r="AG1213" s="211"/>
    </row>
    <row r="1214" spans="1:33" s="206" customFormat="1" x14ac:dyDescent="0.25">
      <c r="A1214" s="113">
        <v>46193</v>
      </c>
      <c r="B1214" s="113">
        <v>46193</v>
      </c>
      <c r="C1214" s="114" t="s">
        <v>54</v>
      </c>
      <c r="D1214" s="224" t="s">
        <v>3500</v>
      </c>
      <c r="E1214" s="114" t="s">
        <v>3297</v>
      </c>
      <c r="F1214" s="237" t="s">
        <v>3281</v>
      </c>
      <c r="G1214" s="29" t="s">
        <v>3281</v>
      </c>
      <c r="H1214" s="115">
        <v>4</v>
      </c>
      <c r="I1214" s="115">
        <v>4</v>
      </c>
      <c r="J1214" s="115">
        <f>Table224[[#This Row],[Qty]]-Table224[[#This Row],[Issue Qty]]</f>
        <v>0</v>
      </c>
      <c r="K1214" s="195"/>
      <c r="L1214" s="195" t="s">
        <v>3480</v>
      </c>
      <c r="M1214" s="116">
        <v>3420</v>
      </c>
      <c r="N1214" s="126">
        <f t="shared" si="63"/>
        <v>13680</v>
      </c>
      <c r="O1214" s="82">
        <v>0.18</v>
      </c>
      <c r="P1214" s="118">
        <f t="shared" si="66"/>
        <v>2462.4</v>
      </c>
      <c r="Q1214" s="215"/>
      <c r="R1214" s="215"/>
      <c r="S1214" s="116">
        <f t="shared" si="64"/>
        <v>16142.4</v>
      </c>
      <c r="T1214" s="114" t="s">
        <v>2887</v>
      </c>
      <c r="U1214" s="135" t="s">
        <v>2816</v>
      </c>
      <c r="V1214" s="114" t="s">
        <v>1511</v>
      </c>
      <c r="W1214" s="114">
        <v>6760000059</v>
      </c>
      <c r="X1214" s="114">
        <v>68151090</v>
      </c>
      <c r="Y1214" s="211"/>
      <c r="Z1214" s="21"/>
      <c r="AA1214" s="21"/>
      <c r="AB1214" s="121">
        <v>4</v>
      </c>
      <c r="AC1214" s="123" t="s">
        <v>3373</v>
      </c>
      <c r="AD1214" s="211"/>
      <c r="AE1214" s="211"/>
      <c r="AF1214" s="211"/>
      <c r="AG1214" s="211"/>
    </row>
    <row r="1215" spans="1:33" s="206" customFormat="1" ht="45" x14ac:dyDescent="0.25">
      <c r="A1215" s="113">
        <v>46192</v>
      </c>
      <c r="B1215" s="113">
        <v>46193</v>
      </c>
      <c r="C1215" s="114" t="s">
        <v>54</v>
      </c>
      <c r="D1215" s="186" t="s">
        <v>3430</v>
      </c>
      <c r="E1215" s="114" t="s">
        <v>3217</v>
      </c>
      <c r="F1215" s="319" t="s">
        <v>3218</v>
      </c>
      <c r="G1215" s="29" t="s">
        <v>3218</v>
      </c>
      <c r="H1215" s="115">
        <v>56</v>
      </c>
      <c r="I1215" s="115">
        <v>37</v>
      </c>
      <c r="J1215" s="115">
        <f>Table224[[#This Row],[Qty]]-Table224[[#This Row],[Issue Qty]]</f>
        <v>19</v>
      </c>
      <c r="K1215" s="195"/>
      <c r="L1215" s="195" t="s">
        <v>3479</v>
      </c>
      <c r="M1215" s="116">
        <v>4865</v>
      </c>
      <c r="N1215" s="126">
        <f t="shared" si="63"/>
        <v>272440</v>
      </c>
      <c r="O1215" s="82">
        <v>0.05</v>
      </c>
      <c r="P1215" s="118">
        <f t="shared" si="66"/>
        <v>13622</v>
      </c>
      <c r="Q1215" s="215"/>
      <c r="R1215" s="215"/>
      <c r="S1215" s="116">
        <f t="shared" si="64"/>
        <v>286062</v>
      </c>
      <c r="T1215" s="3" t="s">
        <v>3245</v>
      </c>
      <c r="U1215" s="135" t="s">
        <v>3245</v>
      </c>
      <c r="V1215" s="114" t="s">
        <v>1420</v>
      </c>
      <c r="W1215" s="114" t="s">
        <v>3286</v>
      </c>
      <c r="X1215" s="114">
        <v>88073020</v>
      </c>
      <c r="Y1215" s="211"/>
      <c r="Z1215" s="21" t="s">
        <v>445</v>
      </c>
      <c r="AA1215" s="21"/>
      <c r="AB1215" s="121">
        <v>37</v>
      </c>
      <c r="AC1215" s="123" t="s">
        <v>3837</v>
      </c>
      <c r="AD1215" s="211"/>
      <c r="AE1215" s="211"/>
      <c r="AF1215" s="211"/>
      <c r="AG1215" s="211"/>
    </row>
    <row r="1216" spans="1:33" s="206" customFormat="1" x14ac:dyDescent="0.25">
      <c r="A1216" s="113">
        <v>46205</v>
      </c>
      <c r="B1216" s="113">
        <v>46193</v>
      </c>
      <c r="C1216" s="112" t="s">
        <v>1730</v>
      </c>
      <c r="D1216" s="186" t="s">
        <v>3591</v>
      </c>
      <c r="E1216" s="114" t="s">
        <v>3341</v>
      </c>
      <c r="F1216" s="319" t="s">
        <v>3338</v>
      </c>
      <c r="G1216" s="29"/>
      <c r="H1216" s="115">
        <v>10</v>
      </c>
      <c r="I1216" s="115">
        <v>1</v>
      </c>
      <c r="J1216" s="115">
        <f>Table224[[#This Row],[Qty]]-Table224[[#This Row],[Issue Qty]]</f>
        <v>9</v>
      </c>
      <c r="K1216" s="195"/>
      <c r="L1216" s="195" t="s">
        <v>3480</v>
      </c>
      <c r="M1216" s="116">
        <v>48</v>
      </c>
      <c r="N1216" s="126">
        <f t="shared" si="63"/>
        <v>480</v>
      </c>
      <c r="O1216" s="82">
        <v>0.05</v>
      </c>
      <c r="P1216" s="118">
        <f t="shared" si="66"/>
        <v>24</v>
      </c>
      <c r="Q1216" s="215"/>
      <c r="R1216" s="215"/>
      <c r="S1216" s="116">
        <f t="shared" si="64"/>
        <v>504</v>
      </c>
      <c r="T1216" s="3" t="s">
        <v>3242</v>
      </c>
      <c r="U1216" s="135" t="s">
        <v>3242</v>
      </c>
      <c r="V1216" s="114" t="s">
        <v>444</v>
      </c>
      <c r="W1216" s="114" t="s">
        <v>3339</v>
      </c>
      <c r="X1216" s="114">
        <v>8807300</v>
      </c>
      <c r="Y1216" s="211"/>
      <c r="Z1216" s="21" t="s">
        <v>420</v>
      </c>
      <c r="AA1216" s="121"/>
      <c r="AB1216" s="121">
        <v>1</v>
      </c>
      <c r="AC1216" s="123" t="s">
        <v>3303</v>
      </c>
      <c r="AD1216" s="211"/>
      <c r="AE1216" s="211"/>
      <c r="AF1216" s="211"/>
      <c r="AG1216" s="211"/>
    </row>
    <row r="1217" spans="1:33" s="206" customFormat="1" x14ac:dyDescent="0.25">
      <c r="A1217" s="113">
        <v>46205</v>
      </c>
      <c r="B1217" s="113">
        <v>46193</v>
      </c>
      <c r="C1217" s="112" t="s">
        <v>1730</v>
      </c>
      <c r="D1217" s="186" t="s">
        <v>3591</v>
      </c>
      <c r="E1217" s="114" t="s">
        <v>3340</v>
      </c>
      <c r="F1217" s="319" t="s">
        <v>3337</v>
      </c>
      <c r="G1217" s="129" t="s">
        <v>3276</v>
      </c>
      <c r="H1217" s="115">
        <v>10</v>
      </c>
      <c r="I1217" s="115">
        <v>10</v>
      </c>
      <c r="J1217" s="115">
        <f>Table224[[#This Row],[Qty]]-Table224[[#This Row],[Issue Qty]]</f>
        <v>0</v>
      </c>
      <c r="K1217" s="195"/>
      <c r="L1217" s="195" t="s">
        <v>3480</v>
      </c>
      <c r="M1217" s="116">
        <v>48</v>
      </c>
      <c r="N1217" s="126">
        <f t="shared" si="63"/>
        <v>480</v>
      </c>
      <c r="O1217" s="82">
        <v>0.05</v>
      </c>
      <c r="P1217" s="118">
        <f t="shared" si="66"/>
        <v>24</v>
      </c>
      <c r="Q1217" s="215"/>
      <c r="R1217" s="215"/>
      <c r="S1217" s="116">
        <f t="shared" si="64"/>
        <v>504</v>
      </c>
      <c r="T1217" s="3" t="s">
        <v>3242</v>
      </c>
      <c r="U1217" s="135" t="s">
        <v>3242</v>
      </c>
      <c r="V1217" s="114" t="s">
        <v>444</v>
      </c>
      <c r="W1217" s="114" t="s">
        <v>3339</v>
      </c>
      <c r="X1217" s="114">
        <v>8807300</v>
      </c>
      <c r="Y1217" s="211"/>
      <c r="Z1217" s="21" t="s">
        <v>420</v>
      </c>
      <c r="AA1217" s="121"/>
      <c r="AB1217" s="121">
        <v>10</v>
      </c>
      <c r="AC1217" s="123" t="s">
        <v>3303</v>
      </c>
      <c r="AD1217" s="211"/>
      <c r="AE1217" s="211"/>
      <c r="AF1217" s="211"/>
      <c r="AG1217" s="211"/>
    </row>
    <row r="1218" spans="1:33" s="206" customFormat="1" x14ac:dyDescent="0.25">
      <c r="A1218" s="98">
        <v>46193</v>
      </c>
      <c r="B1218" s="98">
        <v>46195</v>
      </c>
      <c r="C1218" s="6" t="s">
        <v>1730</v>
      </c>
      <c r="D1218" s="85" t="s">
        <v>3590</v>
      </c>
      <c r="E1218" s="85" t="s">
        <v>3220</v>
      </c>
      <c r="F1218" s="320" t="s">
        <v>3221</v>
      </c>
      <c r="G1218" s="85" t="s">
        <v>3221</v>
      </c>
      <c r="H1218" s="73">
        <v>10</v>
      </c>
      <c r="I1218" s="73">
        <v>9</v>
      </c>
      <c r="J1218" s="73">
        <f>Table224[[#This Row],[Qty]]-Table224[[#This Row],[Issue Qty]]</f>
        <v>1</v>
      </c>
      <c r="K1218" s="73"/>
      <c r="L1218" s="195" t="s">
        <v>3480</v>
      </c>
      <c r="M1218" s="67">
        <v>9000</v>
      </c>
      <c r="N1218" s="66">
        <f t="shared" si="63"/>
        <v>90000</v>
      </c>
      <c r="O1218" s="82">
        <v>0.18</v>
      </c>
      <c r="P1218" s="68">
        <f t="shared" si="66"/>
        <v>16200</v>
      </c>
      <c r="Q1218" s="272"/>
      <c r="R1218" s="272"/>
      <c r="S1218" s="67">
        <f t="shared" si="64"/>
        <v>106200</v>
      </c>
      <c r="T1218" s="147" t="s">
        <v>3242</v>
      </c>
      <c r="U1218" s="147" t="s">
        <v>3242</v>
      </c>
      <c r="V1218" s="85" t="s">
        <v>3299</v>
      </c>
      <c r="W1218" s="85" t="s">
        <v>3300</v>
      </c>
      <c r="X1218" s="85">
        <v>39239090</v>
      </c>
      <c r="Y1218" s="216"/>
      <c r="Z1218" s="21" t="s">
        <v>1569</v>
      </c>
      <c r="AA1218" s="217"/>
      <c r="AB1218" s="132"/>
      <c r="AC1218" s="133"/>
      <c r="AD1218" s="216"/>
      <c r="AE1218" s="216"/>
      <c r="AF1218" s="216"/>
      <c r="AG1218" s="216"/>
    </row>
    <row r="1219" spans="1:33" s="206" customFormat="1" x14ac:dyDescent="0.25">
      <c r="A1219" s="113">
        <v>46195</v>
      </c>
      <c r="B1219" s="113">
        <v>46195</v>
      </c>
      <c r="C1219" s="114" t="s">
        <v>54</v>
      </c>
      <c r="D1219" s="85" t="s">
        <v>3500</v>
      </c>
      <c r="E1219" s="114" t="s">
        <v>3293</v>
      </c>
      <c r="F1219" s="319" t="s">
        <v>3277</v>
      </c>
      <c r="G1219" s="114" t="s">
        <v>3277</v>
      </c>
      <c r="H1219" s="115">
        <v>20</v>
      </c>
      <c r="I1219" s="115">
        <v>20</v>
      </c>
      <c r="J1219" s="115">
        <f>Table224[[#This Row],[Qty]]-Table224[[#This Row],[Issue Qty]]</f>
        <v>0</v>
      </c>
      <c r="K1219" s="195"/>
      <c r="L1219" s="195" t="s">
        <v>3480</v>
      </c>
      <c r="M1219" s="116">
        <v>1507.5</v>
      </c>
      <c r="N1219" s="126">
        <f t="shared" si="63"/>
        <v>30150</v>
      </c>
      <c r="O1219" s="82">
        <v>0.18</v>
      </c>
      <c r="P1219" s="118">
        <f t="shared" si="66"/>
        <v>5427</v>
      </c>
      <c r="Q1219" s="215"/>
      <c r="R1219" s="215"/>
      <c r="S1219" s="116">
        <f t="shared" si="64"/>
        <v>35577</v>
      </c>
      <c r="T1219" s="3" t="s">
        <v>3242</v>
      </c>
      <c r="U1219" s="135" t="s">
        <v>3242</v>
      </c>
      <c r="V1219" s="114" t="s">
        <v>1511</v>
      </c>
      <c r="W1219" s="114">
        <v>6760000062</v>
      </c>
      <c r="X1219" s="114">
        <v>68151090</v>
      </c>
      <c r="Y1219" s="211"/>
      <c r="Z1219" s="21" t="s">
        <v>3165</v>
      </c>
      <c r="AA1219" s="21" t="s">
        <v>3183</v>
      </c>
      <c r="AB1219" s="121">
        <v>20</v>
      </c>
      <c r="AC1219" s="123" t="s">
        <v>3303</v>
      </c>
      <c r="AD1219" s="211"/>
      <c r="AE1219" s="211"/>
      <c r="AF1219" s="211"/>
      <c r="AG1219" s="211"/>
    </row>
    <row r="1220" spans="1:33" s="206" customFormat="1" x14ac:dyDescent="0.25">
      <c r="A1220" s="113">
        <v>46195</v>
      </c>
      <c r="B1220" s="113">
        <v>46195</v>
      </c>
      <c r="C1220" s="114" t="s">
        <v>54</v>
      </c>
      <c r="D1220" s="85" t="s">
        <v>3500</v>
      </c>
      <c r="E1220" s="114" t="s">
        <v>3057</v>
      </c>
      <c r="F1220" s="237" t="s">
        <v>3112</v>
      </c>
      <c r="G1220" s="114" t="s">
        <v>3112</v>
      </c>
      <c r="H1220" s="115">
        <v>1</v>
      </c>
      <c r="I1220" s="115"/>
      <c r="J1220" s="115">
        <f>Table224[[#This Row],[Qty]]-Table224[[#This Row],[Issue Qty]]</f>
        <v>1</v>
      </c>
      <c r="K1220" s="195"/>
      <c r="L1220" s="195" t="s">
        <v>3480</v>
      </c>
      <c r="M1220" s="116">
        <v>2454</v>
      </c>
      <c r="N1220" s="126">
        <f t="shared" si="63"/>
        <v>2454</v>
      </c>
      <c r="O1220" s="82">
        <v>0.18</v>
      </c>
      <c r="P1220" s="118">
        <f t="shared" si="66"/>
        <v>441.71999999999997</v>
      </c>
      <c r="Q1220" s="215"/>
      <c r="R1220" s="215"/>
      <c r="S1220" s="116">
        <f t="shared" si="64"/>
        <v>2895.72</v>
      </c>
      <c r="T1220" s="114" t="s">
        <v>2887</v>
      </c>
      <c r="U1220" s="135" t="s">
        <v>2816</v>
      </c>
      <c r="V1220" s="114" t="s">
        <v>1511</v>
      </c>
      <c r="W1220" s="114">
        <v>6760000061</v>
      </c>
      <c r="X1220" s="114">
        <v>68151090</v>
      </c>
      <c r="Y1220" s="211"/>
      <c r="Z1220" s="21" t="s">
        <v>3165</v>
      </c>
      <c r="AA1220" s="121"/>
      <c r="AB1220" s="121">
        <v>1</v>
      </c>
      <c r="AC1220" s="123" t="s">
        <v>3373</v>
      </c>
      <c r="AD1220" s="211"/>
      <c r="AE1220" s="211"/>
      <c r="AF1220" s="211"/>
      <c r="AG1220" s="211"/>
    </row>
    <row r="1221" spans="1:33" s="206" customFormat="1" x14ac:dyDescent="0.25">
      <c r="A1221" s="98">
        <v>46197</v>
      </c>
      <c r="B1221" s="98">
        <v>46197</v>
      </c>
      <c r="C1221" s="6" t="s">
        <v>1730</v>
      </c>
      <c r="D1221" s="85" t="s">
        <v>3593</v>
      </c>
      <c r="E1221" s="114" t="s">
        <v>3306</v>
      </c>
      <c r="F1221" s="320" t="s">
        <v>3305</v>
      </c>
      <c r="G1221" s="85" t="s">
        <v>3305</v>
      </c>
      <c r="H1221" s="115">
        <v>10</v>
      </c>
      <c r="I1221" s="134">
        <v>8</v>
      </c>
      <c r="J1221" s="134">
        <f>Table224[[#This Row],[Qty]]-Table224[[#This Row],[Issue Qty]]</f>
        <v>2</v>
      </c>
      <c r="K1221" s="134"/>
      <c r="L1221" s="195" t="s">
        <v>3480</v>
      </c>
      <c r="M1221" s="116">
        <v>2300</v>
      </c>
      <c r="N1221" s="126">
        <f t="shared" si="63"/>
        <v>23000</v>
      </c>
      <c r="O1221" s="82">
        <v>0.18</v>
      </c>
      <c r="P1221" s="118">
        <f t="shared" si="66"/>
        <v>4140</v>
      </c>
      <c r="Q1221" s="272"/>
      <c r="R1221" s="272"/>
      <c r="S1221" s="116">
        <f t="shared" si="64"/>
        <v>27140</v>
      </c>
      <c r="T1221" s="135" t="s">
        <v>3242</v>
      </c>
      <c r="U1221" s="135" t="s">
        <v>3242</v>
      </c>
      <c r="V1221" s="114" t="s">
        <v>3307</v>
      </c>
      <c r="W1221" s="114">
        <v>14</v>
      </c>
      <c r="X1221" s="114">
        <v>4202</v>
      </c>
      <c r="Y1221" s="216"/>
      <c r="Z1221" s="21" t="s">
        <v>1569</v>
      </c>
      <c r="AA1221" s="205"/>
      <c r="AB1221" s="132"/>
      <c r="AC1221" s="133"/>
      <c r="AD1221" s="216"/>
      <c r="AE1221" s="216"/>
      <c r="AF1221" s="216"/>
      <c r="AG1221" s="216"/>
    </row>
    <row r="1222" spans="1:33" s="206" customFormat="1" x14ac:dyDescent="0.25">
      <c r="A1222" s="98">
        <v>46197</v>
      </c>
      <c r="B1222" s="98">
        <v>46197</v>
      </c>
      <c r="C1222" s="6" t="s">
        <v>1730</v>
      </c>
      <c r="D1222" s="6" t="s">
        <v>1730</v>
      </c>
      <c r="E1222" s="114" t="s">
        <v>3601</v>
      </c>
      <c r="F1222" s="237" t="s">
        <v>3602</v>
      </c>
      <c r="G1222" s="85"/>
      <c r="H1222" s="195">
        <v>10</v>
      </c>
      <c r="I1222" s="134">
        <v>2</v>
      </c>
      <c r="J1222" s="134">
        <f>Table224[[#This Row],[Qty]]-Table224[[#This Row],[Issue Qty]]</f>
        <v>8</v>
      </c>
      <c r="K1222" s="134"/>
      <c r="L1222" s="195" t="s">
        <v>3480</v>
      </c>
      <c r="M1222" s="197">
        <v>491.53</v>
      </c>
      <c r="N1222" s="126">
        <f t="shared" si="63"/>
        <v>4915.2999999999993</v>
      </c>
      <c r="O1222" s="82">
        <v>0.18</v>
      </c>
      <c r="P1222" s="118">
        <f t="shared" si="66"/>
        <v>884.75399999999979</v>
      </c>
      <c r="Q1222" s="272">
        <v>200</v>
      </c>
      <c r="R1222" s="272">
        <v>-0.05</v>
      </c>
      <c r="S1222" s="116">
        <f t="shared" si="64"/>
        <v>6000.003999999999</v>
      </c>
      <c r="T1222" s="200" t="s">
        <v>1408</v>
      </c>
      <c r="U1222" s="200" t="s">
        <v>1408</v>
      </c>
      <c r="V1222" s="186" t="s">
        <v>3603</v>
      </c>
      <c r="W1222" s="186" t="s">
        <v>3604</v>
      </c>
      <c r="X1222" s="186">
        <v>96121010</v>
      </c>
      <c r="Y1222" s="216"/>
      <c r="Z1222" s="201" t="s">
        <v>3605</v>
      </c>
      <c r="AA1222" s="217"/>
      <c r="AB1222" s="132">
        <v>2</v>
      </c>
      <c r="AC1222" s="133" t="s">
        <v>81</v>
      </c>
      <c r="AD1222" s="216"/>
      <c r="AE1222" s="216"/>
      <c r="AF1222" s="216"/>
      <c r="AG1222" s="216"/>
    </row>
    <row r="1223" spans="1:33" s="206" customFormat="1" ht="30" x14ac:dyDescent="0.25">
      <c r="A1223" s="98">
        <v>46198</v>
      </c>
      <c r="B1223" s="98">
        <v>46198</v>
      </c>
      <c r="C1223" s="100" t="s">
        <v>1683</v>
      </c>
      <c r="D1223" s="85" t="s">
        <v>3439</v>
      </c>
      <c r="E1223" s="85" t="s">
        <v>3308</v>
      </c>
      <c r="F1223" s="237" t="s">
        <v>3309</v>
      </c>
      <c r="G1223" s="114" t="s">
        <v>3309</v>
      </c>
      <c r="H1223" s="115">
        <v>1</v>
      </c>
      <c r="I1223" s="134">
        <v>1</v>
      </c>
      <c r="J1223" s="134">
        <f>Table224[[#This Row],[Qty]]-Table224[[#This Row],[Issue Qty]]</f>
        <v>0</v>
      </c>
      <c r="K1223" s="134"/>
      <c r="L1223" s="195" t="s">
        <v>3480</v>
      </c>
      <c r="M1223" s="116">
        <v>3912</v>
      </c>
      <c r="N1223" s="126">
        <f t="shared" si="63"/>
        <v>3912</v>
      </c>
      <c r="O1223" s="117">
        <v>0.18</v>
      </c>
      <c r="P1223" s="118">
        <f t="shared" si="66"/>
        <v>704.16</v>
      </c>
      <c r="Q1223" s="135">
        <f>32.4+180</f>
        <v>212.4</v>
      </c>
      <c r="R1223" s="272"/>
      <c r="S1223" s="116">
        <f t="shared" si="64"/>
        <v>4828.5599999999995</v>
      </c>
      <c r="T1223" s="135" t="s">
        <v>3243</v>
      </c>
      <c r="U1223" s="135" t="s">
        <v>3243</v>
      </c>
      <c r="V1223" s="135" t="s">
        <v>792</v>
      </c>
      <c r="W1223" s="135" t="s">
        <v>3310</v>
      </c>
      <c r="X1223" s="135">
        <v>850110</v>
      </c>
      <c r="Y1223" s="216"/>
      <c r="Z1223" s="21"/>
      <c r="AA1223" s="217"/>
      <c r="AB1223" s="132">
        <v>1</v>
      </c>
      <c r="AC1223" s="133" t="s">
        <v>3411</v>
      </c>
      <c r="AD1223" s="216" t="s">
        <v>3412</v>
      </c>
      <c r="AE1223" s="216"/>
      <c r="AF1223" s="216"/>
      <c r="AG1223" s="278"/>
    </row>
    <row r="1224" spans="1:33" s="206" customFormat="1" ht="45" x14ac:dyDescent="0.25">
      <c r="A1224" s="113">
        <v>46200</v>
      </c>
      <c r="B1224" s="113">
        <v>46200</v>
      </c>
      <c r="C1224" s="6" t="s">
        <v>1730</v>
      </c>
      <c r="D1224" s="6" t="s">
        <v>1730</v>
      </c>
      <c r="E1224" s="114" t="s">
        <v>3321</v>
      </c>
      <c r="F1224" s="237" t="s">
        <v>3322</v>
      </c>
      <c r="G1224" s="114" t="s">
        <v>3322</v>
      </c>
      <c r="H1224" s="115">
        <v>1</v>
      </c>
      <c r="I1224" s="115"/>
      <c r="J1224" s="115">
        <f>Table224[[#This Row],[Qty]]-Table224[[#This Row],[Issue Qty]]</f>
        <v>1</v>
      </c>
      <c r="K1224" s="195"/>
      <c r="L1224" s="195" t="s">
        <v>3480</v>
      </c>
      <c r="M1224" s="116">
        <v>1642</v>
      </c>
      <c r="N1224" s="126">
        <f t="shared" si="63"/>
        <v>1642</v>
      </c>
      <c r="O1224" s="117">
        <v>0.18</v>
      </c>
      <c r="P1224" s="118">
        <f t="shared" si="66"/>
        <v>295.56</v>
      </c>
      <c r="Q1224" s="215"/>
      <c r="R1224" s="215"/>
      <c r="S1224" s="116">
        <f t="shared" si="64"/>
        <v>1937.56</v>
      </c>
      <c r="T1224" s="135" t="s">
        <v>1408</v>
      </c>
      <c r="U1224" s="135" t="s">
        <v>1408</v>
      </c>
      <c r="V1224" s="135" t="s">
        <v>3323</v>
      </c>
      <c r="W1224" s="135">
        <v>826101938</v>
      </c>
      <c r="X1224" s="135">
        <v>35069190</v>
      </c>
      <c r="Y1224" s="211"/>
      <c r="Z1224" s="21" t="s">
        <v>699</v>
      </c>
      <c r="AA1224" s="205"/>
      <c r="AB1224" s="121"/>
      <c r="AC1224" s="123"/>
      <c r="AD1224" s="211"/>
      <c r="AE1224" s="211"/>
      <c r="AF1224" s="211"/>
      <c r="AG1224" s="211"/>
    </row>
    <row r="1225" spans="1:33" s="206" customFormat="1" ht="30" x14ac:dyDescent="0.25">
      <c r="A1225" s="113">
        <v>46200</v>
      </c>
      <c r="B1225" s="113">
        <v>46200</v>
      </c>
      <c r="C1225" s="6" t="s">
        <v>1730</v>
      </c>
      <c r="D1225" s="6" t="s">
        <v>1730</v>
      </c>
      <c r="E1225" s="114" t="s">
        <v>3317</v>
      </c>
      <c r="F1225" s="237" t="s">
        <v>3318</v>
      </c>
      <c r="G1225" s="114" t="s">
        <v>3318</v>
      </c>
      <c r="H1225" s="115">
        <v>1</v>
      </c>
      <c r="I1225" s="115"/>
      <c r="J1225" s="115">
        <f>Table224[[#This Row],[Qty]]-Table224[[#This Row],[Issue Qty]]</f>
        <v>1</v>
      </c>
      <c r="K1225" s="195"/>
      <c r="L1225" s="195" t="s">
        <v>3480</v>
      </c>
      <c r="M1225" s="116">
        <v>10315</v>
      </c>
      <c r="N1225" s="126">
        <f t="shared" si="63"/>
        <v>10315</v>
      </c>
      <c r="O1225" s="117">
        <v>0.18</v>
      </c>
      <c r="P1225" s="118">
        <f t="shared" si="66"/>
        <v>1856.6999999999998</v>
      </c>
      <c r="Q1225" s="215"/>
      <c r="R1225" s="215"/>
      <c r="S1225" s="116">
        <f t="shared" si="64"/>
        <v>12171.7</v>
      </c>
      <c r="T1225" s="135" t="s">
        <v>1408</v>
      </c>
      <c r="U1225" s="135" t="s">
        <v>1408</v>
      </c>
      <c r="V1225" s="135" t="s">
        <v>3323</v>
      </c>
      <c r="W1225" s="135">
        <v>826101938</v>
      </c>
      <c r="X1225" s="135">
        <v>82055990</v>
      </c>
      <c r="Y1225" s="211"/>
      <c r="Z1225" s="21" t="s">
        <v>699</v>
      </c>
      <c r="AA1225" s="205"/>
      <c r="AB1225" s="121"/>
      <c r="AC1225" s="123"/>
      <c r="AD1225" s="211"/>
      <c r="AE1225" s="211"/>
      <c r="AF1225" s="211"/>
      <c r="AG1225" s="211"/>
    </row>
    <row r="1226" spans="1:33" s="206" customFormat="1" ht="30" x14ac:dyDescent="0.25">
      <c r="A1226" s="113">
        <v>46200</v>
      </c>
      <c r="B1226" s="113">
        <v>46200</v>
      </c>
      <c r="C1226" s="6" t="s">
        <v>1730</v>
      </c>
      <c r="D1226" s="6" t="s">
        <v>1730</v>
      </c>
      <c r="E1226" s="114" t="s">
        <v>3319</v>
      </c>
      <c r="F1226" s="237" t="s">
        <v>3320</v>
      </c>
      <c r="G1226" s="114" t="s">
        <v>3320</v>
      </c>
      <c r="H1226" s="115">
        <v>10</v>
      </c>
      <c r="I1226" s="115">
        <v>1</v>
      </c>
      <c r="J1226" s="195">
        <f>Table224[[#This Row],[Qty]]-Table224[[#This Row],[Issue Qty]]</f>
        <v>9</v>
      </c>
      <c r="K1226" s="195"/>
      <c r="L1226" s="195" t="s">
        <v>3480</v>
      </c>
      <c r="M1226" s="116">
        <v>103</v>
      </c>
      <c r="N1226" s="126">
        <f t="shared" si="63"/>
        <v>1030</v>
      </c>
      <c r="O1226" s="117">
        <v>0.18</v>
      </c>
      <c r="P1226" s="118">
        <f t="shared" si="66"/>
        <v>185.4</v>
      </c>
      <c r="Q1226" s="215"/>
      <c r="R1226" s="215"/>
      <c r="S1226" s="116">
        <f t="shared" si="64"/>
        <v>1215.4000000000001</v>
      </c>
      <c r="T1226" s="135" t="s">
        <v>1408</v>
      </c>
      <c r="U1226" s="135" t="s">
        <v>1408</v>
      </c>
      <c r="V1226" s="135" t="s">
        <v>3323</v>
      </c>
      <c r="W1226" s="135">
        <v>826101938</v>
      </c>
      <c r="X1226" s="135">
        <v>39269099</v>
      </c>
      <c r="Y1226" s="211"/>
      <c r="Z1226" s="121" t="s">
        <v>699</v>
      </c>
      <c r="AA1226" s="205"/>
      <c r="AB1226" s="121"/>
      <c r="AC1226" s="123"/>
      <c r="AD1226" s="211"/>
      <c r="AE1226" s="211"/>
      <c r="AF1226" s="211"/>
      <c r="AG1226" s="211"/>
    </row>
    <row r="1227" spans="1:33" s="206" customFormat="1" x14ac:dyDescent="0.25">
      <c r="A1227" s="113">
        <v>46205</v>
      </c>
      <c r="B1227" s="113">
        <v>46205</v>
      </c>
      <c r="C1227" s="1" t="s">
        <v>1991</v>
      </c>
      <c r="D1227" s="224" t="s">
        <v>3560</v>
      </c>
      <c r="E1227" s="114" t="s">
        <v>3329</v>
      </c>
      <c r="F1227" s="237" t="s">
        <v>3330</v>
      </c>
      <c r="G1227" s="114" t="s">
        <v>3330</v>
      </c>
      <c r="H1227" s="115">
        <v>20</v>
      </c>
      <c r="I1227" s="195">
        <v>1</v>
      </c>
      <c r="J1227" s="195">
        <f>Table224[[#This Row],[Qty]]-Table224[[#This Row],[Issue Qty]]</f>
        <v>19</v>
      </c>
      <c r="K1227" s="73"/>
      <c r="L1227" s="73" t="s">
        <v>3480</v>
      </c>
      <c r="M1227" s="116">
        <v>8.4700000000000006</v>
      </c>
      <c r="N1227" s="126">
        <f t="shared" si="63"/>
        <v>169.4</v>
      </c>
      <c r="O1227" s="117">
        <v>0.18</v>
      </c>
      <c r="P1227" s="118">
        <f t="shared" si="66"/>
        <v>30.492000000000001</v>
      </c>
      <c r="Q1227" s="218"/>
      <c r="R1227" s="200">
        <v>0.1</v>
      </c>
      <c r="S1227" s="197">
        <f t="shared" si="64"/>
        <v>199.99199999999999</v>
      </c>
      <c r="T1227" s="135" t="s">
        <v>890</v>
      </c>
      <c r="U1227" s="135" t="s">
        <v>890</v>
      </c>
      <c r="V1227" s="200" t="s">
        <v>3331</v>
      </c>
      <c r="W1227" s="200" t="s">
        <v>3332</v>
      </c>
      <c r="X1227" s="200">
        <v>85321000</v>
      </c>
      <c r="Y1227" s="219"/>
      <c r="Z1227" s="201" t="s">
        <v>38</v>
      </c>
      <c r="AA1227" s="220"/>
      <c r="AB1227" s="201">
        <v>1</v>
      </c>
      <c r="AC1227" s="202" t="s">
        <v>145</v>
      </c>
      <c r="AD1227" s="219"/>
      <c r="AE1227" s="219"/>
      <c r="AF1227" s="219"/>
      <c r="AG1227" s="219"/>
    </row>
    <row r="1228" spans="1:33" s="206" customFormat="1" x14ac:dyDescent="0.25">
      <c r="A1228" s="192">
        <v>46205</v>
      </c>
      <c r="B1228" s="192">
        <v>46206</v>
      </c>
      <c r="C1228" s="186" t="s">
        <v>1688</v>
      </c>
      <c r="D1228" s="186" t="s">
        <v>3454</v>
      </c>
      <c r="E1228" s="186" t="s">
        <v>3420</v>
      </c>
      <c r="F1228" s="237" t="s">
        <v>3419</v>
      </c>
      <c r="G1228" s="193" t="s">
        <v>3377</v>
      </c>
      <c r="H1228" s="115">
        <v>1</v>
      </c>
      <c r="I1228" s="220"/>
      <c r="J1228" s="195">
        <f>Table224[[#This Row],[Qty]]-Table224[[#This Row],[Issue Qty]]</f>
        <v>1</v>
      </c>
      <c r="K1228" s="195"/>
      <c r="L1228" s="195" t="s">
        <v>3486</v>
      </c>
      <c r="M1228" s="116">
        <v>57876.12</v>
      </c>
      <c r="N1228" s="126">
        <f t="shared" si="63"/>
        <v>57876.12</v>
      </c>
      <c r="O1228" s="117">
        <v>0.18</v>
      </c>
      <c r="P1228" s="118">
        <f t="shared" si="66"/>
        <v>10417.7016</v>
      </c>
      <c r="Q1228" s="219"/>
      <c r="R1228" s="219"/>
      <c r="S1228" s="197">
        <f t="shared" si="64"/>
        <v>68293.821599999996</v>
      </c>
      <c r="T1228" s="135" t="s">
        <v>2816</v>
      </c>
      <c r="U1228" s="135" t="s">
        <v>2816</v>
      </c>
      <c r="V1228" s="200" t="s">
        <v>893</v>
      </c>
      <c r="W1228" s="200" t="s">
        <v>3383</v>
      </c>
      <c r="X1228" s="200">
        <v>85340000</v>
      </c>
      <c r="Y1228" s="186"/>
      <c r="Z1228" s="201" t="s">
        <v>38</v>
      </c>
      <c r="AA1228" s="220"/>
      <c r="AB1228" s="201"/>
      <c r="AC1228" s="202"/>
      <c r="AD1228" s="219"/>
      <c r="AE1228" s="219"/>
      <c r="AF1228" s="219"/>
      <c r="AG1228" s="219"/>
    </row>
    <row r="1229" spans="1:33" s="206" customFormat="1" x14ac:dyDescent="0.25">
      <c r="A1229" s="192">
        <v>46207</v>
      </c>
      <c r="B1229" s="192">
        <v>46208</v>
      </c>
      <c r="C1229" s="186" t="s">
        <v>54</v>
      </c>
      <c r="D1229" s="186" t="s">
        <v>3489</v>
      </c>
      <c r="E1229" s="186" t="s">
        <v>3599</v>
      </c>
      <c r="F1229" s="237" t="s">
        <v>3600</v>
      </c>
      <c r="G1229" s="193"/>
      <c r="H1229" s="195">
        <v>1</v>
      </c>
      <c r="I1229" s="220">
        <v>1</v>
      </c>
      <c r="J1229" s="195">
        <f>Table224[[#This Row],[Qty]]-Table224[[#This Row],[Issue Qty]]</f>
        <v>0</v>
      </c>
      <c r="K1229" s="195"/>
      <c r="L1229" s="195" t="s">
        <v>3480</v>
      </c>
      <c r="M1229" s="197">
        <v>40</v>
      </c>
      <c r="N1229" s="126">
        <f t="shared" si="63"/>
        <v>40</v>
      </c>
      <c r="O1229" s="281">
        <v>0.18</v>
      </c>
      <c r="P1229" s="118">
        <f t="shared" si="66"/>
        <v>7.1999999999999993</v>
      </c>
      <c r="Q1229" s="219"/>
      <c r="R1229" s="219">
        <v>-0.2</v>
      </c>
      <c r="S1229" s="197">
        <f t="shared" si="64"/>
        <v>47</v>
      </c>
      <c r="T1229" s="200" t="s">
        <v>3243</v>
      </c>
      <c r="U1229" s="200" t="s">
        <v>3243</v>
      </c>
      <c r="V1229" s="200" t="s">
        <v>3598</v>
      </c>
      <c r="W1229" s="200">
        <v>5131</v>
      </c>
      <c r="X1229" s="200">
        <v>76042930</v>
      </c>
      <c r="Y1229" s="186"/>
      <c r="Z1229" s="201"/>
      <c r="AA1229" s="220"/>
      <c r="AB1229" s="201">
        <v>1</v>
      </c>
      <c r="AC1229" s="202" t="s">
        <v>3411</v>
      </c>
      <c r="AD1229" s="219"/>
      <c r="AE1229" s="219"/>
      <c r="AF1229" s="219"/>
      <c r="AG1229" s="219"/>
    </row>
    <row r="1230" spans="1:33" s="206" customFormat="1" x14ac:dyDescent="0.25">
      <c r="A1230" s="192">
        <v>46207</v>
      </c>
      <c r="B1230" s="192">
        <v>46209</v>
      </c>
      <c r="C1230" s="1" t="s">
        <v>1991</v>
      </c>
      <c r="D1230" s="186" t="s">
        <v>3443</v>
      </c>
      <c r="E1230" s="186" t="s">
        <v>2339</v>
      </c>
      <c r="F1230" s="235" t="s">
        <v>1203</v>
      </c>
      <c r="G1230" s="186" t="s">
        <v>1203</v>
      </c>
      <c r="H1230" s="115">
        <v>1</v>
      </c>
      <c r="I1230" s="220"/>
      <c r="J1230" s="115">
        <f>Table224[[#This Row],[Qty]]-Table224[[#This Row],[Issue Qty]]</f>
        <v>1</v>
      </c>
      <c r="K1230" s="195"/>
      <c r="L1230" s="195" t="s">
        <v>3480</v>
      </c>
      <c r="M1230" s="197">
        <v>12247</v>
      </c>
      <c r="N1230" s="126">
        <f t="shared" si="63"/>
        <v>12247</v>
      </c>
      <c r="O1230" s="117">
        <v>0.05</v>
      </c>
      <c r="P1230" s="118">
        <f t="shared" si="66"/>
        <v>612.35</v>
      </c>
      <c r="Q1230" s="219"/>
      <c r="R1230" s="200">
        <v>153.4</v>
      </c>
      <c r="S1230" s="197">
        <f t="shared" si="64"/>
        <v>13012.75</v>
      </c>
      <c r="T1230" s="200" t="s">
        <v>145</v>
      </c>
      <c r="U1230" s="200" t="s">
        <v>145</v>
      </c>
      <c r="V1230" s="200" t="s">
        <v>1060</v>
      </c>
      <c r="W1230" s="200" t="s">
        <v>3384</v>
      </c>
      <c r="X1230" s="200">
        <v>88073020</v>
      </c>
      <c r="Y1230" s="186"/>
      <c r="Z1230" s="201" t="s">
        <v>244</v>
      </c>
      <c r="AA1230" s="220"/>
      <c r="AB1230" s="201"/>
      <c r="AC1230" s="202"/>
      <c r="AD1230" s="219"/>
      <c r="AE1230" s="219"/>
      <c r="AF1230" s="219"/>
      <c r="AG1230" s="219"/>
    </row>
    <row r="1231" spans="1:33" s="206" customFormat="1" ht="30" x14ac:dyDescent="0.25">
      <c r="A1231" s="192">
        <v>46207</v>
      </c>
      <c r="B1231" s="192">
        <v>46210</v>
      </c>
      <c r="C1231" s="186" t="s">
        <v>54</v>
      </c>
      <c r="D1231" s="186" t="s">
        <v>3430</v>
      </c>
      <c r="E1231" s="186" t="s">
        <v>2542</v>
      </c>
      <c r="F1231" s="288" t="s">
        <v>1446</v>
      </c>
      <c r="G1231" s="186" t="s">
        <v>1446</v>
      </c>
      <c r="H1231" s="115">
        <v>2</v>
      </c>
      <c r="I1231" s="8">
        <v>1</v>
      </c>
      <c r="J1231" s="115">
        <f>Table224[[#This Row],[Qty]]-Table224[[#This Row],[Issue Qty]]</f>
        <v>1</v>
      </c>
      <c r="K1231" s="332">
        <v>1</v>
      </c>
      <c r="L1231" s="195" t="s">
        <v>3479</v>
      </c>
      <c r="M1231" s="197">
        <v>4238.95</v>
      </c>
      <c r="N1231" s="126">
        <f t="shared" si="63"/>
        <v>8477.9</v>
      </c>
      <c r="O1231" s="117">
        <v>0.05</v>
      </c>
      <c r="P1231" s="118">
        <f t="shared" si="66"/>
        <v>423.89499999999998</v>
      </c>
      <c r="Q1231" s="219"/>
      <c r="R1231" s="219"/>
      <c r="S1231" s="197">
        <f t="shared" si="64"/>
        <v>8901.7950000000001</v>
      </c>
      <c r="T1231" s="200" t="s">
        <v>145</v>
      </c>
      <c r="U1231" s="200" t="s">
        <v>145</v>
      </c>
      <c r="V1231" s="200" t="s">
        <v>634</v>
      </c>
      <c r="W1231" s="200" t="s">
        <v>3386</v>
      </c>
      <c r="X1231" s="200">
        <v>88071000</v>
      </c>
      <c r="Y1231" s="219"/>
      <c r="Z1231" s="201" t="s">
        <v>126</v>
      </c>
      <c r="AA1231" s="220"/>
      <c r="AB1231" s="201">
        <v>2</v>
      </c>
      <c r="AC1231" s="202" t="s">
        <v>3685</v>
      </c>
      <c r="AD1231" s="219"/>
      <c r="AE1231" s="219"/>
      <c r="AF1231" s="219"/>
      <c r="AG1231" s="219"/>
    </row>
    <row r="1232" spans="1:33" s="206" customFormat="1" x14ac:dyDescent="0.25">
      <c r="A1232" s="192">
        <v>46217</v>
      </c>
      <c r="B1232" s="192">
        <v>46217</v>
      </c>
      <c r="C1232" s="224" t="s">
        <v>1683</v>
      </c>
      <c r="D1232" s="186" t="s">
        <v>3493</v>
      </c>
      <c r="E1232" s="186" t="s">
        <v>3381</v>
      </c>
      <c r="F1232" s="235" t="s">
        <v>3382</v>
      </c>
      <c r="G1232" s="186" t="s">
        <v>3382</v>
      </c>
      <c r="H1232" s="115">
        <v>1</v>
      </c>
      <c r="I1232" s="220"/>
      <c r="J1232" s="195">
        <f>Table224[[#This Row],[Qty]]-Table224[[#This Row],[Issue Qty]]</f>
        <v>1</v>
      </c>
      <c r="K1232" s="195"/>
      <c r="L1232" s="195" t="s">
        <v>3511</v>
      </c>
      <c r="M1232" s="197">
        <v>90</v>
      </c>
      <c r="N1232" s="126">
        <f t="shared" ref="N1232:N1274" si="67">H1232*M1232</f>
        <v>90</v>
      </c>
      <c r="O1232" s="117">
        <v>0.18</v>
      </c>
      <c r="P1232" s="118">
        <f t="shared" si="66"/>
        <v>16.2</v>
      </c>
      <c r="Q1232" s="219"/>
      <c r="R1232" s="219"/>
      <c r="S1232" s="197">
        <f t="shared" ref="S1232:S1274" si="68">N1232+P1232+Q1232+R1232</f>
        <v>106.2</v>
      </c>
      <c r="T1232" s="200" t="s">
        <v>1408</v>
      </c>
      <c r="U1232" s="200" t="s">
        <v>1408</v>
      </c>
      <c r="V1232" s="200" t="s">
        <v>3331</v>
      </c>
      <c r="W1232" s="200" t="s">
        <v>3387</v>
      </c>
      <c r="X1232" s="200">
        <v>85431010</v>
      </c>
      <c r="Y1232" s="219"/>
      <c r="Z1232" s="201" t="s">
        <v>38</v>
      </c>
      <c r="AA1232" s="220"/>
      <c r="AB1232" s="201"/>
      <c r="AC1232" s="202"/>
      <c r="AD1232" s="219"/>
      <c r="AE1232" s="219"/>
      <c r="AF1232" s="219"/>
      <c r="AG1232" s="219"/>
    </row>
    <row r="1233" spans="1:33" s="206" customFormat="1" x14ac:dyDescent="0.25">
      <c r="A1233" s="192">
        <v>46217</v>
      </c>
      <c r="B1233" s="192">
        <v>46217</v>
      </c>
      <c r="C1233" s="224" t="s">
        <v>1683</v>
      </c>
      <c r="D1233" s="186" t="s">
        <v>3493</v>
      </c>
      <c r="E1233" s="186" t="s">
        <v>3379</v>
      </c>
      <c r="F1233" s="235" t="s">
        <v>3380</v>
      </c>
      <c r="G1233" s="186" t="s">
        <v>3380</v>
      </c>
      <c r="H1233" s="195">
        <v>1</v>
      </c>
      <c r="I1233" s="220"/>
      <c r="J1233" s="195">
        <f>Table224[[#This Row],[Qty]]-Table224[[#This Row],[Issue Qty]]</f>
        <v>1</v>
      </c>
      <c r="K1233" s="195"/>
      <c r="L1233" s="195" t="s">
        <v>3511</v>
      </c>
      <c r="M1233" s="197">
        <v>70</v>
      </c>
      <c r="N1233" s="126">
        <f t="shared" si="67"/>
        <v>70</v>
      </c>
      <c r="O1233" s="281">
        <v>0.18</v>
      </c>
      <c r="P1233" s="118">
        <f t="shared" ref="P1233:P1264" si="69">N1233*O1233</f>
        <v>12.6</v>
      </c>
      <c r="Q1233" s="219"/>
      <c r="R1233" s="219"/>
      <c r="S1233" s="197">
        <f t="shared" si="68"/>
        <v>82.6</v>
      </c>
      <c r="T1233" s="200" t="s">
        <v>1408</v>
      </c>
      <c r="U1233" s="200" t="s">
        <v>1408</v>
      </c>
      <c r="V1233" s="200" t="s">
        <v>3331</v>
      </c>
      <c r="W1233" s="200" t="s">
        <v>3387</v>
      </c>
      <c r="X1233" s="200">
        <v>85431010</v>
      </c>
      <c r="Y1233" s="219"/>
      <c r="Z1233" s="201" t="s">
        <v>38</v>
      </c>
      <c r="AA1233" s="220"/>
      <c r="AB1233" s="201"/>
      <c r="AC1233" s="202"/>
      <c r="AD1233" s="219"/>
      <c r="AE1233" s="219"/>
      <c r="AF1233" s="219"/>
      <c r="AG1233" s="219"/>
    </row>
    <row r="1234" spans="1:33" s="206" customFormat="1" x14ac:dyDescent="0.25">
      <c r="A1234" s="192">
        <v>46223</v>
      </c>
      <c r="B1234" s="192">
        <v>46224</v>
      </c>
      <c r="C1234" s="224" t="s">
        <v>54</v>
      </c>
      <c r="D1234" s="186" t="s">
        <v>3497</v>
      </c>
      <c r="E1234" s="186" t="s">
        <v>3690</v>
      </c>
      <c r="F1234" s="235" t="s">
        <v>3691</v>
      </c>
      <c r="G1234" s="186"/>
      <c r="H1234" s="195">
        <v>1</v>
      </c>
      <c r="I1234" s="220">
        <v>1</v>
      </c>
      <c r="J1234" s="195">
        <f>Table224[[#This Row],[Qty]]-Table224[[#This Row],[Issue Qty]]</f>
        <v>0</v>
      </c>
      <c r="K1234" s="195"/>
      <c r="L1234" s="195" t="s">
        <v>3480</v>
      </c>
      <c r="M1234" s="197">
        <v>600</v>
      </c>
      <c r="N1234" s="126">
        <f t="shared" si="67"/>
        <v>600</v>
      </c>
      <c r="O1234" s="281">
        <v>0.18</v>
      </c>
      <c r="P1234" s="118">
        <f t="shared" si="69"/>
        <v>108</v>
      </c>
      <c r="Q1234" s="219"/>
      <c r="R1234" s="219"/>
      <c r="S1234" s="197">
        <f t="shared" si="68"/>
        <v>708</v>
      </c>
      <c r="T1234" s="200" t="s">
        <v>607</v>
      </c>
      <c r="U1234" s="200" t="s">
        <v>607</v>
      </c>
      <c r="V1234" s="200" t="s">
        <v>3692</v>
      </c>
      <c r="W1234" s="200" t="s">
        <v>3693</v>
      </c>
      <c r="X1234" s="200">
        <v>998873</v>
      </c>
      <c r="Y1234" s="219"/>
      <c r="Z1234" s="201"/>
      <c r="AA1234" s="220"/>
      <c r="AB1234" s="201"/>
      <c r="AC1234" s="202"/>
      <c r="AD1234" s="219"/>
      <c r="AE1234" s="219"/>
      <c r="AF1234" s="219"/>
      <c r="AG1234" s="219"/>
    </row>
    <row r="1235" spans="1:33" s="206" customFormat="1" x14ac:dyDescent="0.25">
      <c r="A1235" s="192">
        <v>46204</v>
      </c>
      <c r="B1235" s="192">
        <v>46227</v>
      </c>
      <c r="C1235" s="224" t="s">
        <v>1683</v>
      </c>
      <c r="D1235" s="219" t="s">
        <v>1663</v>
      </c>
      <c r="E1235" s="186" t="s">
        <v>3518</v>
      </c>
      <c r="F1235" s="235" t="s">
        <v>3519</v>
      </c>
      <c r="G1235" s="235" t="s">
        <v>3519</v>
      </c>
      <c r="H1235" s="220">
        <v>2</v>
      </c>
      <c r="I1235" s="220"/>
      <c r="J1235" s="195">
        <f>Table224[[#This Row],[Qty]]-Table224[[#This Row],[Issue Qty]]</f>
        <v>2</v>
      </c>
      <c r="K1235" s="195"/>
      <c r="L1235" s="220" t="s">
        <v>3480</v>
      </c>
      <c r="M1235" s="197">
        <v>12505.5</v>
      </c>
      <c r="N1235" s="126">
        <f t="shared" si="67"/>
        <v>25011</v>
      </c>
      <c r="O1235" s="281">
        <v>0.18</v>
      </c>
      <c r="P1235" s="118">
        <f t="shared" si="69"/>
        <v>4501.9799999999996</v>
      </c>
      <c r="Q1235" s="219">
        <v>200</v>
      </c>
      <c r="R1235" s="219"/>
      <c r="S1235" s="197">
        <f t="shared" si="68"/>
        <v>29712.98</v>
      </c>
      <c r="T1235" s="219" t="s">
        <v>607</v>
      </c>
      <c r="U1235" s="219" t="s">
        <v>607</v>
      </c>
      <c r="V1235" s="200" t="s">
        <v>3385</v>
      </c>
      <c r="W1235" s="200" t="s">
        <v>3694</v>
      </c>
      <c r="X1235" s="200">
        <v>850760</v>
      </c>
      <c r="Y1235" s="219"/>
      <c r="Z1235" s="220"/>
      <c r="AA1235" s="220"/>
      <c r="AB1235" s="201"/>
      <c r="AC1235" s="202"/>
      <c r="AD1235" s="219"/>
      <c r="AE1235" s="219"/>
      <c r="AF1235" s="219"/>
      <c r="AG1235" s="219"/>
    </row>
    <row r="1236" spans="1:33" s="206" customFormat="1" x14ac:dyDescent="0.25">
      <c r="A1236" s="192">
        <v>46231</v>
      </c>
      <c r="B1236" s="192">
        <v>46234</v>
      </c>
      <c r="C1236" s="224" t="s">
        <v>1683</v>
      </c>
      <c r="D1236" s="219" t="s">
        <v>3493</v>
      </c>
      <c r="E1236" s="186" t="s">
        <v>3522</v>
      </c>
      <c r="F1236" s="235" t="s">
        <v>3523</v>
      </c>
      <c r="G1236" s="235" t="s">
        <v>3523</v>
      </c>
      <c r="H1236" s="220">
        <v>30</v>
      </c>
      <c r="I1236" s="220"/>
      <c r="J1236" s="195">
        <f>Table224[[#This Row],[Qty]]-Table224[[#This Row],[Issue Qty]]</f>
        <v>30</v>
      </c>
      <c r="K1236" s="195"/>
      <c r="L1236" s="220" t="s">
        <v>3514</v>
      </c>
      <c r="M1236" s="197">
        <v>54.237000000000002</v>
      </c>
      <c r="N1236" s="126">
        <f t="shared" si="67"/>
        <v>1627.1100000000001</v>
      </c>
      <c r="O1236" s="281">
        <v>0.18</v>
      </c>
      <c r="P1236" s="118">
        <f t="shared" si="69"/>
        <v>292.87979999999999</v>
      </c>
      <c r="Q1236" s="219"/>
      <c r="R1236" s="219"/>
      <c r="S1236" s="197">
        <f t="shared" si="68"/>
        <v>1919.9898000000001</v>
      </c>
      <c r="T1236" s="219" t="s">
        <v>2816</v>
      </c>
      <c r="U1236" s="219" t="s">
        <v>2816</v>
      </c>
      <c r="V1236" s="200" t="s">
        <v>634</v>
      </c>
      <c r="W1236" s="200" t="s">
        <v>3686</v>
      </c>
      <c r="X1236" s="200">
        <v>85444999</v>
      </c>
      <c r="Y1236" s="219"/>
      <c r="Z1236" s="220" t="s">
        <v>1345</v>
      </c>
      <c r="AA1236" s="220"/>
      <c r="AB1236" s="201"/>
      <c r="AC1236" s="202"/>
      <c r="AD1236" s="219"/>
      <c r="AE1236" s="219"/>
      <c r="AF1236" s="219"/>
      <c r="AG1236" s="219"/>
    </row>
    <row r="1237" spans="1:33" s="206" customFormat="1" x14ac:dyDescent="0.25">
      <c r="A1237" s="192">
        <v>46231</v>
      </c>
      <c r="B1237" s="192">
        <v>46234</v>
      </c>
      <c r="C1237" s="224" t="s">
        <v>1683</v>
      </c>
      <c r="D1237" s="219" t="s">
        <v>3493</v>
      </c>
      <c r="E1237" s="186" t="s">
        <v>3520</v>
      </c>
      <c r="F1237" s="235" t="s">
        <v>3521</v>
      </c>
      <c r="G1237" s="235" t="s">
        <v>3521</v>
      </c>
      <c r="H1237" s="220">
        <v>30</v>
      </c>
      <c r="I1237" s="220"/>
      <c r="J1237" s="195">
        <f>Table224[[#This Row],[Qty]]-Table224[[#This Row],[Issue Qty]]</f>
        <v>30</v>
      </c>
      <c r="K1237" s="195"/>
      <c r="L1237" s="220" t="s">
        <v>3514</v>
      </c>
      <c r="M1237" s="197">
        <v>43.22</v>
      </c>
      <c r="N1237" s="126">
        <f t="shared" si="67"/>
        <v>1296.5999999999999</v>
      </c>
      <c r="O1237" s="281">
        <v>0.18</v>
      </c>
      <c r="P1237" s="118">
        <f t="shared" si="69"/>
        <v>233.38799999999998</v>
      </c>
      <c r="Q1237" s="219"/>
      <c r="R1237" s="219"/>
      <c r="S1237" s="197">
        <f t="shared" si="68"/>
        <v>1529.9879999999998</v>
      </c>
      <c r="T1237" s="219" t="s">
        <v>2816</v>
      </c>
      <c r="U1237" s="219" t="s">
        <v>2816</v>
      </c>
      <c r="V1237" s="200" t="s">
        <v>634</v>
      </c>
      <c r="W1237" s="200" t="s">
        <v>3686</v>
      </c>
      <c r="X1237" s="200">
        <v>85444999</v>
      </c>
      <c r="Y1237" s="219"/>
      <c r="Z1237" s="220" t="s">
        <v>1345</v>
      </c>
      <c r="AA1237" s="220"/>
      <c r="AB1237" s="201"/>
      <c r="AC1237" s="202"/>
      <c r="AD1237" s="219"/>
      <c r="AE1237" s="219"/>
      <c r="AF1237" s="219"/>
      <c r="AG1237" s="219"/>
    </row>
    <row r="1238" spans="1:33" s="206" customFormat="1" x14ac:dyDescent="0.25">
      <c r="A1238" s="192">
        <v>46231</v>
      </c>
      <c r="B1238" s="192">
        <v>46234</v>
      </c>
      <c r="C1238" s="224" t="s">
        <v>1683</v>
      </c>
      <c r="D1238" s="219" t="s">
        <v>3493</v>
      </c>
      <c r="E1238" s="186" t="s">
        <v>2546</v>
      </c>
      <c r="F1238" s="235" t="s">
        <v>1449</v>
      </c>
      <c r="G1238" s="235" t="s">
        <v>1449</v>
      </c>
      <c r="H1238" s="220">
        <v>30</v>
      </c>
      <c r="I1238" s="220">
        <v>4</v>
      </c>
      <c r="J1238" s="195">
        <f>Table224[[#This Row],[Qty]]-Table224[[#This Row],[Issue Qty]]</f>
        <v>26</v>
      </c>
      <c r="K1238" s="195"/>
      <c r="L1238" s="220" t="s">
        <v>3514</v>
      </c>
      <c r="M1238" s="197">
        <v>37.287999999999997</v>
      </c>
      <c r="N1238" s="126">
        <f t="shared" si="67"/>
        <v>1118.6399999999999</v>
      </c>
      <c r="O1238" s="281">
        <v>0.18</v>
      </c>
      <c r="P1238" s="118">
        <f t="shared" si="69"/>
        <v>201.35519999999997</v>
      </c>
      <c r="Q1238" s="219"/>
      <c r="R1238" s="219"/>
      <c r="S1238" s="197">
        <f t="shared" si="68"/>
        <v>1319.9951999999998</v>
      </c>
      <c r="T1238" s="219" t="s">
        <v>2816</v>
      </c>
      <c r="U1238" s="219" t="s">
        <v>2816</v>
      </c>
      <c r="V1238" s="200" t="s">
        <v>634</v>
      </c>
      <c r="W1238" s="200" t="s">
        <v>3686</v>
      </c>
      <c r="X1238" s="200">
        <v>85444999</v>
      </c>
      <c r="Y1238" s="219"/>
      <c r="Z1238" s="220" t="s">
        <v>1345</v>
      </c>
      <c r="AA1238" s="220"/>
      <c r="AB1238" s="201">
        <v>4</v>
      </c>
      <c r="AC1238" s="202" t="s">
        <v>3465</v>
      </c>
      <c r="AD1238" s="219" t="s">
        <v>3862</v>
      </c>
      <c r="AE1238" s="219"/>
      <c r="AF1238" s="219"/>
      <c r="AG1238" s="219"/>
    </row>
    <row r="1239" spans="1:33" s="206" customFormat="1" x14ac:dyDescent="0.25">
      <c r="A1239" s="192">
        <v>46231</v>
      </c>
      <c r="B1239" s="113">
        <v>46234</v>
      </c>
      <c r="C1239" s="1" t="s">
        <v>1991</v>
      </c>
      <c r="D1239" s="219" t="s">
        <v>3443</v>
      </c>
      <c r="E1239" s="186" t="s">
        <v>1741</v>
      </c>
      <c r="F1239" s="235" t="s">
        <v>165</v>
      </c>
      <c r="G1239" s="235" t="s">
        <v>165</v>
      </c>
      <c r="H1239" s="220">
        <v>12</v>
      </c>
      <c r="I1239" s="220">
        <v>0</v>
      </c>
      <c r="J1239" s="195">
        <f>Table224[[#This Row],[Qty]]-Table224[[#This Row],[Issue Qty]]</f>
        <v>12</v>
      </c>
      <c r="K1239" s="195"/>
      <c r="L1239" s="220" t="s">
        <v>3480</v>
      </c>
      <c r="M1239" s="301">
        <v>2760.95</v>
      </c>
      <c r="N1239" s="126">
        <f t="shared" si="67"/>
        <v>33131.399999999994</v>
      </c>
      <c r="O1239" s="82">
        <v>0.05</v>
      </c>
      <c r="P1239" s="118">
        <f t="shared" si="69"/>
        <v>1656.5699999999997</v>
      </c>
      <c r="Q1239" s="219">
        <v>530.79999999999995</v>
      </c>
      <c r="R1239" s="219"/>
      <c r="S1239" s="197">
        <f t="shared" si="68"/>
        <v>35318.769999999997</v>
      </c>
      <c r="T1239" s="1" t="s">
        <v>2887</v>
      </c>
      <c r="U1239" s="1" t="s">
        <v>2887</v>
      </c>
      <c r="V1239" s="219" t="s">
        <v>634</v>
      </c>
      <c r="W1239" s="219" t="s">
        <v>3686</v>
      </c>
      <c r="X1239" s="219">
        <v>85444999</v>
      </c>
      <c r="Y1239" s="219"/>
      <c r="Z1239" s="220" t="s">
        <v>25</v>
      </c>
      <c r="AA1239" s="220"/>
      <c r="AB1239" s="201"/>
      <c r="AC1239" s="202"/>
      <c r="AD1239" s="202"/>
      <c r="AE1239" s="219"/>
      <c r="AF1239" s="219"/>
      <c r="AG1239" s="219"/>
    </row>
    <row r="1240" spans="1:33" s="206" customFormat="1" ht="22.5" customHeight="1" x14ac:dyDescent="0.25">
      <c r="A1240" s="192">
        <v>46237</v>
      </c>
      <c r="B1240" s="113">
        <v>46237</v>
      </c>
      <c r="C1240" s="186" t="s">
        <v>54</v>
      </c>
      <c r="D1240" s="224" t="s">
        <v>3494</v>
      </c>
      <c r="E1240" s="186" t="s">
        <v>3233</v>
      </c>
      <c r="F1240" s="235" t="s">
        <v>3234</v>
      </c>
      <c r="G1240" s="235" t="s">
        <v>3234</v>
      </c>
      <c r="H1240" s="220">
        <v>2</v>
      </c>
      <c r="I1240" s="220">
        <v>2</v>
      </c>
      <c r="J1240" s="195">
        <f>Table224[[#This Row],[Qty]]-Table224[[#This Row],[Issue Qty]]</f>
        <v>0</v>
      </c>
      <c r="K1240" s="195"/>
      <c r="L1240" s="220" t="s">
        <v>3480</v>
      </c>
      <c r="M1240" s="197">
        <v>2994.6</v>
      </c>
      <c r="N1240" s="126">
        <f t="shared" si="67"/>
        <v>5989.2</v>
      </c>
      <c r="O1240" s="251">
        <v>0.18</v>
      </c>
      <c r="P1240" s="247">
        <f t="shared" si="69"/>
        <v>1078.056</v>
      </c>
      <c r="Q1240" s="219"/>
      <c r="R1240" s="219"/>
      <c r="S1240" s="197">
        <f t="shared" si="68"/>
        <v>7067.2559999999994</v>
      </c>
      <c r="T1240" s="200" t="s">
        <v>3242</v>
      </c>
      <c r="U1240" s="200" t="s">
        <v>3242</v>
      </c>
      <c r="V1240" s="219" t="s">
        <v>358</v>
      </c>
      <c r="W1240" s="219" t="s">
        <v>3578</v>
      </c>
      <c r="X1240" s="219">
        <v>39269099</v>
      </c>
      <c r="Y1240" s="219"/>
      <c r="Z1240" s="220" t="s">
        <v>3607</v>
      </c>
      <c r="AA1240" s="220"/>
      <c r="AB1240" s="201">
        <v>2</v>
      </c>
      <c r="AC1240" s="202" t="s">
        <v>3870</v>
      </c>
      <c r="AD1240" s="219"/>
      <c r="AE1240" s="219"/>
      <c r="AF1240" s="219"/>
      <c r="AG1240" s="219"/>
    </row>
    <row r="1241" spans="1:33" s="206" customFormat="1" ht="24" customHeight="1" x14ac:dyDescent="0.25">
      <c r="A1241" s="192">
        <v>46237</v>
      </c>
      <c r="B1241" s="192">
        <v>46237</v>
      </c>
      <c r="C1241" s="186" t="s">
        <v>54</v>
      </c>
      <c r="D1241" s="224" t="s">
        <v>3494</v>
      </c>
      <c r="E1241" s="186" t="s">
        <v>2603</v>
      </c>
      <c r="F1241" s="235" t="s">
        <v>3524</v>
      </c>
      <c r="G1241" s="235" t="s">
        <v>3232</v>
      </c>
      <c r="H1241" s="220">
        <v>1</v>
      </c>
      <c r="I1241" s="220">
        <v>0</v>
      </c>
      <c r="J1241" s="195">
        <f>Table224[[#This Row],[Qty]]-Table224[[#This Row],[Issue Qty]]</f>
        <v>1</v>
      </c>
      <c r="K1241" s="195"/>
      <c r="L1241" s="195" t="s">
        <v>3480</v>
      </c>
      <c r="M1241" s="197">
        <v>3082</v>
      </c>
      <c r="N1241" s="126">
        <f t="shared" si="67"/>
        <v>3082</v>
      </c>
      <c r="O1241" s="251">
        <v>0.18</v>
      </c>
      <c r="P1241" s="247">
        <f t="shared" si="69"/>
        <v>554.76</v>
      </c>
      <c r="Q1241" s="219"/>
      <c r="R1241" s="219"/>
      <c r="S1241" s="197">
        <f t="shared" si="68"/>
        <v>3636.76</v>
      </c>
      <c r="T1241" s="200" t="s">
        <v>2887</v>
      </c>
      <c r="U1241" s="200" t="s">
        <v>2887</v>
      </c>
      <c r="V1241" s="219" t="s">
        <v>358</v>
      </c>
      <c r="W1241" s="219" t="s">
        <v>3578</v>
      </c>
      <c r="X1241" s="219">
        <v>39269099</v>
      </c>
      <c r="Y1241" s="219"/>
      <c r="Z1241" s="21" t="s">
        <v>3165</v>
      </c>
      <c r="AA1241" s="220"/>
      <c r="AB1241" s="201"/>
      <c r="AC1241" s="202"/>
      <c r="AD1241" s="219"/>
      <c r="AE1241" s="219"/>
      <c r="AF1241" s="219"/>
      <c r="AG1241" s="219"/>
    </row>
    <row r="1242" spans="1:33" s="206" customFormat="1" ht="23.25" customHeight="1" x14ac:dyDescent="0.25">
      <c r="A1242" s="192">
        <v>46237</v>
      </c>
      <c r="B1242" s="192">
        <v>46237</v>
      </c>
      <c r="C1242" s="186" t="s">
        <v>54</v>
      </c>
      <c r="D1242" s="224" t="s">
        <v>3494</v>
      </c>
      <c r="E1242" s="186" t="s">
        <v>2604</v>
      </c>
      <c r="F1242" s="235" t="s">
        <v>3525</v>
      </c>
      <c r="G1242" s="235" t="s">
        <v>3524</v>
      </c>
      <c r="H1242" s="220">
        <v>1</v>
      </c>
      <c r="I1242" s="220">
        <v>1</v>
      </c>
      <c r="J1242" s="195">
        <f>Table224[[#This Row],[Qty]]-Table224[[#This Row],[Issue Qty]]</f>
        <v>0</v>
      </c>
      <c r="K1242" s="195"/>
      <c r="L1242" s="195" t="s">
        <v>3480</v>
      </c>
      <c r="M1242" s="197">
        <v>4213.6000000000004</v>
      </c>
      <c r="N1242" s="126">
        <f t="shared" si="67"/>
        <v>4213.6000000000004</v>
      </c>
      <c r="O1242" s="251">
        <v>0.18</v>
      </c>
      <c r="P1242" s="247">
        <f t="shared" si="69"/>
        <v>758.44800000000009</v>
      </c>
      <c r="Q1242" s="219"/>
      <c r="R1242" s="219"/>
      <c r="S1242" s="197">
        <f t="shared" si="68"/>
        <v>4972.0480000000007</v>
      </c>
      <c r="T1242" s="200" t="s">
        <v>2887</v>
      </c>
      <c r="U1242" s="200" t="s">
        <v>2887</v>
      </c>
      <c r="V1242" s="219" t="s">
        <v>358</v>
      </c>
      <c r="W1242" s="219" t="s">
        <v>3578</v>
      </c>
      <c r="X1242" s="219">
        <v>39269099</v>
      </c>
      <c r="Y1242" s="219"/>
      <c r="Z1242" s="220" t="s">
        <v>2777</v>
      </c>
      <c r="AA1242" s="220"/>
      <c r="AB1242" s="201">
        <v>1</v>
      </c>
      <c r="AC1242" s="202" t="s">
        <v>3303</v>
      </c>
      <c r="AD1242" s="219"/>
      <c r="AE1242" s="219"/>
      <c r="AF1242" s="219"/>
      <c r="AG1242" s="219"/>
    </row>
    <row r="1243" spans="1:33" s="206" customFormat="1" ht="24.75" customHeight="1" x14ac:dyDescent="0.25">
      <c r="A1243" s="113">
        <v>46237</v>
      </c>
      <c r="B1243" s="113">
        <v>46237</v>
      </c>
      <c r="C1243" s="186" t="s">
        <v>54</v>
      </c>
      <c r="D1243" s="224" t="s">
        <v>3494</v>
      </c>
      <c r="E1243" s="186" t="s">
        <v>3231</v>
      </c>
      <c r="F1243" s="235" t="s">
        <v>3232</v>
      </c>
      <c r="G1243" s="235" t="s">
        <v>3525</v>
      </c>
      <c r="H1243" s="220">
        <v>1</v>
      </c>
      <c r="I1243" s="220">
        <v>0</v>
      </c>
      <c r="J1243" s="195">
        <f>Table224[[#This Row],[Qty]]-Table224[[#This Row],[Issue Qty]]</f>
        <v>1</v>
      </c>
      <c r="K1243" s="195"/>
      <c r="L1243" s="195" t="s">
        <v>3480</v>
      </c>
      <c r="M1243" s="197">
        <v>4098.6000000000004</v>
      </c>
      <c r="N1243" s="246">
        <f t="shared" si="67"/>
        <v>4098.6000000000004</v>
      </c>
      <c r="O1243" s="251">
        <v>0.18</v>
      </c>
      <c r="P1243" s="247">
        <f t="shared" si="69"/>
        <v>737.74800000000005</v>
      </c>
      <c r="Q1243" s="219"/>
      <c r="R1243" s="219"/>
      <c r="S1243" s="197">
        <f t="shared" si="68"/>
        <v>4836.348</v>
      </c>
      <c r="T1243" s="200" t="s">
        <v>3242</v>
      </c>
      <c r="U1243" s="200" t="s">
        <v>3242</v>
      </c>
      <c r="V1243" s="219" t="s">
        <v>358</v>
      </c>
      <c r="W1243" s="219" t="s">
        <v>3578</v>
      </c>
      <c r="X1243" s="219">
        <v>39269099</v>
      </c>
      <c r="Y1243" s="219"/>
      <c r="Z1243" s="220"/>
      <c r="AA1243" s="220"/>
      <c r="AB1243" s="201">
        <v>1</v>
      </c>
      <c r="AC1243" s="202" t="s">
        <v>3869</v>
      </c>
      <c r="AD1243" s="219"/>
      <c r="AE1243" s="219"/>
      <c r="AF1243" s="219"/>
      <c r="AG1243" s="219"/>
    </row>
    <row r="1244" spans="1:33" s="206" customFormat="1" ht="46.5" customHeight="1" x14ac:dyDescent="0.25">
      <c r="A1244" s="192">
        <v>46237</v>
      </c>
      <c r="B1244" s="192">
        <v>46239</v>
      </c>
      <c r="C1244" s="85" t="s">
        <v>1730</v>
      </c>
      <c r="D1244" s="100" t="s">
        <v>1730</v>
      </c>
      <c r="E1244" s="85" t="s">
        <v>3746</v>
      </c>
      <c r="F1244" s="282" t="s">
        <v>3745</v>
      </c>
      <c r="G1244" s="282"/>
      <c r="H1244" s="217">
        <v>12</v>
      </c>
      <c r="I1244" s="308">
        <v>12</v>
      </c>
      <c r="J1244" s="73">
        <f>Table224[[#This Row],[Qty]]-Table224[[#This Row],[Issue Qty]]</f>
        <v>0</v>
      </c>
      <c r="K1244" s="73"/>
      <c r="L1244" s="73" t="s">
        <v>3480</v>
      </c>
      <c r="M1244" s="67">
        <v>100</v>
      </c>
      <c r="N1244" s="246">
        <f t="shared" si="67"/>
        <v>1200</v>
      </c>
      <c r="O1244" s="251">
        <v>0.18</v>
      </c>
      <c r="P1244" s="247">
        <f t="shared" si="69"/>
        <v>216</v>
      </c>
      <c r="Q1244" s="216"/>
      <c r="R1244" s="216"/>
      <c r="S1244" s="197">
        <f t="shared" si="68"/>
        <v>1416</v>
      </c>
      <c r="T1244" s="147" t="s">
        <v>3243</v>
      </c>
      <c r="U1244" s="147" t="s">
        <v>3243</v>
      </c>
      <c r="V1244" s="219" t="s">
        <v>3744</v>
      </c>
      <c r="W1244" s="219">
        <v>162</v>
      </c>
      <c r="X1244" s="219"/>
      <c r="Y1244" s="216"/>
      <c r="Z1244" s="220" t="s">
        <v>2777</v>
      </c>
      <c r="AA1244" s="217"/>
      <c r="AB1244" s="132">
        <v>12</v>
      </c>
      <c r="AC1244" s="133" t="s">
        <v>3411</v>
      </c>
      <c r="AD1244" s="216"/>
      <c r="AE1244" s="216"/>
      <c r="AF1244" s="216"/>
      <c r="AG1244" s="216"/>
    </row>
    <row r="1245" spans="1:33" x14ac:dyDescent="0.25">
      <c r="A1245" s="113">
        <v>46239</v>
      </c>
      <c r="B1245" s="113">
        <v>46239</v>
      </c>
      <c r="C1245" s="287" t="s">
        <v>54</v>
      </c>
      <c r="D1245" s="85" t="s">
        <v>3497</v>
      </c>
      <c r="E1245" s="287" t="s">
        <v>3675</v>
      </c>
      <c r="F1245" s="298" t="s">
        <v>3670</v>
      </c>
      <c r="G1245" s="287"/>
      <c r="H1245" s="217">
        <v>6</v>
      </c>
      <c r="I1245" s="134">
        <v>3</v>
      </c>
      <c r="J1245" s="73">
        <f>Table224[[#This Row],[Qty]]-Table224[[#This Row],[Issue Qty]]</f>
        <v>3</v>
      </c>
      <c r="K1245" s="73"/>
      <c r="L1245" s="73" t="s">
        <v>3480</v>
      </c>
      <c r="M1245" s="297">
        <v>155</v>
      </c>
      <c r="N1245" s="246">
        <f t="shared" si="67"/>
        <v>930</v>
      </c>
      <c r="O1245" s="251">
        <v>0.18</v>
      </c>
      <c r="P1245" s="247">
        <f t="shared" si="69"/>
        <v>167.4</v>
      </c>
      <c r="Q1245" s="297"/>
      <c r="R1245" s="297"/>
      <c r="S1245" s="197">
        <f t="shared" si="68"/>
        <v>1097.4000000000001</v>
      </c>
      <c r="T1245" s="287" t="s">
        <v>260</v>
      </c>
      <c r="U1245" s="287" t="s">
        <v>260</v>
      </c>
      <c r="V1245" s="219" t="s">
        <v>3030</v>
      </c>
      <c r="W1245" s="219">
        <v>52399</v>
      </c>
      <c r="X1245" s="219">
        <v>998853</v>
      </c>
      <c r="Y1245" s="287"/>
      <c r="Z1245" s="217" t="s">
        <v>688</v>
      </c>
      <c r="AA1245" s="217"/>
      <c r="AB1245" s="217"/>
      <c r="AC1245" s="287"/>
      <c r="AD1245" s="287"/>
      <c r="AE1245" s="287"/>
      <c r="AF1245" s="287"/>
      <c r="AG1245" s="287"/>
    </row>
    <row r="1246" spans="1:33" x14ac:dyDescent="0.25">
      <c r="A1246" s="113">
        <v>46239</v>
      </c>
      <c r="B1246" s="113">
        <v>46240</v>
      </c>
      <c r="C1246" s="287" t="s">
        <v>1683</v>
      </c>
      <c r="D1246" s="85" t="s">
        <v>3431</v>
      </c>
      <c r="E1246" s="287" t="s">
        <v>3676</v>
      </c>
      <c r="F1246" s="298" t="s">
        <v>3671</v>
      </c>
      <c r="G1246" s="287"/>
      <c r="H1246" s="217">
        <v>12</v>
      </c>
      <c r="I1246" s="134"/>
      <c r="J1246" s="73">
        <f>Table224[[#This Row],[Qty]]-Table224[[#This Row],[Issue Qty]]</f>
        <v>12</v>
      </c>
      <c r="K1246" s="73"/>
      <c r="L1246" s="73" t="s">
        <v>3480</v>
      </c>
      <c r="M1246" s="297">
        <v>5058</v>
      </c>
      <c r="N1246" s="246">
        <f t="shared" si="67"/>
        <v>60696</v>
      </c>
      <c r="O1246" s="251">
        <v>0.18</v>
      </c>
      <c r="P1246" s="247">
        <f t="shared" si="69"/>
        <v>10925.279999999999</v>
      </c>
      <c r="Q1246" s="297"/>
      <c r="R1246" s="297">
        <v>-0.28000000000000003</v>
      </c>
      <c r="S1246" s="197">
        <f t="shared" si="68"/>
        <v>71621</v>
      </c>
      <c r="T1246" s="287" t="s">
        <v>3677</v>
      </c>
      <c r="U1246" s="287" t="s">
        <v>3677</v>
      </c>
      <c r="V1246" s="219" t="s">
        <v>2845</v>
      </c>
      <c r="W1246" s="219" t="s">
        <v>3680</v>
      </c>
      <c r="X1246" s="219">
        <v>88073000</v>
      </c>
      <c r="Y1246" s="287"/>
      <c r="Z1246" s="217" t="s">
        <v>22</v>
      </c>
      <c r="AA1246" s="217"/>
      <c r="AB1246" s="217"/>
      <c r="AC1246" s="287"/>
      <c r="AD1246" s="287"/>
      <c r="AE1246" s="287"/>
      <c r="AF1246" s="287"/>
      <c r="AG1246" s="287"/>
    </row>
    <row r="1247" spans="1:33" x14ac:dyDescent="0.25">
      <c r="A1247" s="113">
        <v>46231</v>
      </c>
      <c r="B1247" s="113">
        <v>46241</v>
      </c>
      <c r="C1247" s="287" t="s">
        <v>54</v>
      </c>
      <c r="D1247" s="85" t="s">
        <v>3489</v>
      </c>
      <c r="E1247" s="287" t="s">
        <v>3208</v>
      </c>
      <c r="F1247" s="298" t="s">
        <v>3209</v>
      </c>
      <c r="G1247" s="287"/>
      <c r="H1247" s="217">
        <v>6</v>
      </c>
      <c r="I1247" s="134">
        <v>2</v>
      </c>
      <c r="J1247" s="73">
        <f>Table224[[#This Row],[Qty]]-Table224[[#This Row],[Issue Qty]]</f>
        <v>4</v>
      </c>
      <c r="K1247" s="73"/>
      <c r="L1247" s="73" t="s">
        <v>3480</v>
      </c>
      <c r="M1247" s="297">
        <v>9500</v>
      </c>
      <c r="N1247" s="246">
        <f t="shared" si="67"/>
        <v>57000</v>
      </c>
      <c r="O1247" s="251">
        <v>0.18</v>
      </c>
      <c r="P1247" s="247">
        <f t="shared" si="69"/>
        <v>10260</v>
      </c>
      <c r="Q1247" s="297"/>
      <c r="R1247" s="297"/>
      <c r="S1247" s="197">
        <f t="shared" si="68"/>
        <v>67260</v>
      </c>
      <c r="T1247" s="287" t="s">
        <v>3242</v>
      </c>
      <c r="U1247" s="287" t="s">
        <v>3242</v>
      </c>
      <c r="V1247" s="219" t="s">
        <v>3678</v>
      </c>
      <c r="W1247" s="219">
        <v>49</v>
      </c>
      <c r="X1247" s="219"/>
      <c r="Y1247" s="287"/>
      <c r="Z1247" s="217" t="s">
        <v>268</v>
      </c>
      <c r="AA1247" s="217"/>
      <c r="AB1247" s="217">
        <v>2</v>
      </c>
      <c r="AC1247" s="287" t="s">
        <v>3838</v>
      </c>
      <c r="AD1247" s="287"/>
      <c r="AE1247" s="287"/>
      <c r="AF1247" s="287"/>
      <c r="AG1247" s="287"/>
    </row>
    <row r="1248" spans="1:33" x14ac:dyDescent="0.25">
      <c r="A1248" s="113">
        <v>46231</v>
      </c>
      <c r="B1248" s="113">
        <v>46241</v>
      </c>
      <c r="C1248" s="287" t="s">
        <v>54</v>
      </c>
      <c r="D1248" s="85" t="s">
        <v>3489</v>
      </c>
      <c r="E1248" s="287" t="s">
        <v>2983</v>
      </c>
      <c r="F1248" s="298" t="s">
        <v>2986</v>
      </c>
      <c r="G1248" s="287"/>
      <c r="H1248" s="217">
        <v>1</v>
      </c>
      <c r="I1248" s="134">
        <v>1</v>
      </c>
      <c r="J1248" s="73">
        <f>Table224[[#This Row],[Qty]]-Table224[[#This Row],[Issue Qty]]</f>
        <v>0</v>
      </c>
      <c r="K1248" s="73"/>
      <c r="L1248" s="73" t="s">
        <v>3480</v>
      </c>
      <c r="M1248" s="297">
        <v>10500</v>
      </c>
      <c r="N1248" s="246">
        <f t="shared" si="67"/>
        <v>10500</v>
      </c>
      <c r="O1248" s="251">
        <v>0.18</v>
      </c>
      <c r="P1248" s="247">
        <f t="shared" si="69"/>
        <v>1890</v>
      </c>
      <c r="Q1248" s="297"/>
      <c r="R1248" s="297"/>
      <c r="S1248" s="197">
        <f t="shared" si="68"/>
        <v>12390</v>
      </c>
      <c r="T1248" s="287" t="s">
        <v>2887</v>
      </c>
      <c r="U1248" s="287" t="s">
        <v>2887</v>
      </c>
      <c r="V1248" s="219" t="s">
        <v>3678</v>
      </c>
      <c r="W1248" s="219">
        <v>49</v>
      </c>
      <c r="X1248" s="219"/>
      <c r="Y1248" s="287"/>
      <c r="Z1248" s="217"/>
      <c r="AA1248" s="217"/>
      <c r="AB1248" s="217">
        <v>1</v>
      </c>
      <c r="AC1248" s="287" t="s">
        <v>3726</v>
      </c>
      <c r="AD1248" s="287"/>
      <c r="AE1248" s="287"/>
      <c r="AF1248" s="287"/>
      <c r="AG1248" s="287"/>
    </row>
    <row r="1249" spans="1:33" ht="30" x14ac:dyDescent="0.25">
      <c r="A1249" s="113">
        <v>46240</v>
      </c>
      <c r="B1249" s="113">
        <v>46241</v>
      </c>
      <c r="C1249" s="287" t="s">
        <v>1683</v>
      </c>
      <c r="D1249" s="85" t="s">
        <v>3431</v>
      </c>
      <c r="E1249" s="287" t="s">
        <v>3308</v>
      </c>
      <c r="F1249" s="298" t="s">
        <v>3309</v>
      </c>
      <c r="G1249" s="287"/>
      <c r="H1249" s="217">
        <v>1</v>
      </c>
      <c r="I1249" s="134">
        <v>1</v>
      </c>
      <c r="J1249" s="73">
        <f>Table224[[#This Row],[Qty]]-Table224[[#This Row],[Issue Qty]]</f>
        <v>0</v>
      </c>
      <c r="K1249" s="73"/>
      <c r="L1249" s="73" t="s">
        <v>3480</v>
      </c>
      <c r="M1249" s="297">
        <v>4850</v>
      </c>
      <c r="N1249" s="246">
        <f t="shared" si="67"/>
        <v>4850</v>
      </c>
      <c r="O1249" s="251">
        <v>0.18</v>
      </c>
      <c r="P1249" s="247">
        <f t="shared" si="69"/>
        <v>873</v>
      </c>
      <c r="Q1249" s="297"/>
      <c r="R1249" s="297">
        <v>32.4</v>
      </c>
      <c r="S1249" s="197">
        <f t="shared" si="68"/>
        <v>5755.4</v>
      </c>
      <c r="T1249" s="287" t="s">
        <v>3243</v>
      </c>
      <c r="U1249" s="287" t="s">
        <v>3243</v>
      </c>
      <c r="V1249" s="219" t="s">
        <v>792</v>
      </c>
      <c r="W1249" s="219" t="s">
        <v>3681</v>
      </c>
      <c r="X1249" s="219">
        <v>850110</v>
      </c>
      <c r="Y1249" s="287"/>
      <c r="Z1249" s="217"/>
      <c r="AA1249" s="217"/>
      <c r="AB1249" s="217">
        <v>1</v>
      </c>
      <c r="AC1249" s="133" t="s">
        <v>3411</v>
      </c>
      <c r="AD1249" s="216" t="s">
        <v>3412</v>
      </c>
      <c r="AE1249" s="287"/>
      <c r="AF1249" s="287"/>
      <c r="AG1249" s="287"/>
    </row>
    <row r="1250" spans="1:33" x14ac:dyDescent="0.25">
      <c r="A1250" s="113">
        <v>46244</v>
      </c>
      <c r="B1250" s="113">
        <v>46245</v>
      </c>
      <c r="C1250" s="295" t="s">
        <v>1730</v>
      </c>
      <c r="D1250" s="186" t="s">
        <v>1730</v>
      </c>
      <c r="E1250" s="295" t="s">
        <v>1644</v>
      </c>
      <c r="F1250" s="299" t="s">
        <v>3672</v>
      </c>
      <c r="G1250" s="295"/>
      <c r="H1250" s="220">
        <v>1</v>
      </c>
      <c r="I1250" s="195">
        <v>1</v>
      </c>
      <c r="J1250" s="195">
        <f>Table224[[#This Row],[Qty]]-Table224[[#This Row],[Issue Qty]]</f>
        <v>0</v>
      </c>
      <c r="K1250" s="195"/>
      <c r="L1250" s="195" t="s">
        <v>3480</v>
      </c>
      <c r="M1250" s="296">
        <v>150</v>
      </c>
      <c r="N1250" s="246">
        <f t="shared" si="67"/>
        <v>150</v>
      </c>
      <c r="O1250" s="251">
        <v>0.18</v>
      </c>
      <c r="P1250" s="247">
        <f t="shared" si="69"/>
        <v>27</v>
      </c>
      <c r="Q1250" s="296"/>
      <c r="R1250" s="296"/>
      <c r="S1250" s="197">
        <f t="shared" si="68"/>
        <v>177</v>
      </c>
      <c r="T1250" s="287" t="s">
        <v>3243</v>
      </c>
      <c r="U1250" s="287" t="s">
        <v>3243</v>
      </c>
      <c r="V1250" s="219" t="s">
        <v>3679</v>
      </c>
      <c r="W1250" s="219" t="s">
        <v>3682</v>
      </c>
      <c r="X1250" s="219">
        <v>73151900</v>
      </c>
      <c r="Y1250" s="295"/>
      <c r="Z1250" s="220" t="s">
        <v>699</v>
      </c>
      <c r="AA1250" s="220"/>
      <c r="AB1250" s="220"/>
      <c r="AC1250" s="295"/>
      <c r="AD1250" s="295"/>
      <c r="AE1250" s="295"/>
      <c r="AF1250" s="295"/>
      <c r="AG1250" s="295"/>
    </row>
    <row r="1251" spans="1:33" x14ac:dyDescent="0.25">
      <c r="A1251" s="113">
        <v>46244</v>
      </c>
      <c r="B1251" s="113">
        <v>46245</v>
      </c>
      <c r="C1251" s="295" t="s">
        <v>1730</v>
      </c>
      <c r="D1251" s="186" t="s">
        <v>1730</v>
      </c>
      <c r="E1251" s="295" t="s">
        <v>1644</v>
      </c>
      <c r="F1251" s="299" t="s">
        <v>3673</v>
      </c>
      <c r="G1251" s="295"/>
      <c r="H1251" s="220">
        <v>1</v>
      </c>
      <c r="I1251" s="69">
        <v>1</v>
      </c>
      <c r="J1251" s="195">
        <f>Table224[[#This Row],[Qty]]-Table224[[#This Row],[Issue Qty]]</f>
        <v>0</v>
      </c>
      <c r="K1251" s="195"/>
      <c r="L1251" s="195" t="s">
        <v>3514</v>
      </c>
      <c r="M1251" s="296">
        <v>1951.25</v>
      </c>
      <c r="N1251" s="246">
        <f t="shared" si="67"/>
        <v>1951.25</v>
      </c>
      <c r="O1251" s="251">
        <v>0.18</v>
      </c>
      <c r="P1251" s="247">
        <f t="shared" si="69"/>
        <v>351.22499999999997</v>
      </c>
      <c r="Q1251" s="296"/>
      <c r="R1251" s="296">
        <v>0.02</v>
      </c>
      <c r="S1251" s="197">
        <f t="shared" si="68"/>
        <v>2302.4949999999999</v>
      </c>
      <c r="T1251" s="287" t="s">
        <v>3243</v>
      </c>
      <c r="U1251" s="287" t="s">
        <v>3243</v>
      </c>
      <c r="V1251" s="219" t="s">
        <v>3679</v>
      </c>
      <c r="W1251" s="219" t="s">
        <v>3682</v>
      </c>
      <c r="X1251" s="219">
        <v>73151900</v>
      </c>
      <c r="Y1251" s="295"/>
      <c r="Z1251" s="220" t="s">
        <v>699</v>
      </c>
      <c r="AA1251" s="220"/>
      <c r="AB1251" s="220"/>
      <c r="AC1251" s="295"/>
      <c r="AD1251" s="295"/>
      <c r="AE1251" s="295"/>
      <c r="AF1251" s="295"/>
      <c r="AG1251" s="295"/>
    </row>
    <row r="1252" spans="1:33" x14ac:dyDescent="0.25">
      <c r="A1252" s="113">
        <v>46246</v>
      </c>
      <c r="B1252" s="113">
        <v>46246</v>
      </c>
      <c r="C1252" s="295" t="s">
        <v>54</v>
      </c>
      <c r="D1252" s="186" t="s">
        <v>3489</v>
      </c>
      <c r="E1252" s="295" t="s">
        <v>3292</v>
      </c>
      <c r="F1252" s="299" t="s">
        <v>3275</v>
      </c>
      <c r="G1252" s="295"/>
      <c r="H1252" s="220">
        <v>3</v>
      </c>
      <c r="I1252" s="195">
        <v>3</v>
      </c>
      <c r="J1252" s="195">
        <f>Table224[[#This Row],[Qty]]-Table224[[#This Row],[Issue Qty]]</f>
        <v>0</v>
      </c>
      <c r="K1252" s="195"/>
      <c r="L1252" s="195" t="s">
        <v>3480</v>
      </c>
      <c r="M1252" s="296">
        <v>1944</v>
      </c>
      <c r="N1252" s="246">
        <f t="shared" si="67"/>
        <v>5832</v>
      </c>
      <c r="O1252" s="251">
        <v>0.18</v>
      </c>
      <c r="P1252" s="247">
        <f t="shared" si="69"/>
        <v>1049.76</v>
      </c>
      <c r="Q1252" s="296"/>
      <c r="R1252" s="296"/>
      <c r="S1252" s="197">
        <f t="shared" si="68"/>
        <v>6881.76</v>
      </c>
      <c r="T1252" s="295" t="s">
        <v>3242</v>
      </c>
      <c r="U1252" s="295" t="s">
        <v>3242</v>
      </c>
      <c r="V1252" s="219" t="s">
        <v>1511</v>
      </c>
      <c r="W1252" s="219">
        <v>6760000089</v>
      </c>
      <c r="X1252" s="219">
        <v>68151090</v>
      </c>
      <c r="Y1252" s="295"/>
      <c r="Z1252" s="220" t="s">
        <v>3180</v>
      </c>
      <c r="AA1252" s="220"/>
      <c r="AB1252" s="220">
        <v>3</v>
      </c>
      <c r="AC1252" s="295" t="s">
        <v>3838</v>
      </c>
      <c r="AD1252" s="295"/>
      <c r="AE1252" s="295"/>
      <c r="AF1252" s="295"/>
      <c r="AG1252" s="295"/>
    </row>
    <row r="1253" spans="1:33" x14ac:dyDescent="0.25">
      <c r="A1253" s="113">
        <v>46246</v>
      </c>
      <c r="B1253" s="113">
        <v>46246</v>
      </c>
      <c r="C1253" s="295" t="s">
        <v>54</v>
      </c>
      <c r="D1253" s="186" t="s">
        <v>3489</v>
      </c>
      <c r="E1253" s="295" t="s">
        <v>3293</v>
      </c>
      <c r="F1253" s="299" t="s">
        <v>3674</v>
      </c>
      <c r="G1253" s="295"/>
      <c r="H1253" s="220">
        <v>1</v>
      </c>
      <c r="I1253" s="195">
        <v>1</v>
      </c>
      <c r="J1253" s="195">
        <f>Table224[[#This Row],[Qty]]-Table224[[#This Row],[Issue Qty]]</f>
        <v>0</v>
      </c>
      <c r="K1253" s="195"/>
      <c r="L1253" s="195" t="s">
        <v>3480</v>
      </c>
      <c r="M1253" s="296">
        <v>1944</v>
      </c>
      <c r="N1253" s="246">
        <f t="shared" si="67"/>
        <v>1944</v>
      </c>
      <c r="O1253" s="251">
        <v>0.18</v>
      </c>
      <c r="P1253" s="247">
        <f t="shared" si="69"/>
        <v>349.91999999999996</v>
      </c>
      <c r="Q1253" s="296"/>
      <c r="R1253" s="296"/>
      <c r="S1253" s="197">
        <f t="shared" si="68"/>
        <v>2293.92</v>
      </c>
      <c r="T1253" s="295" t="s">
        <v>3242</v>
      </c>
      <c r="U1253" s="295" t="s">
        <v>3242</v>
      </c>
      <c r="V1253" s="219" t="s">
        <v>1511</v>
      </c>
      <c r="W1253" s="219">
        <v>6760000089</v>
      </c>
      <c r="X1253" s="219">
        <v>68151090</v>
      </c>
      <c r="Y1253" s="295"/>
      <c r="Z1253" s="220"/>
      <c r="AA1253" s="220"/>
      <c r="AB1253" s="220">
        <v>1</v>
      </c>
      <c r="AC1253" s="295" t="s">
        <v>3868</v>
      </c>
      <c r="AD1253" s="295"/>
      <c r="AE1253" s="295"/>
      <c r="AF1253" s="295"/>
      <c r="AG1253" s="295"/>
    </row>
    <row r="1254" spans="1:33" x14ac:dyDescent="0.25">
      <c r="A1254" s="192">
        <v>46244</v>
      </c>
      <c r="B1254" s="113">
        <v>46252</v>
      </c>
      <c r="C1254" s="295" t="s">
        <v>1730</v>
      </c>
      <c r="D1254" s="186" t="s">
        <v>1730</v>
      </c>
      <c r="E1254" s="295" t="s">
        <v>1644</v>
      </c>
      <c r="F1254" s="299" t="s">
        <v>3108</v>
      </c>
      <c r="G1254" s="295"/>
      <c r="H1254" s="220">
        <v>4</v>
      </c>
      <c r="I1254" s="195">
        <v>2</v>
      </c>
      <c r="J1254" s="195">
        <f>Table224[[#This Row],[Qty]]-Table224[[#This Row],[Issue Qty]]</f>
        <v>2</v>
      </c>
      <c r="K1254" s="195"/>
      <c r="L1254" s="195" t="s">
        <v>3480</v>
      </c>
      <c r="M1254" s="296">
        <v>1000</v>
      </c>
      <c r="N1254" s="246">
        <f t="shared" si="67"/>
        <v>4000</v>
      </c>
      <c r="O1254" s="251">
        <v>0.18</v>
      </c>
      <c r="P1254" s="247">
        <f t="shared" si="69"/>
        <v>720</v>
      </c>
      <c r="Q1254" s="296"/>
      <c r="R1254" s="296"/>
      <c r="S1254" s="197">
        <f t="shared" si="68"/>
        <v>4720</v>
      </c>
      <c r="T1254" s="295" t="s">
        <v>3243</v>
      </c>
      <c r="U1254" s="295" t="s">
        <v>3243</v>
      </c>
      <c r="V1254" s="219" t="s">
        <v>3145</v>
      </c>
      <c r="W1254" s="219">
        <v>2106</v>
      </c>
      <c r="X1254" s="219">
        <v>83022000</v>
      </c>
      <c r="Y1254" s="295"/>
      <c r="Z1254" s="220" t="s">
        <v>3180</v>
      </c>
      <c r="AA1254" s="220"/>
      <c r="AB1254" s="220">
        <v>2</v>
      </c>
      <c r="AC1254" s="97" t="s">
        <v>3411</v>
      </c>
      <c r="AD1254" s="295"/>
      <c r="AE1254" s="295"/>
      <c r="AF1254" s="295"/>
      <c r="AG1254" s="295"/>
    </row>
    <row r="1255" spans="1:33" x14ac:dyDescent="0.25">
      <c r="A1255" s="192">
        <v>46253</v>
      </c>
      <c r="B1255" s="192">
        <v>46253</v>
      </c>
      <c r="C1255" s="186" t="s">
        <v>1693</v>
      </c>
      <c r="D1255" s="186" t="s">
        <v>3490</v>
      </c>
      <c r="E1255" s="295" t="s">
        <v>3700</v>
      </c>
      <c r="F1255" s="303" t="s">
        <v>3697</v>
      </c>
      <c r="G1255" s="345"/>
      <c r="H1255" s="220">
        <v>1</v>
      </c>
      <c r="I1255" s="69">
        <v>1</v>
      </c>
      <c r="J1255" s="195">
        <f>Table224[[#This Row],[Qty]]-Table224[[#This Row],[Issue Qty]]</f>
        <v>0</v>
      </c>
      <c r="K1255" s="195"/>
      <c r="L1255" s="195" t="s">
        <v>3480</v>
      </c>
      <c r="M1255" s="296">
        <v>18479</v>
      </c>
      <c r="N1255" s="246">
        <f t="shared" si="67"/>
        <v>18479</v>
      </c>
      <c r="O1255" s="251">
        <v>0.05</v>
      </c>
      <c r="P1255" s="247">
        <f t="shared" si="69"/>
        <v>923.95</v>
      </c>
      <c r="Q1255" s="296"/>
      <c r="R1255" s="296"/>
      <c r="S1255" s="197">
        <f t="shared" si="68"/>
        <v>19402.95</v>
      </c>
      <c r="T1255" s="295" t="s">
        <v>3708</v>
      </c>
      <c r="U1255" s="295" t="s">
        <v>3708</v>
      </c>
      <c r="V1255" s="295" t="s">
        <v>444</v>
      </c>
      <c r="W1255" s="295" t="s">
        <v>3701</v>
      </c>
      <c r="X1255" s="219">
        <v>8847</v>
      </c>
      <c r="Y1255" s="295"/>
      <c r="Z1255" s="220" t="s">
        <v>52</v>
      </c>
      <c r="AA1255" s="220"/>
      <c r="AB1255" s="220"/>
      <c r="AC1255" s="295" t="s">
        <v>3794</v>
      </c>
      <c r="AD1255" s="295"/>
      <c r="AE1255" s="295"/>
      <c r="AF1255" s="295"/>
      <c r="AG1255" s="295"/>
    </row>
    <row r="1256" spans="1:33" x14ac:dyDescent="0.25">
      <c r="A1256" s="192">
        <v>46258</v>
      </c>
      <c r="B1256" s="192">
        <v>46254</v>
      </c>
      <c r="C1256" s="186" t="s">
        <v>1683</v>
      </c>
      <c r="D1256" s="186" t="s">
        <v>1663</v>
      </c>
      <c r="E1256" s="295" t="s">
        <v>2371</v>
      </c>
      <c r="F1256" s="304" t="s">
        <v>3698</v>
      </c>
      <c r="G1256" s="345"/>
      <c r="H1256" s="220">
        <v>2</v>
      </c>
      <c r="I1256" s="69"/>
      <c r="J1256" s="195">
        <f>Table224[[#This Row],[Qty]]-Table224[[#This Row],[Issue Qty]]</f>
        <v>2</v>
      </c>
      <c r="K1256" s="195"/>
      <c r="L1256" s="195" t="s">
        <v>3480</v>
      </c>
      <c r="M1256" s="296">
        <v>32850</v>
      </c>
      <c r="N1256" s="246">
        <f t="shared" si="67"/>
        <v>65700</v>
      </c>
      <c r="O1256" s="251">
        <v>0.18</v>
      </c>
      <c r="P1256" s="247">
        <f t="shared" si="69"/>
        <v>11826</v>
      </c>
      <c r="Q1256" s="296"/>
      <c r="R1256" s="296"/>
      <c r="S1256" s="197">
        <f t="shared" si="68"/>
        <v>77526</v>
      </c>
      <c r="T1256" s="295" t="s">
        <v>3708</v>
      </c>
      <c r="U1256" s="295" t="s">
        <v>3708</v>
      </c>
      <c r="V1256" s="295" t="s">
        <v>896</v>
      </c>
      <c r="W1256" s="295" t="s">
        <v>3702</v>
      </c>
      <c r="X1256" s="219">
        <v>85076000</v>
      </c>
      <c r="Y1256" s="295"/>
      <c r="Z1256" s="220"/>
      <c r="AA1256" s="220"/>
      <c r="AB1256" s="220">
        <v>2</v>
      </c>
      <c r="AC1256" s="295" t="s">
        <v>3709</v>
      </c>
      <c r="AD1256" s="295"/>
      <c r="AE1256" s="295"/>
      <c r="AF1256" s="295"/>
      <c r="AG1256" s="295"/>
    </row>
    <row r="1257" spans="1:33" x14ac:dyDescent="0.25">
      <c r="A1257" s="192">
        <v>46258</v>
      </c>
      <c r="B1257" s="192">
        <v>46259</v>
      </c>
      <c r="C1257" s="186" t="s">
        <v>54</v>
      </c>
      <c r="D1257" s="186" t="s">
        <v>3497</v>
      </c>
      <c r="E1257" s="295" t="s">
        <v>3690</v>
      </c>
      <c r="F1257" s="303" t="s">
        <v>3699</v>
      </c>
      <c r="G1257" s="345"/>
      <c r="H1257" s="220">
        <v>1</v>
      </c>
      <c r="I1257" s="69"/>
      <c r="J1257" s="195">
        <f>Table224[[#This Row],[Qty]]-Table224[[#This Row],[Issue Qty]]</f>
        <v>1</v>
      </c>
      <c r="K1257" s="195"/>
      <c r="L1257" s="195" t="s">
        <v>3480</v>
      </c>
      <c r="M1257" s="296">
        <v>1200</v>
      </c>
      <c r="N1257" s="246">
        <f t="shared" si="67"/>
        <v>1200</v>
      </c>
      <c r="O1257" s="251">
        <v>0.18</v>
      </c>
      <c r="P1257" s="247">
        <f t="shared" si="69"/>
        <v>216</v>
      </c>
      <c r="Q1257" s="296"/>
      <c r="R1257" s="296"/>
      <c r="S1257" s="197">
        <f t="shared" si="68"/>
        <v>1416</v>
      </c>
      <c r="T1257" s="295" t="s">
        <v>3243</v>
      </c>
      <c r="U1257" s="295" t="s">
        <v>3243</v>
      </c>
      <c r="V1257" s="295" t="s">
        <v>3703</v>
      </c>
      <c r="W1257" s="295" t="s">
        <v>3704</v>
      </c>
      <c r="X1257" s="219">
        <v>9988</v>
      </c>
      <c r="Y1257" s="295"/>
      <c r="Z1257" s="220"/>
      <c r="AA1257" s="220"/>
      <c r="AB1257" s="220">
        <v>1</v>
      </c>
      <c r="AC1257" s="295" t="s">
        <v>3411</v>
      </c>
      <c r="AD1257" s="295"/>
      <c r="AE1257" s="295"/>
      <c r="AF1257" s="295"/>
      <c r="AG1257" s="295"/>
    </row>
    <row r="1258" spans="1:33" x14ac:dyDescent="0.25">
      <c r="A1258" s="192">
        <v>46258</v>
      </c>
      <c r="B1258" s="192">
        <v>46259</v>
      </c>
      <c r="C1258" s="186" t="s">
        <v>54</v>
      </c>
      <c r="D1258" s="186" t="s">
        <v>3489</v>
      </c>
      <c r="E1258" s="295" t="s">
        <v>1644</v>
      </c>
      <c r="F1258" s="303" t="s">
        <v>3763</v>
      </c>
      <c r="G1258" s="345"/>
      <c r="H1258" s="220">
        <v>1</v>
      </c>
      <c r="I1258" s="69"/>
      <c r="J1258" s="195">
        <f>Table224[[#This Row],[Qty]]-Table224[[#This Row],[Issue Qty]]</f>
        <v>1</v>
      </c>
      <c r="K1258" s="195"/>
      <c r="L1258" s="195" t="s">
        <v>3480</v>
      </c>
      <c r="M1258" s="296">
        <v>750</v>
      </c>
      <c r="N1258" s="246">
        <f t="shared" si="67"/>
        <v>750</v>
      </c>
      <c r="O1258" s="251">
        <v>0.18</v>
      </c>
      <c r="P1258" s="247">
        <f t="shared" si="69"/>
        <v>135</v>
      </c>
      <c r="Q1258" s="296"/>
      <c r="R1258" s="296"/>
      <c r="S1258" s="197">
        <f t="shared" si="68"/>
        <v>885</v>
      </c>
      <c r="T1258" s="295" t="s">
        <v>3243</v>
      </c>
      <c r="U1258" s="295" t="s">
        <v>3243</v>
      </c>
      <c r="V1258" s="295" t="s">
        <v>3764</v>
      </c>
      <c r="W1258" s="295" t="s">
        <v>3765</v>
      </c>
      <c r="X1258" s="219">
        <v>9988</v>
      </c>
      <c r="Y1258" s="295"/>
      <c r="Z1258" s="220"/>
      <c r="AA1258" s="220"/>
      <c r="AB1258" s="220">
        <v>1</v>
      </c>
      <c r="AC1258" s="295" t="s">
        <v>3411</v>
      </c>
      <c r="AD1258" s="295"/>
      <c r="AE1258" s="295"/>
      <c r="AF1258" s="295"/>
      <c r="AG1258" s="295"/>
    </row>
    <row r="1259" spans="1:33" x14ac:dyDescent="0.25">
      <c r="A1259" s="192">
        <v>46259</v>
      </c>
      <c r="B1259" s="192">
        <v>46260</v>
      </c>
      <c r="C1259" s="186" t="s">
        <v>54</v>
      </c>
      <c r="D1259" s="186" t="s">
        <v>3497</v>
      </c>
      <c r="E1259" s="295" t="s">
        <v>3690</v>
      </c>
      <c r="F1259" s="303" t="s">
        <v>3691</v>
      </c>
      <c r="G1259" s="345"/>
      <c r="H1259" s="220">
        <v>1</v>
      </c>
      <c r="I1259" s="69"/>
      <c r="J1259" s="195">
        <f>Table224[[#This Row],[Qty]]-Table224[[#This Row],[Issue Qty]]</f>
        <v>1</v>
      </c>
      <c r="K1259" s="195"/>
      <c r="L1259" s="195" t="s">
        <v>3480</v>
      </c>
      <c r="M1259" s="296">
        <v>3500</v>
      </c>
      <c r="N1259" s="246">
        <f t="shared" si="67"/>
        <v>3500</v>
      </c>
      <c r="O1259" s="251">
        <v>0.18</v>
      </c>
      <c r="P1259" s="247">
        <f t="shared" si="69"/>
        <v>630</v>
      </c>
      <c r="Q1259" s="296"/>
      <c r="R1259" s="296"/>
      <c r="S1259" s="197">
        <f t="shared" si="68"/>
        <v>4130</v>
      </c>
      <c r="T1259" s="295" t="s">
        <v>3243</v>
      </c>
      <c r="U1259" s="295" t="s">
        <v>3243</v>
      </c>
      <c r="V1259" s="295" t="s">
        <v>3692</v>
      </c>
      <c r="W1259" s="295" t="s">
        <v>3705</v>
      </c>
      <c r="X1259" s="219">
        <v>998873</v>
      </c>
      <c r="Y1259" s="295"/>
      <c r="Z1259" s="220"/>
      <c r="AA1259" s="220"/>
      <c r="AB1259" s="220">
        <v>1</v>
      </c>
      <c r="AC1259" s="295" t="s">
        <v>3411</v>
      </c>
      <c r="AD1259" s="295"/>
      <c r="AE1259" s="295"/>
      <c r="AF1259" s="295"/>
      <c r="AG1259" s="295"/>
    </row>
    <row r="1260" spans="1:33" x14ac:dyDescent="0.25">
      <c r="A1260" s="192">
        <v>46259</v>
      </c>
      <c r="B1260" s="192">
        <v>46260</v>
      </c>
      <c r="C1260" s="186" t="s">
        <v>54</v>
      </c>
      <c r="D1260" s="186" t="s">
        <v>3500</v>
      </c>
      <c r="E1260" s="295" t="s">
        <v>3061</v>
      </c>
      <c r="F1260" s="303" t="s">
        <v>3116</v>
      </c>
      <c r="G1260" s="345"/>
      <c r="H1260" s="220">
        <v>1</v>
      </c>
      <c r="I1260" s="69"/>
      <c r="J1260" s="195">
        <f>Table224[[#This Row],[Qty]]-Table224[[#This Row],[Issue Qty]]</f>
        <v>1</v>
      </c>
      <c r="K1260" s="195"/>
      <c r="L1260" s="195" t="s">
        <v>3480</v>
      </c>
      <c r="M1260" s="296">
        <v>2560</v>
      </c>
      <c r="N1260" s="246">
        <f t="shared" si="67"/>
        <v>2560</v>
      </c>
      <c r="O1260" s="251">
        <v>0.18</v>
      </c>
      <c r="P1260" s="247">
        <f t="shared" si="69"/>
        <v>460.79999999999995</v>
      </c>
      <c r="Q1260" s="296"/>
      <c r="R1260" s="296"/>
      <c r="S1260" s="197">
        <f t="shared" si="68"/>
        <v>3020.8</v>
      </c>
      <c r="T1260" s="295" t="s">
        <v>2816</v>
      </c>
      <c r="U1260" s="295" t="s">
        <v>2816</v>
      </c>
      <c r="V1260" s="295" t="s">
        <v>3706</v>
      </c>
      <c r="W1260" s="295" t="s">
        <v>3707</v>
      </c>
      <c r="X1260" s="219">
        <v>39172990</v>
      </c>
      <c r="Y1260" s="295"/>
      <c r="Z1260" s="220" t="s">
        <v>3180</v>
      </c>
      <c r="AA1260" s="220"/>
      <c r="AB1260" s="220"/>
      <c r="AC1260" s="295"/>
      <c r="AD1260" s="295"/>
      <c r="AE1260" s="295"/>
      <c r="AF1260" s="295"/>
      <c r="AG1260" s="295"/>
    </row>
    <row r="1261" spans="1:33" x14ac:dyDescent="0.25">
      <c r="A1261" s="192">
        <v>46259</v>
      </c>
      <c r="B1261" s="192">
        <v>46260</v>
      </c>
      <c r="C1261" s="186" t="s">
        <v>54</v>
      </c>
      <c r="D1261" s="186" t="s">
        <v>3489</v>
      </c>
      <c r="E1261" s="295" t="s">
        <v>3062</v>
      </c>
      <c r="F1261" s="303" t="s">
        <v>3117</v>
      </c>
      <c r="G1261" s="345"/>
      <c r="H1261" s="220">
        <v>2</v>
      </c>
      <c r="I1261" s="69"/>
      <c r="J1261" s="195">
        <f>Table224[[#This Row],[Qty]]-Table224[[#This Row],[Issue Qty]]</f>
        <v>2</v>
      </c>
      <c r="K1261" s="195"/>
      <c r="L1261" s="195" t="s">
        <v>3480</v>
      </c>
      <c r="M1261" s="296">
        <v>2560</v>
      </c>
      <c r="N1261" s="246">
        <f t="shared" si="67"/>
        <v>5120</v>
      </c>
      <c r="O1261" s="251">
        <v>0.18</v>
      </c>
      <c r="P1261" s="247">
        <f t="shared" si="69"/>
        <v>921.59999999999991</v>
      </c>
      <c r="Q1261" s="296"/>
      <c r="R1261" s="296"/>
      <c r="S1261" s="197">
        <f t="shared" si="68"/>
        <v>6041.6</v>
      </c>
      <c r="T1261" s="295" t="s">
        <v>2816</v>
      </c>
      <c r="U1261" s="295" t="s">
        <v>2816</v>
      </c>
      <c r="V1261" s="295" t="s">
        <v>3706</v>
      </c>
      <c r="W1261" s="295" t="s">
        <v>3707</v>
      </c>
      <c r="X1261" s="219">
        <v>39172990</v>
      </c>
      <c r="Y1261" s="295"/>
      <c r="Z1261" s="220" t="s">
        <v>3180</v>
      </c>
      <c r="AA1261" s="220"/>
      <c r="AB1261" s="220"/>
      <c r="AC1261" s="295"/>
      <c r="AD1261" s="295"/>
      <c r="AE1261" s="295"/>
      <c r="AF1261" s="295"/>
      <c r="AG1261" s="295"/>
    </row>
    <row r="1262" spans="1:33" x14ac:dyDescent="0.25">
      <c r="A1262" s="192">
        <v>46259</v>
      </c>
      <c r="B1262" s="192">
        <v>46260</v>
      </c>
      <c r="C1262" s="186" t="s">
        <v>54</v>
      </c>
      <c r="D1262" s="186" t="s">
        <v>3500</v>
      </c>
      <c r="E1262" s="295" t="s">
        <v>3063</v>
      </c>
      <c r="F1262" s="303" t="s">
        <v>3118</v>
      </c>
      <c r="G1262" s="345"/>
      <c r="H1262" s="220">
        <v>2</v>
      </c>
      <c r="I1262" s="69"/>
      <c r="J1262" s="195">
        <f>Table224[[#This Row],[Qty]]-Table224[[#This Row],[Issue Qty]]</f>
        <v>2</v>
      </c>
      <c r="K1262" s="195"/>
      <c r="L1262" s="195" t="s">
        <v>3480</v>
      </c>
      <c r="M1262" s="296">
        <v>2590</v>
      </c>
      <c r="N1262" s="246">
        <f t="shared" si="67"/>
        <v>5180</v>
      </c>
      <c r="O1262" s="251">
        <v>0.18</v>
      </c>
      <c r="P1262" s="247">
        <f t="shared" si="69"/>
        <v>932.4</v>
      </c>
      <c r="Q1262" s="302">
        <v>1180</v>
      </c>
      <c r="R1262" s="296"/>
      <c r="S1262" s="197">
        <f t="shared" si="68"/>
        <v>7292.4</v>
      </c>
      <c r="T1262" s="295" t="s">
        <v>2816</v>
      </c>
      <c r="U1262" s="295" t="s">
        <v>2816</v>
      </c>
      <c r="V1262" s="295" t="s">
        <v>3706</v>
      </c>
      <c r="W1262" s="295" t="s">
        <v>3707</v>
      </c>
      <c r="X1262" s="219">
        <v>39172990</v>
      </c>
      <c r="Y1262" s="295"/>
      <c r="Z1262" s="220" t="s">
        <v>3180</v>
      </c>
      <c r="AA1262" s="220"/>
      <c r="AB1262" s="220"/>
      <c r="AC1262" s="295"/>
      <c r="AD1262" s="295"/>
      <c r="AE1262" s="295"/>
      <c r="AF1262" s="295"/>
      <c r="AG1262" s="295"/>
    </row>
    <row r="1263" spans="1:33" x14ac:dyDescent="0.25">
      <c r="A1263" s="192">
        <v>46259</v>
      </c>
      <c r="B1263" s="192">
        <v>46260</v>
      </c>
      <c r="C1263" s="186" t="s">
        <v>54</v>
      </c>
      <c r="D1263" s="186" t="s">
        <v>3500</v>
      </c>
      <c r="E1263" s="295" t="s">
        <v>3064</v>
      </c>
      <c r="F1263" s="303" t="s">
        <v>3119</v>
      </c>
      <c r="G1263" s="345"/>
      <c r="H1263" s="220">
        <v>1</v>
      </c>
      <c r="I1263" s="134"/>
      <c r="J1263" s="73">
        <f>Table224[[#This Row],[Qty]]-Table224[[#This Row],[Issue Qty]]</f>
        <v>1</v>
      </c>
      <c r="K1263" s="73"/>
      <c r="L1263" s="73" t="s">
        <v>3480</v>
      </c>
      <c r="M1263" s="296">
        <v>1540</v>
      </c>
      <c r="N1263" s="246">
        <f t="shared" si="67"/>
        <v>1540</v>
      </c>
      <c r="O1263" s="251">
        <v>0.18</v>
      </c>
      <c r="P1263" s="247">
        <f t="shared" si="69"/>
        <v>277.2</v>
      </c>
      <c r="Q1263" s="296"/>
      <c r="R1263" s="296"/>
      <c r="S1263" s="197">
        <f t="shared" si="68"/>
        <v>1817.2</v>
      </c>
      <c r="T1263" s="295" t="s">
        <v>2816</v>
      </c>
      <c r="U1263" s="295" t="s">
        <v>2816</v>
      </c>
      <c r="V1263" s="295" t="s">
        <v>3706</v>
      </c>
      <c r="W1263" s="295" t="s">
        <v>3707</v>
      </c>
      <c r="X1263" s="219">
        <v>39172990</v>
      </c>
      <c r="Y1263" s="295"/>
      <c r="Z1263" s="220" t="s">
        <v>3180</v>
      </c>
      <c r="AA1263" s="220"/>
      <c r="AB1263" s="220"/>
      <c r="AC1263" s="295"/>
      <c r="AD1263" s="295"/>
      <c r="AE1263" s="295"/>
      <c r="AF1263" s="295"/>
      <c r="AG1263" s="295"/>
    </row>
    <row r="1264" spans="1:33" x14ac:dyDescent="0.25">
      <c r="A1264" s="192">
        <v>46260</v>
      </c>
      <c r="B1264" s="192">
        <v>46262</v>
      </c>
      <c r="C1264" s="186" t="s">
        <v>1730</v>
      </c>
      <c r="D1264" s="186" t="s">
        <v>1730</v>
      </c>
      <c r="E1264" s="295" t="s">
        <v>3758</v>
      </c>
      <c r="F1264" s="303" t="s">
        <v>3751</v>
      </c>
      <c r="G1264" s="345"/>
      <c r="H1264" s="220">
        <v>1</v>
      </c>
      <c r="I1264" s="69"/>
      <c r="J1264" s="73">
        <f>Table224[[#This Row],[Qty]]-Table224[[#This Row],[Issue Qty]]</f>
        <v>1</v>
      </c>
      <c r="K1264" s="73"/>
      <c r="L1264" s="195" t="s">
        <v>3514</v>
      </c>
      <c r="M1264" s="296">
        <v>22635</v>
      </c>
      <c r="N1264" s="246">
        <f t="shared" si="67"/>
        <v>22635</v>
      </c>
      <c r="O1264" s="251">
        <v>0.18</v>
      </c>
      <c r="P1264" s="247">
        <f t="shared" si="69"/>
        <v>4074.2999999999997</v>
      </c>
      <c r="Q1264" s="296"/>
      <c r="R1264" s="296"/>
      <c r="S1264" s="197">
        <f t="shared" si="68"/>
        <v>26709.3</v>
      </c>
      <c r="T1264" s="295" t="s">
        <v>1408</v>
      </c>
      <c r="U1264" s="295" t="s">
        <v>1408</v>
      </c>
      <c r="V1264" s="295" t="s">
        <v>3323</v>
      </c>
      <c r="W1264" s="219">
        <v>826103481</v>
      </c>
      <c r="X1264" s="219">
        <v>96061010</v>
      </c>
      <c r="Y1264" s="295"/>
      <c r="Z1264" s="220"/>
      <c r="AA1264" s="220"/>
      <c r="AB1264" s="220"/>
      <c r="AC1264" s="295"/>
      <c r="AD1264" s="295"/>
      <c r="AE1264" s="295"/>
      <c r="AF1264" s="295"/>
      <c r="AG1264" s="295"/>
    </row>
    <row r="1265" spans="1:33" x14ac:dyDescent="0.25">
      <c r="A1265" s="192">
        <v>46260</v>
      </c>
      <c r="B1265" s="192">
        <v>46262</v>
      </c>
      <c r="C1265" s="186" t="s">
        <v>1730</v>
      </c>
      <c r="D1265" s="186" t="s">
        <v>1730</v>
      </c>
      <c r="E1265" s="295" t="s">
        <v>3757</v>
      </c>
      <c r="F1265" s="303" t="s">
        <v>3750</v>
      </c>
      <c r="G1265" s="345"/>
      <c r="H1265" s="220">
        <v>1</v>
      </c>
      <c r="I1265" s="69"/>
      <c r="J1265" s="73">
        <f>Table224[[#This Row],[Qty]]-Table224[[#This Row],[Issue Qty]]</f>
        <v>1</v>
      </c>
      <c r="K1265" s="73"/>
      <c r="L1265" s="195" t="s">
        <v>3514</v>
      </c>
      <c r="M1265" s="296">
        <v>24265</v>
      </c>
      <c r="N1265" s="246">
        <f t="shared" si="67"/>
        <v>24265</v>
      </c>
      <c r="O1265" s="251">
        <v>0.05</v>
      </c>
      <c r="P1265" s="247">
        <f t="shared" ref="P1265:P1274" si="70">N1265*O1265</f>
        <v>1213.25</v>
      </c>
      <c r="Q1265" s="296"/>
      <c r="R1265" s="296"/>
      <c r="S1265" s="197">
        <f t="shared" si="68"/>
        <v>25478.25</v>
      </c>
      <c r="T1265" s="295" t="s">
        <v>1408</v>
      </c>
      <c r="U1265" s="295" t="s">
        <v>1408</v>
      </c>
      <c r="V1265" s="295" t="s">
        <v>3323</v>
      </c>
      <c r="W1265" s="219">
        <v>826103481</v>
      </c>
      <c r="X1265" s="219">
        <v>96061010</v>
      </c>
      <c r="Y1265" s="295"/>
      <c r="Z1265" s="220"/>
      <c r="AA1265" s="220"/>
      <c r="AB1265" s="220"/>
      <c r="AC1265" s="295"/>
      <c r="AD1265" s="295"/>
      <c r="AE1265" s="295"/>
      <c r="AF1265" s="295"/>
      <c r="AG1265" s="295"/>
    </row>
    <row r="1266" spans="1:33" x14ac:dyDescent="0.25">
      <c r="A1266" s="192">
        <v>46262</v>
      </c>
      <c r="B1266" s="192">
        <v>46262</v>
      </c>
      <c r="C1266" s="186" t="s">
        <v>1683</v>
      </c>
      <c r="D1266" s="186" t="s">
        <v>3493</v>
      </c>
      <c r="E1266" s="295" t="s">
        <v>3759</v>
      </c>
      <c r="F1266" s="303" t="s">
        <v>3752</v>
      </c>
      <c r="G1266" s="345"/>
      <c r="H1266" s="220">
        <v>1</v>
      </c>
      <c r="I1266" s="69"/>
      <c r="J1266" s="73">
        <f>Table224[[#This Row],[Qty]]-Table224[[#This Row],[Issue Qty]]</f>
        <v>1</v>
      </c>
      <c r="K1266" s="73"/>
      <c r="L1266" s="195" t="s">
        <v>3480</v>
      </c>
      <c r="M1266" s="296">
        <v>76.27</v>
      </c>
      <c r="N1266" s="246">
        <f t="shared" si="67"/>
        <v>76.27</v>
      </c>
      <c r="O1266" s="251">
        <v>0.18</v>
      </c>
      <c r="P1266" s="247">
        <f t="shared" si="70"/>
        <v>13.728599999999998</v>
      </c>
      <c r="Q1266" s="296"/>
      <c r="R1266" s="296"/>
      <c r="S1266" s="197">
        <f t="shared" si="68"/>
        <v>89.998599999999996</v>
      </c>
      <c r="T1266" s="295" t="s">
        <v>145</v>
      </c>
      <c r="U1266" s="295" t="s">
        <v>145</v>
      </c>
      <c r="V1266" s="295" t="s">
        <v>3331</v>
      </c>
      <c r="W1266" s="295" t="s">
        <v>3747</v>
      </c>
      <c r="X1266" s="219">
        <v>85444999</v>
      </c>
      <c r="Y1266" s="295"/>
      <c r="Z1266" s="220"/>
      <c r="AA1266" s="220"/>
      <c r="AB1266" s="220">
        <v>1</v>
      </c>
      <c r="AC1266" s="295" t="s">
        <v>145</v>
      </c>
      <c r="AD1266" s="295"/>
      <c r="AE1266" s="295"/>
      <c r="AF1266" s="295"/>
      <c r="AG1266" s="295"/>
    </row>
    <row r="1267" spans="1:33" ht="30" x14ac:dyDescent="0.25">
      <c r="A1267" s="98">
        <v>46259</v>
      </c>
      <c r="B1267" s="98">
        <v>46265</v>
      </c>
      <c r="C1267" s="85" t="s">
        <v>1693</v>
      </c>
      <c r="D1267" s="85" t="s">
        <v>3455</v>
      </c>
      <c r="E1267" s="287" t="s">
        <v>3761</v>
      </c>
      <c r="F1267" s="313" t="s">
        <v>3754</v>
      </c>
      <c r="G1267" s="345"/>
      <c r="H1267" s="217">
        <v>4</v>
      </c>
      <c r="I1267" s="134">
        <v>4</v>
      </c>
      <c r="J1267" s="73">
        <f>Table224[[#This Row],[Qty]]-Table224[[#This Row],[Issue Qty]]</f>
        <v>0</v>
      </c>
      <c r="K1267" s="73"/>
      <c r="L1267" s="73" t="s">
        <v>3480</v>
      </c>
      <c r="M1267" s="297">
        <v>115</v>
      </c>
      <c r="N1267" s="66">
        <f t="shared" si="67"/>
        <v>460</v>
      </c>
      <c r="O1267" s="314">
        <v>0.18</v>
      </c>
      <c r="P1267" s="68">
        <f t="shared" si="70"/>
        <v>82.8</v>
      </c>
      <c r="Q1267" s="297">
        <v>188.8</v>
      </c>
      <c r="R1267" s="297">
        <v>0.44</v>
      </c>
      <c r="S1267" s="67">
        <f t="shared" si="68"/>
        <v>732.04</v>
      </c>
      <c r="T1267" s="287" t="s">
        <v>3756</v>
      </c>
      <c r="U1267" s="287" t="s">
        <v>3756</v>
      </c>
      <c r="V1267" s="287" t="s">
        <v>3748</v>
      </c>
      <c r="W1267" s="287" t="s">
        <v>3749</v>
      </c>
      <c r="X1267" s="216">
        <v>852910</v>
      </c>
      <c r="Y1267" s="287"/>
      <c r="Z1267" s="217"/>
      <c r="AA1267" s="217"/>
      <c r="AB1267" s="217">
        <v>4</v>
      </c>
      <c r="AC1267" s="287" t="s">
        <v>3782</v>
      </c>
      <c r="AD1267" s="287"/>
      <c r="AE1267" s="287"/>
      <c r="AF1267" s="287"/>
      <c r="AG1267" s="287"/>
    </row>
    <row r="1268" spans="1:33" ht="30" x14ac:dyDescent="0.25">
      <c r="A1268" s="192">
        <v>46259</v>
      </c>
      <c r="B1268" s="192">
        <v>46265</v>
      </c>
      <c r="C1268" s="186" t="s">
        <v>1683</v>
      </c>
      <c r="D1268" s="186" t="s">
        <v>3493</v>
      </c>
      <c r="E1268" s="295" t="s">
        <v>3760</v>
      </c>
      <c r="F1268" s="303" t="s">
        <v>3753</v>
      </c>
      <c r="G1268" s="295"/>
      <c r="H1268" s="220">
        <v>4</v>
      </c>
      <c r="I1268" s="195">
        <v>4</v>
      </c>
      <c r="J1268" s="195">
        <f>Table224[[#This Row],[Qty]]-Table224[[#This Row],[Issue Qty]]</f>
        <v>0</v>
      </c>
      <c r="K1268" s="195"/>
      <c r="L1268" s="195" t="s">
        <v>3480</v>
      </c>
      <c r="M1268" s="296">
        <v>68</v>
      </c>
      <c r="N1268" s="246">
        <f t="shared" si="67"/>
        <v>272</v>
      </c>
      <c r="O1268" s="251">
        <v>0.18</v>
      </c>
      <c r="P1268" s="247">
        <f t="shared" si="70"/>
        <v>48.96</v>
      </c>
      <c r="Q1268" s="296"/>
      <c r="R1268" s="296"/>
      <c r="S1268" s="197">
        <f t="shared" si="68"/>
        <v>320.95999999999998</v>
      </c>
      <c r="T1268" s="295" t="s">
        <v>3756</v>
      </c>
      <c r="U1268" s="295" t="s">
        <v>3756</v>
      </c>
      <c r="V1268" s="295" t="s">
        <v>3748</v>
      </c>
      <c r="W1268" s="295" t="s">
        <v>3749</v>
      </c>
      <c r="X1268" s="219">
        <v>853690</v>
      </c>
      <c r="Y1268" s="295"/>
      <c r="Z1268" s="220"/>
      <c r="AA1268" s="220"/>
      <c r="AB1268" s="220">
        <v>4</v>
      </c>
      <c r="AC1268" s="295" t="s">
        <v>3782</v>
      </c>
      <c r="AD1268" s="295"/>
      <c r="AE1268" s="295"/>
      <c r="AF1268" s="295"/>
      <c r="AG1268" s="295"/>
    </row>
    <row r="1269" spans="1:33" x14ac:dyDescent="0.25">
      <c r="A1269" s="192">
        <v>46263</v>
      </c>
      <c r="B1269" s="192">
        <v>46266</v>
      </c>
      <c r="C1269" s="295" t="s">
        <v>1693</v>
      </c>
      <c r="D1269" s="186" t="s">
        <v>3492</v>
      </c>
      <c r="E1269" s="295" t="s">
        <v>2139</v>
      </c>
      <c r="F1269" s="303" t="s">
        <v>914</v>
      </c>
      <c r="G1269" s="295"/>
      <c r="H1269" s="220">
        <v>3</v>
      </c>
      <c r="I1269" s="195"/>
      <c r="J1269" s="195">
        <f>Table224[[#This Row],[Qty]]-Table224[[#This Row],[Issue Qty]]</f>
        <v>3</v>
      </c>
      <c r="K1269" s="195"/>
      <c r="L1269" s="195" t="s">
        <v>3480</v>
      </c>
      <c r="M1269" s="296">
        <v>202.54</v>
      </c>
      <c r="N1269" s="246">
        <f t="shared" si="67"/>
        <v>607.62</v>
      </c>
      <c r="O1269" s="251">
        <v>0.18</v>
      </c>
      <c r="P1269" s="247">
        <f t="shared" si="70"/>
        <v>109.3716</v>
      </c>
      <c r="Q1269" s="296">
        <v>68.86</v>
      </c>
      <c r="R1269" s="296"/>
      <c r="S1269" s="197">
        <f t="shared" si="68"/>
        <v>785.85160000000008</v>
      </c>
      <c r="T1269" s="295" t="s">
        <v>3756</v>
      </c>
      <c r="U1269" s="295" t="s">
        <v>3756</v>
      </c>
      <c r="V1269" s="295" t="s">
        <v>788</v>
      </c>
      <c r="W1269" s="295" t="s">
        <v>3784</v>
      </c>
      <c r="X1269" s="219">
        <v>85429000</v>
      </c>
      <c r="Y1269" s="295"/>
      <c r="Z1269" s="220" t="s">
        <v>72</v>
      </c>
      <c r="AA1269" s="220"/>
      <c r="AB1269" s="220"/>
      <c r="AC1269" s="295"/>
      <c r="AD1269" s="295"/>
      <c r="AE1269" s="295"/>
      <c r="AF1269" s="295"/>
      <c r="AG1269" s="295"/>
    </row>
    <row r="1270" spans="1:33" ht="30" x14ac:dyDescent="0.25">
      <c r="A1270" s="192">
        <v>46262</v>
      </c>
      <c r="B1270" s="192">
        <v>46266</v>
      </c>
      <c r="C1270" s="295" t="s">
        <v>1683</v>
      </c>
      <c r="D1270" s="186" t="s">
        <v>3498</v>
      </c>
      <c r="E1270" s="295" t="s">
        <v>3786</v>
      </c>
      <c r="F1270" s="303" t="s">
        <v>3783</v>
      </c>
      <c r="G1270" s="295"/>
      <c r="H1270" s="220">
        <v>1</v>
      </c>
      <c r="I1270" s="195"/>
      <c r="J1270" s="195">
        <f>Table224[[#This Row],[Qty]]-Table224[[#This Row],[Issue Qty]]</f>
        <v>1</v>
      </c>
      <c r="K1270" s="195"/>
      <c r="L1270" s="195" t="s">
        <v>3480</v>
      </c>
      <c r="M1270" s="296">
        <v>1396.61</v>
      </c>
      <c r="N1270" s="246">
        <f t="shared" si="67"/>
        <v>1396.61</v>
      </c>
      <c r="O1270" s="251">
        <v>0.18</v>
      </c>
      <c r="P1270" s="247">
        <f t="shared" si="70"/>
        <v>251.38979999999998</v>
      </c>
      <c r="Q1270" s="296"/>
      <c r="R1270" s="296"/>
      <c r="S1270" s="197">
        <f t="shared" si="68"/>
        <v>1647.9997999999998</v>
      </c>
      <c r="T1270" s="295" t="s">
        <v>3243</v>
      </c>
      <c r="U1270" s="295" t="s">
        <v>3243</v>
      </c>
      <c r="V1270" s="295" t="s">
        <v>384</v>
      </c>
      <c r="W1270" s="295" t="s">
        <v>3785</v>
      </c>
      <c r="X1270" s="219">
        <v>85044040</v>
      </c>
      <c r="Y1270" s="295"/>
      <c r="Z1270" s="220" t="s">
        <v>72</v>
      </c>
      <c r="AA1270" s="220"/>
      <c r="AB1270" s="220"/>
      <c r="AC1270" s="295"/>
      <c r="AD1270" s="295"/>
      <c r="AE1270" s="295"/>
      <c r="AF1270" s="295"/>
      <c r="AG1270" s="295"/>
    </row>
    <row r="1271" spans="1:33" ht="30" x14ac:dyDescent="0.25">
      <c r="A1271" s="328">
        <v>46266</v>
      </c>
      <c r="B1271" s="328">
        <v>46272</v>
      </c>
      <c r="C1271" s="295" t="s">
        <v>1730</v>
      </c>
      <c r="D1271" s="186" t="s">
        <v>3495</v>
      </c>
      <c r="E1271" s="295" t="s">
        <v>3811</v>
      </c>
      <c r="F1271" s="303" t="s">
        <v>3806</v>
      </c>
      <c r="G1271" s="295"/>
      <c r="H1271" s="220">
        <v>200</v>
      </c>
      <c r="I1271" s="195"/>
      <c r="J1271" s="195">
        <f>Table224[[#This Row],[Qty]]-Table224[[#This Row],[Issue Qty]]</f>
        <v>200</v>
      </c>
      <c r="K1271" s="195"/>
      <c r="L1271" s="195" t="s">
        <v>3480</v>
      </c>
      <c r="M1271" s="296">
        <v>1.4</v>
      </c>
      <c r="N1271" s="246">
        <f t="shared" si="67"/>
        <v>280</v>
      </c>
      <c r="O1271" s="251">
        <v>0.18</v>
      </c>
      <c r="P1271" s="247">
        <f t="shared" si="70"/>
        <v>50.4</v>
      </c>
      <c r="Q1271" s="296"/>
      <c r="R1271" s="296"/>
      <c r="S1271" s="197">
        <f t="shared" si="68"/>
        <v>330.4</v>
      </c>
      <c r="T1271" s="295" t="s">
        <v>1408</v>
      </c>
      <c r="U1271" s="295" t="s">
        <v>1408</v>
      </c>
      <c r="V1271" s="295" t="s">
        <v>1626</v>
      </c>
      <c r="W1271" s="295" t="s">
        <v>3808</v>
      </c>
      <c r="X1271" s="295"/>
      <c r="Y1271" s="295" t="s">
        <v>3809</v>
      </c>
      <c r="Z1271" s="220"/>
      <c r="AA1271" s="220"/>
      <c r="AB1271" s="220"/>
      <c r="AC1271" s="295"/>
      <c r="AD1271" s="295"/>
      <c r="AE1271" s="295"/>
      <c r="AF1271" s="295"/>
      <c r="AG1271" s="295"/>
    </row>
    <row r="1272" spans="1:33" ht="30" x14ac:dyDescent="0.25">
      <c r="A1272" s="328">
        <v>46266</v>
      </c>
      <c r="B1272" s="328">
        <v>46272</v>
      </c>
      <c r="C1272" s="295" t="s">
        <v>1730</v>
      </c>
      <c r="D1272" s="186" t="s">
        <v>3495</v>
      </c>
      <c r="E1272" s="295" t="s">
        <v>3812</v>
      </c>
      <c r="F1272" s="303" t="s">
        <v>3807</v>
      </c>
      <c r="G1272" s="295"/>
      <c r="H1272" s="220">
        <v>200</v>
      </c>
      <c r="I1272" s="195"/>
      <c r="J1272" s="195">
        <f>Table224[[#This Row],[Qty]]-Table224[[#This Row],[Issue Qty]]</f>
        <v>200</v>
      </c>
      <c r="K1272" s="195"/>
      <c r="L1272" s="195" t="s">
        <v>3480</v>
      </c>
      <c r="M1272" s="296">
        <v>1.2</v>
      </c>
      <c r="N1272" s="246">
        <f t="shared" si="67"/>
        <v>240</v>
      </c>
      <c r="O1272" s="251">
        <v>0.18</v>
      </c>
      <c r="P1272" s="247">
        <f t="shared" si="70"/>
        <v>43.199999999999996</v>
      </c>
      <c r="Q1272" s="296">
        <v>69</v>
      </c>
      <c r="R1272" s="296"/>
      <c r="S1272" s="197">
        <f t="shared" si="68"/>
        <v>352.2</v>
      </c>
      <c r="T1272" s="295" t="s">
        <v>1408</v>
      </c>
      <c r="U1272" s="295" t="s">
        <v>1408</v>
      </c>
      <c r="V1272" s="295" t="s">
        <v>1626</v>
      </c>
      <c r="W1272" s="295" t="s">
        <v>3808</v>
      </c>
      <c r="X1272" s="295"/>
      <c r="Y1272" s="295" t="s">
        <v>3810</v>
      </c>
      <c r="Z1272" s="220"/>
      <c r="AA1272" s="220"/>
      <c r="AB1272" s="220"/>
      <c r="AC1272" s="295"/>
      <c r="AD1272" s="295"/>
      <c r="AE1272" s="295"/>
      <c r="AF1272" s="295"/>
      <c r="AG1272" s="295"/>
    </row>
    <row r="1273" spans="1:33" x14ac:dyDescent="0.25">
      <c r="A1273" s="348" t="s">
        <v>3867</v>
      </c>
      <c r="B1273" s="328">
        <v>46274</v>
      </c>
      <c r="C1273" s="295"/>
      <c r="D1273" s="186"/>
      <c r="E1273" s="295"/>
      <c r="F1273" s="299" t="s">
        <v>3878</v>
      </c>
      <c r="G1273" s="295"/>
      <c r="H1273" s="220">
        <v>12</v>
      </c>
      <c r="I1273" s="195">
        <v>5</v>
      </c>
      <c r="J1273" s="195">
        <f>Table224[[#This Row],[Qty]]-Table224[[#This Row],[Issue Qty]]</f>
        <v>7</v>
      </c>
      <c r="K1273" s="195"/>
      <c r="L1273" s="195" t="s">
        <v>3486</v>
      </c>
      <c r="M1273" s="296"/>
      <c r="N1273" s="246"/>
      <c r="O1273" s="251"/>
      <c r="P1273" s="247"/>
      <c r="Q1273" s="296"/>
      <c r="R1273" s="296"/>
      <c r="S1273" s="197"/>
      <c r="T1273" s="295" t="s">
        <v>3243</v>
      </c>
      <c r="U1273" s="295" t="s">
        <v>3243</v>
      </c>
      <c r="V1273" s="295"/>
      <c r="W1273" s="295"/>
      <c r="X1273" s="219"/>
      <c r="Y1273" s="295"/>
      <c r="Z1273" s="220" t="s">
        <v>699</v>
      </c>
      <c r="AA1273" s="220"/>
      <c r="AB1273" s="220">
        <v>5</v>
      </c>
      <c r="AC1273" s="295" t="s">
        <v>3411</v>
      </c>
      <c r="AD1273" s="295" t="s">
        <v>3895</v>
      </c>
      <c r="AE1273" s="295"/>
      <c r="AF1273" s="295"/>
      <c r="AG1273" s="295"/>
    </row>
    <row r="1274" spans="1:33" ht="60" x14ac:dyDescent="0.25">
      <c r="A1274" s="328">
        <v>46266</v>
      </c>
      <c r="B1274" s="328">
        <v>46276</v>
      </c>
      <c r="C1274" s="295" t="s">
        <v>1730</v>
      </c>
      <c r="D1274" s="186" t="s">
        <v>3493</v>
      </c>
      <c r="E1274" s="295" t="s">
        <v>3820</v>
      </c>
      <c r="F1274" s="299" t="s">
        <v>3817</v>
      </c>
      <c r="G1274" s="295"/>
      <c r="H1274" s="220">
        <v>1</v>
      </c>
      <c r="I1274" s="195"/>
      <c r="J1274" s="195">
        <f>Table224[[#This Row],[Qty]]-Table224[[#This Row],[Issue Qty]]</f>
        <v>1</v>
      </c>
      <c r="K1274" s="195"/>
      <c r="L1274" s="195" t="s">
        <v>3480</v>
      </c>
      <c r="M1274" s="296">
        <v>2965.21</v>
      </c>
      <c r="N1274" s="246">
        <f t="shared" si="67"/>
        <v>2965.21</v>
      </c>
      <c r="O1274" s="251">
        <v>0.18</v>
      </c>
      <c r="P1274" s="247">
        <f t="shared" si="70"/>
        <v>533.73779999999999</v>
      </c>
      <c r="Q1274" s="296"/>
      <c r="R1274" s="296"/>
      <c r="S1274" s="197">
        <f t="shared" si="68"/>
        <v>3498.9477999999999</v>
      </c>
      <c r="T1274" s="295" t="s">
        <v>3756</v>
      </c>
      <c r="U1274" s="295" t="s">
        <v>3756</v>
      </c>
      <c r="V1274" s="295" t="s">
        <v>384</v>
      </c>
      <c r="W1274" s="295" t="s">
        <v>3818</v>
      </c>
      <c r="X1274" s="219">
        <v>325116802</v>
      </c>
      <c r="Y1274" s="295"/>
      <c r="Z1274" s="220" t="s">
        <v>1345</v>
      </c>
      <c r="AA1274" s="220"/>
      <c r="AB1274" s="220"/>
      <c r="AC1274" s="295"/>
      <c r="AD1274" s="295"/>
      <c r="AE1274" s="295"/>
      <c r="AF1274" s="295"/>
      <c r="AG1274" s="295"/>
    </row>
    <row r="1275" spans="1:33" x14ac:dyDescent="0.25">
      <c r="A1275" s="328">
        <v>46274</v>
      </c>
      <c r="B1275" s="328">
        <v>46276</v>
      </c>
      <c r="C1275" s="295" t="s">
        <v>1693</v>
      </c>
      <c r="D1275" s="186" t="s">
        <v>3502</v>
      </c>
      <c r="E1275" s="295" t="s">
        <v>2758</v>
      </c>
      <c r="F1275" s="299" t="s">
        <v>2759</v>
      </c>
      <c r="G1275" s="295"/>
      <c r="H1275" s="220">
        <v>10</v>
      </c>
      <c r="I1275" s="195"/>
      <c r="J1275" s="195">
        <f>Table224[[#This Row],[Qty]]-Table224[[#This Row],[Issue Qty]]</f>
        <v>10</v>
      </c>
      <c r="K1275" s="195"/>
      <c r="L1275" s="195" t="s">
        <v>3480</v>
      </c>
      <c r="M1275" s="296">
        <v>10528.64</v>
      </c>
      <c r="N1275" s="246">
        <f>H1275*M1275</f>
        <v>105286.39999999999</v>
      </c>
      <c r="O1275" s="251">
        <v>0.18</v>
      </c>
      <c r="P1275" s="247">
        <f>N1275*O1275</f>
        <v>18951.552</v>
      </c>
      <c r="Q1275" s="296"/>
      <c r="R1275" s="296">
        <v>0.05</v>
      </c>
      <c r="S1275" s="197">
        <f>N1275+P1275+Q1275+R1275</f>
        <v>124238.00199999999</v>
      </c>
      <c r="T1275" s="295" t="s">
        <v>3160</v>
      </c>
      <c r="U1275" s="295" t="s">
        <v>3160</v>
      </c>
      <c r="V1275" s="295" t="s">
        <v>893</v>
      </c>
      <c r="W1275" s="295" t="s">
        <v>3819</v>
      </c>
      <c r="X1275" s="219">
        <v>85177910</v>
      </c>
      <c r="Y1275" s="295"/>
      <c r="Z1275" s="220" t="s">
        <v>107</v>
      </c>
      <c r="AA1275" s="220"/>
      <c r="AB1275" s="220"/>
      <c r="AC1275" s="295"/>
      <c r="AD1275" s="295"/>
      <c r="AE1275" s="295"/>
      <c r="AF1275" s="295"/>
      <c r="AG1275" s="295"/>
    </row>
    <row r="1276" spans="1:33" x14ac:dyDescent="0.25">
      <c r="A1276" s="328">
        <v>46272</v>
      </c>
      <c r="B1276" s="329">
        <v>46281</v>
      </c>
      <c r="C1276" s="295" t="s">
        <v>1683</v>
      </c>
      <c r="D1276" s="186" t="s">
        <v>3429</v>
      </c>
      <c r="E1276" s="295" t="s">
        <v>2563</v>
      </c>
      <c r="F1276" s="299" t="s">
        <v>1471</v>
      </c>
      <c r="G1276" s="295"/>
      <c r="H1276" s="220">
        <v>8</v>
      </c>
      <c r="I1276" s="195">
        <v>4</v>
      </c>
      <c r="J1276" s="195">
        <f>Table224[[#This Row],[Qty]]-Table224[[#This Row],[Issue Qty]]</f>
        <v>4</v>
      </c>
      <c r="K1276" s="195"/>
      <c r="L1276" s="195" t="s">
        <v>3480</v>
      </c>
      <c r="M1276" s="296">
        <v>15438</v>
      </c>
      <c r="N1276" s="246">
        <f>H1276*M1276</f>
        <v>123504</v>
      </c>
      <c r="O1276" s="251">
        <v>0.05</v>
      </c>
      <c r="P1276" s="247">
        <f>N1276*O1276</f>
        <v>6175.2000000000007</v>
      </c>
      <c r="Q1276" s="296"/>
      <c r="R1276" s="296">
        <v>-0.2</v>
      </c>
      <c r="S1276" s="197">
        <f>N1276+P1276+Q1276+R1276</f>
        <v>129679</v>
      </c>
      <c r="T1276" s="295" t="s">
        <v>3160</v>
      </c>
      <c r="U1276" s="295" t="s">
        <v>3160</v>
      </c>
      <c r="V1276" s="295" t="s">
        <v>3009</v>
      </c>
      <c r="W1276" s="295" t="s">
        <v>3821</v>
      </c>
      <c r="X1276" s="219">
        <v>88073020</v>
      </c>
      <c r="Y1276" s="295"/>
      <c r="Z1276" s="220" t="s">
        <v>3762</v>
      </c>
      <c r="AA1276" s="220"/>
      <c r="AB1276" s="220">
        <v>4</v>
      </c>
      <c r="AC1276" s="295" t="s">
        <v>3861</v>
      </c>
      <c r="AD1276" s="295"/>
      <c r="AE1276" s="295"/>
      <c r="AF1276" s="295"/>
      <c r="AG1276" s="295"/>
    </row>
    <row r="1277" spans="1:33" x14ac:dyDescent="0.25">
      <c r="A1277" s="348">
        <v>46281</v>
      </c>
      <c r="B1277" s="328">
        <v>47379</v>
      </c>
      <c r="C1277" s="295" t="s">
        <v>1730</v>
      </c>
      <c r="D1277" s="186" t="s">
        <v>3495</v>
      </c>
      <c r="E1277" s="295" t="s">
        <v>3881</v>
      </c>
      <c r="F1277" s="299" t="s">
        <v>3879</v>
      </c>
      <c r="G1277" s="295"/>
      <c r="H1277" s="220">
        <v>10</v>
      </c>
      <c r="I1277" s="195"/>
      <c r="J1277" s="195">
        <f>Table224[[#This Row],[Qty]]-Table224[[#This Row],[Issue Qty]]</f>
        <v>10</v>
      </c>
      <c r="K1277" s="195"/>
      <c r="L1277" s="195" t="s">
        <v>3514</v>
      </c>
      <c r="M1277" s="296">
        <v>26</v>
      </c>
      <c r="N1277" s="246">
        <f t="shared" ref="N1277:N1279" si="71">H1277*M1277</f>
        <v>260</v>
      </c>
      <c r="O1277" s="251">
        <v>0.18</v>
      </c>
      <c r="P1277" s="247">
        <f t="shared" ref="P1277:P1279" si="72">N1277*O1277</f>
        <v>46.8</v>
      </c>
      <c r="Q1277" s="296"/>
      <c r="R1277" s="296"/>
      <c r="S1277" s="197">
        <f t="shared" ref="S1277:S1279" si="73">N1277+P1277+Q1277+R1277</f>
        <v>306.8</v>
      </c>
      <c r="T1277" s="295" t="s">
        <v>607</v>
      </c>
      <c r="U1277" s="295" t="s">
        <v>607</v>
      </c>
      <c r="V1277" s="295" t="s">
        <v>444</v>
      </c>
      <c r="W1277" s="295" t="s">
        <v>3884</v>
      </c>
      <c r="X1277" s="219">
        <v>8807</v>
      </c>
      <c r="Y1277" s="295"/>
      <c r="Z1277" s="220"/>
      <c r="AA1277" s="220"/>
      <c r="AB1277" s="220"/>
      <c r="AC1277" s="295"/>
      <c r="AD1277" s="295"/>
      <c r="AE1277" s="295"/>
      <c r="AF1277" s="295"/>
      <c r="AG1277" s="295"/>
    </row>
    <row r="1278" spans="1:33" x14ac:dyDescent="0.25">
      <c r="A1278" s="348">
        <v>46281</v>
      </c>
      <c r="B1278" s="328">
        <v>47379</v>
      </c>
      <c r="C1278" s="295" t="s">
        <v>1730</v>
      </c>
      <c r="D1278" s="186" t="s">
        <v>3495</v>
      </c>
      <c r="E1278" s="295" t="s">
        <v>3882</v>
      </c>
      <c r="F1278" s="299" t="s">
        <v>3880</v>
      </c>
      <c r="G1278" s="295"/>
      <c r="H1278" s="220">
        <v>1</v>
      </c>
      <c r="I1278" s="195"/>
      <c r="J1278" s="195">
        <f>Table224[[#This Row],[Qty]]-Table224[[#This Row],[Issue Qty]]</f>
        <v>1</v>
      </c>
      <c r="K1278" s="195"/>
      <c r="L1278" s="195" t="s">
        <v>3883</v>
      </c>
      <c r="M1278" s="296">
        <v>430</v>
      </c>
      <c r="N1278" s="246">
        <f t="shared" si="71"/>
        <v>430</v>
      </c>
      <c r="O1278" s="251">
        <v>0.18</v>
      </c>
      <c r="P1278" s="247">
        <f t="shared" si="72"/>
        <v>77.399999999999991</v>
      </c>
      <c r="Q1278" s="296"/>
      <c r="R1278" s="296"/>
      <c r="S1278" s="197">
        <f t="shared" si="73"/>
        <v>507.4</v>
      </c>
      <c r="T1278" s="295" t="s">
        <v>607</v>
      </c>
      <c r="U1278" s="295" t="s">
        <v>607</v>
      </c>
      <c r="V1278" s="295" t="s">
        <v>444</v>
      </c>
      <c r="W1278" s="295" t="s">
        <v>3884</v>
      </c>
      <c r="X1278" s="219">
        <v>8807</v>
      </c>
      <c r="Y1278" s="295"/>
      <c r="Z1278" s="220"/>
      <c r="AA1278" s="220"/>
      <c r="AB1278" s="220"/>
      <c r="AC1278" s="295"/>
      <c r="AD1278" s="295"/>
      <c r="AE1278" s="295"/>
      <c r="AF1278" s="295"/>
      <c r="AG1278" s="295"/>
    </row>
    <row r="1279" spans="1:33" x14ac:dyDescent="0.25">
      <c r="A1279" s="348">
        <v>46281</v>
      </c>
      <c r="B1279" s="328">
        <v>47379</v>
      </c>
      <c r="C1279" s="295" t="s">
        <v>1730</v>
      </c>
      <c r="D1279" s="186" t="s">
        <v>3495</v>
      </c>
      <c r="E1279" s="295" t="s">
        <v>2086</v>
      </c>
      <c r="F1279" s="299" t="s">
        <v>846</v>
      </c>
      <c r="G1279" s="295"/>
      <c r="H1279" s="220">
        <v>10</v>
      </c>
      <c r="I1279" s="195"/>
      <c r="J1279" s="195">
        <f>Table224[[#This Row],[Qty]]-Table224[[#This Row],[Issue Qty]]</f>
        <v>10</v>
      </c>
      <c r="K1279" s="195"/>
      <c r="L1279" s="195" t="s">
        <v>3514</v>
      </c>
      <c r="M1279" s="296">
        <v>42</v>
      </c>
      <c r="N1279" s="246">
        <f t="shared" si="71"/>
        <v>420</v>
      </c>
      <c r="O1279" s="251">
        <v>0.18</v>
      </c>
      <c r="P1279" s="247">
        <f t="shared" si="72"/>
        <v>75.599999999999994</v>
      </c>
      <c r="Q1279" s="296"/>
      <c r="R1279" s="296">
        <v>0.2</v>
      </c>
      <c r="S1279" s="197">
        <f t="shared" si="73"/>
        <v>495.8</v>
      </c>
      <c r="T1279" s="295" t="s">
        <v>607</v>
      </c>
      <c r="U1279" s="295" t="s">
        <v>607</v>
      </c>
      <c r="V1279" s="295" t="s">
        <v>444</v>
      </c>
      <c r="W1279" s="295" t="s">
        <v>3884</v>
      </c>
      <c r="X1279" s="219">
        <v>8807</v>
      </c>
      <c r="Y1279" s="295"/>
      <c r="Z1279" s="220" t="s">
        <v>261</v>
      </c>
      <c r="AA1279" s="220"/>
      <c r="AB1279" s="220"/>
      <c r="AC1279" s="295"/>
      <c r="AD1279" s="295"/>
      <c r="AE1279" s="295"/>
      <c r="AF1279" s="295"/>
      <c r="AG1279" s="295"/>
    </row>
    <row r="1280" spans="1:33" x14ac:dyDescent="0.25">
      <c r="A1280" s="328">
        <v>46284</v>
      </c>
      <c r="B1280" s="328">
        <v>46284</v>
      </c>
      <c r="C1280" s="295" t="s">
        <v>54</v>
      </c>
      <c r="D1280" s="186" t="s">
        <v>3494</v>
      </c>
      <c r="E1280" s="295" t="s">
        <v>3233</v>
      </c>
      <c r="F1280" s="299" t="s">
        <v>3234</v>
      </c>
      <c r="G1280" s="295"/>
      <c r="H1280" s="220">
        <v>2</v>
      </c>
      <c r="I1280" s="195">
        <v>1</v>
      </c>
      <c r="J1280" s="195">
        <f>Table224[[#This Row],[Qty]]-Table224[[#This Row],[Issue Qty]]</f>
        <v>1</v>
      </c>
      <c r="K1280" s="195"/>
      <c r="L1280" s="195" t="s">
        <v>3480</v>
      </c>
      <c r="M1280" s="296">
        <v>3082</v>
      </c>
      <c r="N1280" s="246">
        <f t="shared" ref="N1280:N1293" si="74">H1280*M1280</f>
        <v>6164</v>
      </c>
      <c r="O1280" s="347">
        <v>0.18</v>
      </c>
      <c r="P1280" s="247">
        <f t="shared" ref="P1280:P1293" si="75">N1280*O1280</f>
        <v>1109.52</v>
      </c>
      <c r="Q1280" s="296"/>
      <c r="R1280" s="296"/>
      <c r="S1280" s="197">
        <f t="shared" ref="S1280:S1293" si="76">N1280+P1280+Q1280+R1280</f>
        <v>7273.52</v>
      </c>
      <c r="T1280" s="295" t="s">
        <v>3242</v>
      </c>
      <c r="U1280" s="295" t="s">
        <v>3242</v>
      </c>
      <c r="V1280" s="295" t="s">
        <v>358</v>
      </c>
      <c r="W1280" s="295" t="s">
        <v>3866</v>
      </c>
      <c r="X1280" s="219">
        <v>39269099</v>
      </c>
      <c r="Y1280" s="295"/>
      <c r="Z1280" s="220" t="s">
        <v>3180</v>
      </c>
      <c r="AA1280" s="220"/>
      <c r="AB1280" s="220">
        <v>1</v>
      </c>
      <c r="AC1280" s="295" t="s">
        <v>3868</v>
      </c>
      <c r="AD1280" s="295"/>
      <c r="AE1280" s="295"/>
      <c r="AF1280" s="295"/>
      <c r="AG1280" s="295"/>
    </row>
    <row r="1281" spans="1:33" x14ac:dyDescent="0.25">
      <c r="A1281" s="328">
        <v>46284</v>
      </c>
      <c r="B1281" s="328">
        <v>46284</v>
      </c>
      <c r="C1281" s="295" t="s">
        <v>54</v>
      </c>
      <c r="D1281" s="186" t="s">
        <v>3494</v>
      </c>
      <c r="E1281" s="295" t="s">
        <v>3231</v>
      </c>
      <c r="F1281" s="299" t="s">
        <v>3232</v>
      </c>
      <c r="G1281" s="295"/>
      <c r="H1281" s="220">
        <v>2</v>
      </c>
      <c r="I1281" s="69">
        <v>1</v>
      </c>
      <c r="J1281" s="195">
        <f>Table224[[#This Row],[Qty]]-Table224[[#This Row],[Issue Qty]]</f>
        <v>1</v>
      </c>
      <c r="K1281" s="195"/>
      <c r="L1281" s="195" t="s">
        <v>3480</v>
      </c>
      <c r="M1281" s="296">
        <v>4149.2</v>
      </c>
      <c r="N1281" s="246">
        <f t="shared" si="74"/>
        <v>8298.4</v>
      </c>
      <c r="O1281" s="347">
        <v>0.18</v>
      </c>
      <c r="P1281" s="247">
        <f t="shared" si="75"/>
        <v>1493.712</v>
      </c>
      <c r="Q1281" s="296"/>
      <c r="R1281" s="296">
        <v>0.01</v>
      </c>
      <c r="S1281" s="197">
        <f t="shared" si="76"/>
        <v>9792.1219999999994</v>
      </c>
      <c r="T1281" s="295" t="s">
        <v>3242</v>
      </c>
      <c r="U1281" s="295" t="s">
        <v>3242</v>
      </c>
      <c r="V1281" s="295" t="s">
        <v>358</v>
      </c>
      <c r="W1281" s="295" t="s">
        <v>3866</v>
      </c>
      <c r="X1281" s="219">
        <v>39269099</v>
      </c>
      <c r="Y1281" s="295"/>
      <c r="Z1281" s="220" t="s">
        <v>3180</v>
      </c>
      <c r="AA1281" s="220"/>
      <c r="AB1281" s="220">
        <v>1</v>
      </c>
      <c r="AC1281" s="295" t="s">
        <v>3868</v>
      </c>
      <c r="AD1281" s="295"/>
      <c r="AE1281" s="295"/>
      <c r="AF1281" s="295"/>
      <c r="AG1281" s="295"/>
    </row>
    <row r="1282" spans="1:33" x14ac:dyDescent="0.25">
      <c r="A1282" s="348">
        <v>46286</v>
      </c>
      <c r="B1282" s="328">
        <v>46286</v>
      </c>
      <c r="C1282" s="295" t="s">
        <v>54</v>
      </c>
      <c r="D1282" s="224" t="s">
        <v>3500</v>
      </c>
      <c r="E1282" s="295" t="s">
        <v>3888</v>
      </c>
      <c r="F1282" s="299" t="s">
        <v>507</v>
      </c>
      <c r="G1282" s="295"/>
      <c r="H1282" s="220">
        <v>2</v>
      </c>
      <c r="I1282" s="69"/>
      <c r="J1282" s="195">
        <f>Table224[[#This Row],[Qty]]-Table224[[#This Row],[Issue Qty]]</f>
        <v>2</v>
      </c>
      <c r="K1282" s="195"/>
      <c r="L1282" s="195" t="s">
        <v>3480</v>
      </c>
      <c r="M1282" s="296">
        <v>37000</v>
      </c>
      <c r="N1282" s="246">
        <f t="shared" si="74"/>
        <v>74000</v>
      </c>
      <c r="O1282" s="347">
        <v>0.05</v>
      </c>
      <c r="P1282" s="247">
        <f t="shared" si="75"/>
        <v>3700</v>
      </c>
      <c r="Q1282" s="296"/>
      <c r="R1282" s="296"/>
      <c r="S1282" s="197">
        <f t="shared" si="76"/>
        <v>77700</v>
      </c>
      <c r="T1282" s="295" t="s">
        <v>607</v>
      </c>
      <c r="U1282" s="295" t="s">
        <v>607</v>
      </c>
      <c r="V1282" s="295" t="s">
        <v>444</v>
      </c>
      <c r="W1282" s="295" t="s">
        <v>3889</v>
      </c>
      <c r="X1282" s="219">
        <v>88073000</v>
      </c>
      <c r="Y1282" s="295"/>
      <c r="Z1282" s="220"/>
      <c r="AA1282" s="220"/>
      <c r="AB1282" s="220"/>
      <c r="AC1282" s="295"/>
      <c r="AD1282" s="295"/>
      <c r="AE1282" s="295"/>
      <c r="AF1282" s="295"/>
      <c r="AG1282" s="295"/>
    </row>
    <row r="1283" spans="1:33" x14ac:dyDescent="0.25">
      <c r="A1283" s="348">
        <v>46286</v>
      </c>
      <c r="B1283" s="328">
        <v>46286</v>
      </c>
      <c r="C1283" s="295" t="s">
        <v>1683</v>
      </c>
      <c r="D1283" s="186" t="s">
        <v>3429</v>
      </c>
      <c r="E1283" s="349" t="s">
        <v>1897</v>
      </c>
      <c r="F1283" s="299" t="s">
        <v>521</v>
      </c>
      <c r="G1283" s="295"/>
      <c r="H1283" s="220">
        <v>1</v>
      </c>
      <c r="I1283" s="69"/>
      <c r="J1283" s="195">
        <f>Table224[[#This Row],[Qty]]-Table224[[#This Row],[Issue Qty]]</f>
        <v>1</v>
      </c>
      <c r="K1283" s="195"/>
      <c r="L1283" s="195" t="s">
        <v>3480</v>
      </c>
      <c r="M1283" s="296">
        <v>11960</v>
      </c>
      <c r="N1283" s="246">
        <f t="shared" si="74"/>
        <v>11960</v>
      </c>
      <c r="O1283" s="347">
        <v>0.05</v>
      </c>
      <c r="P1283" s="247">
        <f t="shared" si="75"/>
        <v>598</v>
      </c>
      <c r="Q1283" s="296"/>
      <c r="R1283" s="296"/>
      <c r="S1283" s="197">
        <f t="shared" si="76"/>
        <v>12558</v>
      </c>
      <c r="T1283" s="295" t="s">
        <v>607</v>
      </c>
      <c r="U1283" s="295" t="s">
        <v>607</v>
      </c>
      <c r="V1283" s="295" t="s">
        <v>444</v>
      </c>
      <c r="W1283" s="295" t="s">
        <v>3889</v>
      </c>
      <c r="X1283" s="219">
        <v>88073000</v>
      </c>
      <c r="Y1283" s="295"/>
      <c r="Z1283" s="220" t="s">
        <v>2940</v>
      </c>
      <c r="AA1283" s="220"/>
      <c r="AB1283" s="220"/>
      <c r="AC1283" s="295"/>
      <c r="AD1283" s="295"/>
      <c r="AE1283" s="295"/>
      <c r="AF1283" s="295"/>
      <c r="AG1283" s="295"/>
    </row>
    <row r="1284" spans="1:33" x14ac:dyDescent="0.25">
      <c r="A1284" s="348">
        <v>46286</v>
      </c>
      <c r="B1284" s="328">
        <v>46286</v>
      </c>
      <c r="C1284" s="295" t="s">
        <v>1683</v>
      </c>
      <c r="D1284" s="186" t="s">
        <v>3429</v>
      </c>
      <c r="E1284" s="295" t="s">
        <v>1898</v>
      </c>
      <c r="F1284" s="299" t="s">
        <v>524</v>
      </c>
      <c r="G1284" s="295"/>
      <c r="H1284" s="220">
        <v>1</v>
      </c>
      <c r="I1284" s="69"/>
      <c r="J1284" s="195">
        <f>Table224[[#This Row],[Qty]]-Table224[[#This Row],[Issue Qty]]</f>
        <v>1</v>
      </c>
      <c r="K1284" s="195"/>
      <c r="L1284" s="195" t="s">
        <v>3480</v>
      </c>
      <c r="M1284" s="296">
        <v>11960</v>
      </c>
      <c r="N1284" s="246">
        <f t="shared" si="74"/>
        <v>11960</v>
      </c>
      <c r="O1284" s="347">
        <v>0.05</v>
      </c>
      <c r="P1284" s="247">
        <f t="shared" si="75"/>
        <v>598</v>
      </c>
      <c r="Q1284" s="296"/>
      <c r="R1284" s="296"/>
      <c r="S1284" s="197">
        <f t="shared" si="76"/>
        <v>12558</v>
      </c>
      <c r="T1284" s="295" t="s">
        <v>607</v>
      </c>
      <c r="U1284" s="295" t="s">
        <v>607</v>
      </c>
      <c r="V1284" s="295" t="s">
        <v>444</v>
      </c>
      <c r="W1284" s="295" t="s">
        <v>3889</v>
      </c>
      <c r="X1284" s="219">
        <v>88073000</v>
      </c>
      <c r="Y1284" s="295"/>
      <c r="Z1284" s="220" t="s">
        <v>2940</v>
      </c>
      <c r="AA1284" s="220"/>
      <c r="AB1284" s="220"/>
      <c r="AC1284" s="295"/>
      <c r="AD1284" s="295"/>
      <c r="AE1284" s="295"/>
      <c r="AF1284" s="295"/>
      <c r="AG1284" s="295"/>
    </row>
    <row r="1285" spans="1:33" x14ac:dyDescent="0.25">
      <c r="A1285" s="348">
        <v>46286</v>
      </c>
      <c r="B1285" s="328">
        <v>46286</v>
      </c>
      <c r="C1285" s="295" t="s">
        <v>54</v>
      </c>
      <c r="D1285" s="186" t="s">
        <v>3687</v>
      </c>
      <c r="E1285" s="295" t="s">
        <v>1948</v>
      </c>
      <c r="F1285" s="299" t="s">
        <v>613</v>
      </c>
      <c r="G1285" s="295"/>
      <c r="H1285" s="220">
        <v>3</v>
      </c>
      <c r="I1285" s="69"/>
      <c r="J1285" s="195">
        <f>Table224[[#This Row],[Qty]]-Table224[[#This Row],[Issue Qty]]</f>
        <v>3</v>
      </c>
      <c r="K1285" s="195"/>
      <c r="L1285" s="195" t="s">
        <v>3480</v>
      </c>
      <c r="M1285" s="296">
        <v>2212</v>
      </c>
      <c r="N1285" s="246">
        <f t="shared" si="74"/>
        <v>6636</v>
      </c>
      <c r="O1285" s="347">
        <v>0.05</v>
      </c>
      <c r="P1285" s="247">
        <f t="shared" si="75"/>
        <v>331.8</v>
      </c>
      <c r="Q1285" s="296"/>
      <c r="R1285" s="296"/>
      <c r="S1285" s="197">
        <f t="shared" si="76"/>
        <v>6967.8</v>
      </c>
      <c r="T1285" s="295" t="s">
        <v>607</v>
      </c>
      <c r="U1285" s="295" t="s">
        <v>607</v>
      </c>
      <c r="V1285" s="295" t="s">
        <v>444</v>
      </c>
      <c r="W1285" s="295" t="s">
        <v>3889</v>
      </c>
      <c r="X1285" s="219">
        <v>88073000</v>
      </c>
      <c r="Y1285" s="295"/>
      <c r="Z1285" s="220" t="s">
        <v>33</v>
      </c>
      <c r="AA1285" s="220"/>
      <c r="AB1285" s="220"/>
      <c r="AC1285" s="295"/>
      <c r="AD1285" s="295"/>
      <c r="AE1285" s="295"/>
      <c r="AF1285" s="295"/>
      <c r="AG1285" s="295"/>
    </row>
    <row r="1286" spans="1:33" x14ac:dyDescent="0.25">
      <c r="A1286" s="348">
        <v>46286</v>
      </c>
      <c r="B1286" s="328">
        <v>46286</v>
      </c>
      <c r="C1286" s="295" t="s">
        <v>54</v>
      </c>
      <c r="D1286" s="186" t="s">
        <v>3687</v>
      </c>
      <c r="E1286" s="295" t="s">
        <v>1946</v>
      </c>
      <c r="F1286" s="299" t="s">
        <v>610</v>
      </c>
      <c r="G1286" s="295"/>
      <c r="H1286" s="220">
        <v>3</v>
      </c>
      <c r="I1286" s="69"/>
      <c r="J1286" s="195">
        <f>Table224[[#This Row],[Qty]]-Table224[[#This Row],[Issue Qty]]</f>
        <v>3</v>
      </c>
      <c r="K1286" s="195"/>
      <c r="L1286" s="195" t="s">
        <v>3480</v>
      </c>
      <c r="M1286" s="296">
        <v>2212</v>
      </c>
      <c r="N1286" s="246">
        <f t="shared" si="74"/>
        <v>6636</v>
      </c>
      <c r="O1286" s="347">
        <v>0.05</v>
      </c>
      <c r="P1286" s="247">
        <f t="shared" si="75"/>
        <v>331.8</v>
      </c>
      <c r="Q1286" s="296"/>
      <c r="R1286" s="296">
        <v>0.4</v>
      </c>
      <c r="S1286" s="197">
        <f t="shared" si="76"/>
        <v>6968.2</v>
      </c>
      <c r="T1286" s="295" t="s">
        <v>607</v>
      </c>
      <c r="U1286" s="295" t="s">
        <v>607</v>
      </c>
      <c r="V1286" s="295" t="s">
        <v>444</v>
      </c>
      <c r="W1286" s="295" t="s">
        <v>3889</v>
      </c>
      <c r="X1286" s="219">
        <v>88073000</v>
      </c>
      <c r="Y1286" s="295"/>
      <c r="Z1286" s="220" t="s">
        <v>33</v>
      </c>
      <c r="AA1286" s="220"/>
      <c r="AB1286" s="220"/>
      <c r="AC1286" s="295"/>
      <c r="AD1286" s="295"/>
      <c r="AE1286" s="295"/>
      <c r="AF1286" s="295"/>
      <c r="AG1286" s="295"/>
    </row>
    <row r="1287" spans="1:33" x14ac:dyDescent="0.25">
      <c r="A1287" s="328"/>
      <c r="B1287" s="328"/>
      <c r="C1287" s="295"/>
      <c r="D1287" s="186"/>
      <c r="E1287" s="295"/>
      <c r="F1287" s="299"/>
      <c r="G1287" s="295"/>
      <c r="H1287" s="220"/>
      <c r="I1287" s="69"/>
      <c r="J1287" s="195">
        <f>Table224[[#This Row],[Qty]]-Table224[[#This Row],[Issue Qty]]</f>
        <v>0</v>
      </c>
      <c r="K1287" s="195"/>
      <c r="L1287" s="195" t="s">
        <v>3480</v>
      </c>
      <c r="M1287" s="296"/>
      <c r="N1287" s="246">
        <f t="shared" si="74"/>
        <v>0</v>
      </c>
      <c r="O1287" s="346"/>
      <c r="P1287" s="247">
        <f t="shared" si="75"/>
        <v>0</v>
      </c>
      <c r="Q1287" s="296"/>
      <c r="R1287" s="296"/>
      <c r="S1287" s="197">
        <f t="shared" si="76"/>
        <v>0</v>
      </c>
      <c r="T1287" s="295"/>
      <c r="U1287" s="295"/>
      <c r="V1287" s="295" t="s">
        <v>2990</v>
      </c>
      <c r="W1287" s="295"/>
      <c r="X1287" s="295"/>
      <c r="Y1287" s="295"/>
      <c r="Z1287" s="220"/>
      <c r="AA1287" s="220"/>
      <c r="AB1287" s="220"/>
      <c r="AC1287" s="295"/>
      <c r="AD1287" s="295"/>
      <c r="AE1287" s="295"/>
      <c r="AF1287" s="295"/>
      <c r="AG1287" s="295"/>
    </row>
    <row r="1288" spans="1:33" x14ac:dyDescent="0.25">
      <c r="A1288" s="328"/>
      <c r="B1288" s="328"/>
      <c r="C1288" s="295"/>
      <c r="D1288" s="186"/>
      <c r="E1288" s="295"/>
      <c r="F1288" s="299"/>
      <c r="G1288" s="295"/>
      <c r="H1288" s="220"/>
      <c r="I1288" s="69"/>
      <c r="J1288" s="195">
        <f>Table224[[#This Row],[Qty]]-Table224[[#This Row],[Issue Qty]]</f>
        <v>0</v>
      </c>
      <c r="K1288" s="195"/>
      <c r="L1288" s="195" t="s">
        <v>3480</v>
      </c>
      <c r="M1288" s="296"/>
      <c r="N1288" s="246">
        <f t="shared" si="74"/>
        <v>0</v>
      </c>
      <c r="O1288" s="346"/>
      <c r="P1288" s="247">
        <f t="shared" si="75"/>
        <v>0</v>
      </c>
      <c r="Q1288" s="296"/>
      <c r="R1288" s="296"/>
      <c r="S1288" s="197">
        <f t="shared" si="76"/>
        <v>0</v>
      </c>
      <c r="T1288" s="295"/>
      <c r="U1288" s="295"/>
      <c r="V1288" s="295" t="s">
        <v>2990</v>
      </c>
      <c r="W1288" s="295"/>
      <c r="X1288" s="295"/>
      <c r="Y1288" s="295"/>
      <c r="Z1288" s="220"/>
      <c r="AA1288" s="220"/>
      <c r="AB1288" s="220"/>
      <c r="AC1288" s="295"/>
      <c r="AD1288" s="295"/>
      <c r="AE1288" s="295"/>
      <c r="AF1288" s="295"/>
      <c r="AG1288" s="295"/>
    </row>
    <row r="1289" spans="1:33" x14ac:dyDescent="0.25">
      <c r="A1289" s="328"/>
      <c r="B1289" s="328"/>
      <c r="C1289" s="295"/>
      <c r="D1289" s="186"/>
      <c r="E1289" s="295"/>
      <c r="F1289" s="299"/>
      <c r="G1289" s="295"/>
      <c r="H1289" s="220"/>
      <c r="I1289" s="69"/>
      <c r="J1289" s="195">
        <f>Table224[[#This Row],[Qty]]-Table224[[#This Row],[Issue Qty]]</f>
        <v>0</v>
      </c>
      <c r="K1289" s="195"/>
      <c r="L1289" s="195" t="s">
        <v>3480</v>
      </c>
      <c r="M1289" s="296"/>
      <c r="N1289" s="246">
        <f t="shared" si="74"/>
        <v>0</v>
      </c>
      <c r="O1289" s="346"/>
      <c r="P1289" s="247">
        <f t="shared" si="75"/>
        <v>0</v>
      </c>
      <c r="Q1289" s="296"/>
      <c r="R1289" s="296"/>
      <c r="S1289" s="197">
        <f t="shared" si="76"/>
        <v>0</v>
      </c>
      <c r="T1289" s="295"/>
      <c r="U1289" s="295"/>
      <c r="V1289" s="295" t="s">
        <v>2990</v>
      </c>
      <c r="W1289" s="295"/>
      <c r="X1289" s="295"/>
      <c r="Y1289" s="295"/>
      <c r="Z1289" s="220"/>
      <c r="AA1289" s="220"/>
      <c r="AB1289" s="220"/>
      <c r="AC1289" s="295"/>
      <c r="AD1289" s="295"/>
      <c r="AE1289" s="295"/>
      <c r="AF1289" s="295"/>
      <c r="AG1289" s="295"/>
    </row>
    <row r="1290" spans="1:33" ht="30" x14ac:dyDescent="0.25">
      <c r="A1290" s="328">
        <v>46287</v>
      </c>
      <c r="B1290" s="328">
        <v>46287</v>
      </c>
      <c r="C1290" s="295" t="s">
        <v>1688</v>
      </c>
      <c r="D1290" s="186" t="s">
        <v>3451</v>
      </c>
      <c r="E1290" s="295" t="s">
        <v>2977</v>
      </c>
      <c r="F1290" s="299" t="s">
        <v>2978</v>
      </c>
      <c r="G1290" s="295"/>
      <c r="H1290" s="220">
        <v>3</v>
      </c>
      <c r="I1290" s="69">
        <v>3</v>
      </c>
      <c r="J1290" s="195">
        <f>Table224[[#This Row],[Qty]]-Table224[[#This Row],[Issue Qty]]</f>
        <v>0</v>
      </c>
      <c r="K1290" s="195"/>
      <c r="L1290" s="195" t="s">
        <v>3480</v>
      </c>
      <c r="M1290" s="296">
        <v>53600</v>
      </c>
      <c r="N1290" s="246">
        <f t="shared" si="74"/>
        <v>160800</v>
      </c>
      <c r="O1290" s="347">
        <v>0.05</v>
      </c>
      <c r="P1290" s="247">
        <f t="shared" si="75"/>
        <v>8040</v>
      </c>
      <c r="Q1290" s="296"/>
      <c r="R1290" s="296"/>
      <c r="S1290" s="197">
        <f t="shared" si="76"/>
        <v>168840</v>
      </c>
      <c r="T1290" s="295" t="s">
        <v>2887</v>
      </c>
      <c r="U1290" s="295" t="s">
        <v>2887</v>
      </c>
      <c r="V1290" s="295" t="s">
        <v>1420</v>
      </c>
      <c r="W1290" s="295" t="s">
        <v>3890</v>
      </c>
      <c r="X1290" s="219">
        <v>88073020</v>
      </c>
      <c r="Y1290" s="295"/>
      <c r="Z1290" s="220"/>
      <c r="AA1290" s="220"/>
      <c r="AB1290" s="220">
        <v>3</v>
      </c>
      <c r="AC1290" s="295" t="s">
        <v>3894</v>
      </c>
      <c r="AD1290" s="295"/>
      <c r="AE1290" s="295"/>
      <c r="AF1290" s="295"/>
      <c r="AG1290" s="295"/>
    </row>
    <row r="1291" spans="1:33" x14ac:dyDescent="0.25">
      <c r="A1291" s="328">
        <v>46287</v>
      </c>
      <c r="B1291" s="328">
        <v>46287</v>
      </c>
      <c r="C1291" s="295" t="s">
        <v>54</v>
      </c>
      <c r="D1291" s="186" t="s">
        <v>3687</v>
      </c>
      <c r="E1291" s="295" t="s">
        <v>2496</v>
      </c>
      <c r="F1291" s="299" t="s">
        <v>1400</v>
      </c>
      <c r="G1291" s="295"/>
      <c r="H1291" s="220">
        <v>2</v>
      </c>
      <c r="I1291" s="69"/>
      <c r="J1291" s="195">
        <f>Table224[[#This Row],[Qty]]-Table224[[#This Row],[Issue Qty]]</f>
        <v>2</v>
      </c>
      <c r="K1291" s="195"/>
      <c r="L1291" s="195" t="s">
        <v>3479</v>
      </c>
      <c r="M1291" s="296">
        <v>6900</v>
      </c>
      <c r="N1291" s="246">
        <f t="shared" si="74"/>
        <v>13800</v>
      </c>
      <c r="O1291" s="347">
        <v>0.05</v>
      </c>
      <c r="P1291" s="247">
        <f t="shared" si="75"/>
        <v>690</v>
      </c>
      <c r="Q1291" s="296"/>
      <c r="R1291" s="296"/>
      <c r="S1291" s="197">
        <f t="shared" si="76"/>
        <v>14490</v>
      </c>
      <c r="T1291" s="295" t="s">
        <v>2887</v>
      </c>
      <c r="U1291" s="295" t="s">
        <v>2887</v>
      </c>
      <c r="V1291" s="295" t="s">
        <v>1420</v>
      </c>
      <c r="W1291" s="295" t="s">
        <v>3890</v>
      </c>
      <c r="X1291" s="219">
        <v>88073020</v>
      </c>
      <c r="Y1291" s="295"/>
      <c r="Z1291" s="220" t="s">
        <v>33</v>
      </c>
      <c r="AA1291" s="220"/>
      <c r="AB1291" s="220"/>
      <c r="AC1291" s="295"/>
      <c r="AD1291" s="295"/>
      <c r="AE1291" s="295"/>
      <c r="AF1291" s="295"/>
      <c r="AG1291" s="295"/>
    </row>
    <row r="1292" spans="1:33" x14ac:dyDescent="0.25">
      <c r="A1292" s="328">
        <v>46287</v>
      </c>
      <c r="B1292" s="328">
        <v>46287</v>
      </c>
      <c r="C1292" s="295" t="s">
        <v>1688</v>
      </c>
      <c r="D1292" s="186" t="s">
        <v>3453</v>
      </c>
      <c r="E1292" s="295" t="s">
        <v>3896</v>
      </c>
      <c r="F1292" s="299" t="s">
        <v>3892</v>
      </c>
      <c r="G1292" s="295"/>
      <c r="H1292" s="220">
        <v>1</v>
      </c>
      <c r="I1292" s="69"/>
      <c r="J1292" s="195">
        <f>Table224[[#This Row],[Qty]]-Table224[[#This Row],[Issue Qty]]</f>
        <v>1</v>
      </c>
      <c r="K1292" s="195"/>
      <c r="L1292" s="195" t="s">
        <v>3480</v>
      </c>
      <c r="M1292" s="296">
        <v>9400</v>
      </c>
      <c r="N1292" s="246">
        <f t="shared" si="74"/>
        <v>9400</v>
      </c>
      <c r="O1292" s="347">
        <v>0.18</v>
      </c>
      <c r="P1292" s="247">
        <f t="shared" si="75"/>
        <v>1692</v>
      </c>
      <c r="Q1292" s="296"/>
      <c r="R1292" s="296"/>
      <c r="S1292" s="197">
        <f t="shared" si="76"/>
        <v>11092</v>
      </c>
      <c r="T1292" s="295" t="s">
        <v>2887</v>
      </c>
      <c r="U1292" s="295" t="s">
        <v>2887</v>
      </c>
      <c r="V1292" s="295" t="s">
        <v>1420</v>
      </c>
      <c r="W1292" s="295" t="s">
        <v>3893</v>
      </c>
      <c r="X1292" s="219">
        <v>85269200</v>
      </c>
      <c r="Y1292" s="295"/>
      <c r="Z1292" s="220"/>
      <c r="AA1292" s="220"/>
      <c r="AB1292" s="220">
        <v>1</v>
      </c>
      <c r="AC1292" s="295" t="s">
        <v>3894</v>
      </c>
      <c r="AD1292" s="295"/>
      <c r="AE1292" s="295"/>
      <c r="AF1292" s="295"/>
      <c r="AG1292" s="295"/>
    </row>
    <row r="1293" spans="1:33" x14ac:dyDescent="0.25">
      <c r="A1293" s="328"/>
      <c r="B1293" s="328"/>
      <c r="C1293" s="295"/>
      <c r="D1293" s="186"/>
      <c r="E1293" s="295"/>
      <c r="F1293" s="299"/>
      <c r="G1293" s="295"/>
      <c r="H1293" s="220"/>
      <c r="I1293" s="69"/>
      <c r="J1293" s="195"/>
      <c r="K1293" s="195"/>
      <c r="L1293" s="195"/>
      <c r="M1293" s="296"/>
      <c r="N1293" s="246">
        <f t="shared" si="74"/>
        <v>0</v>
      </c>
      <c r="O1293" s="346"/>
      <c r="P1293" s="247">
        <f t="shared" si="75"/>
        <v>0</v>
      </c>
      <c r="Q1293" s="296"/>
      <c r="R1293" s="296"/>
      <c r="S1293" s="197">
        <f t="shared" si="76"/>
        <v>0</v>
      </c>
      <c r="T1293" s="295"/>
      <c r="U1293" s="295"/>
      <c r="V1293" s="295"/>
      <c r="W1293" s="295"/>
      <c r="X1293" s="295"/>
      <c r="Y1293" s="295"/>
      <c r="Z1293" s="220"/>
      <c r="AA1293" s="220"/>
      <c r="AB1293" s="220"/>
      <c r="AC1293" s="295"/>
      <c r="AD1293" s="295"/>
      <c r="AE1293" s="295"/>
      <c r="AF1293" s="295"/>
      <c r="AG1293" s="295"/>
    </row>
  </sheetData>
  <phoneticPr fontId="19" type="noConversion"/>
  <hyperlinks>
    <hyperlink ref="AG1210" r:id="rId1" xr:uid="{358CA487-79F4-4033-8532-719B61DBE377}"/>
  </hyperlinks>
  <pageMargins left="0.7" right="0.7" top="0.75" bottom="0.75" header="0.3" footer="0.3"/>
  <pageSetup paperSize="9" fitToWidth="0" orientation="landscape"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5285-88F2-4BA4-9AE4-DA779E300915}">
  <dimension ref="A2:XFC1243"/>
  <sheetViews>
    <sheetView topLeftCell="A1228" zoomScaleNormal="100" workbookViewId="0">
      <selection activeCell="E3" sqref="E3:E1243"/>
    </sheetView>
  </sheetViews>
  <sheetFormatPr defaultColWidth="9.140625" defaultRowHeight="15" x14ac:dyDescent="0.25"/>
  <cols>
    <col min="1" max="1" width="18.28515625" style="13" bestFit="1" customWidth="1"/>
    <col min="2" max="2" width="18.42578125" style="13" bestFit="1" customWidth="1"/>
    <col min="3" max="3" width="16.7109375" style="13" customWidth="1"/>
    <col min="4" max="4" width="14.28515625" style="13" bestFit="1" customWidth="1"/>
    <col min="5" max="5" width="61.140625" style="13" customWidth="1"/>
    <col min="6" max="6" width="199.5703125" style="13" hidden="1" customWidth="1"/>
    <col min="7" max="7" width="9.5703125" style="14" customWidth="1"/>
    <col min="8" max="8" width="10.7109375" style="14" bestFit="1" customWidth="1"/>
    <col min="9" max="9" width="11.140625" style="14" bestFit="1" customWidth="1"/>
    <col min="10" max="10" width="16" style="13" bestFit="1" customWidth="1"/>
    <col min="11" max="11" width="15.85546875" style="13" bestFit="1" customWidth="1"/>
    <col min="12" max="12" width="12.140625" style="14" bestFit="1" customWidth="1"/>
    <col min="13" max="13" width="15.7109375" style="13" bestFit="1" customWidth="1"/>
    <col min="14" max="14" width="15.140625" style="13" bestFit="1" customWidth="1"/>
    <col min="15" max="15" width="17" style="13" bestFit="1" customWidth="1"/>
    <col min="16" max="16" width="15" style="13" bestFit="1" customWidth="1"/>
    <col min="17" max="18" width="24.42578125" style="13" bestFit="1" customWidth="1"/>
    <col min="19" max="19" width="44.28515625" style="13" bestFit="1" customWidth="1"/>
    <col min="20" max="20" width="24" style="13" bestFit="1" customWidth="1"/>
    <col min="21" max="21" width="19.85546875" style="13" bestFit="1" customWidth="1"/>
    <col min="22" max="22" width="7.7109375" style="13" customWidth="1"/>
    <col min="23" max="23" width="18.140625" style="14" bestFit="1" customWidth="1"/>
    <col min="24" max="24" width="16" style="14" bestFit="1" customWidth="1"/>
    <col min="25" max="25" width="16" style="15" bestFit="1" customWidth="1"/>
    <col min="26" max="26" width="61.42578125" style="16" bestFit="1" customWidth="1"/>
    <col min="27" max="27" width="45.5703125" style="13" bestFit="1" customWidth="1"/>
    <col min="28" max="28" width="72.42578125" style="13" bestFit="1" customWidth="1"/>
    <col min="29" max="29" width="21.7109375" style="13" customWidth="1"/>
    <col min="30" max="30" width="34.42578125" style="13" bestFit="1" customWidth="1"/>
    <col min="31" max="16384" width="9.140625" style="13"/>
  </cols>
  <sheetData>
    <row r="2" spans="1:30" s="15" customFormat="1" ht="45" x14ac:dyDescent="0.25">
      <c r="A2" s="17" t="s">
        <v>0</v>
      </c>
      <c r="B2" s="17" t="s">
        <v>1</v>
      </c>
      <c r="C2" s="17" t="s">
        <v>1675</v>
      </c>
      <c r="D2" s="17" t="s">
        <v>1676</v>
      </c>
      <c r="E2" s="17" t="s">
        <v>2</v>
      </c>
      <c r="F2" s="17" t="s">
        <v>3</v>
      </c>
      <c r="G2" s="17" t="s">
        <v>4</v>
      </c>
      <c r="H2" s="17" t="s">
        <v>1641</v>
      </c>
      <c r="I2" s="156" t="s">
        <v>1569</v>
      </c>
      <c r="J2" s="18" t="s">
        <v>5</v>
      </c>
      <c r="K2" s="18" t="s">
        <v>6</v>
      </c>
      <c r="L2" s="19" t="s">
        <v>7</v>
      </c>
      <c r="M2" s="19" t="s">
        <v>8</v>
      </c>
      <c r="N2" s="18" t="s">
        <v>9</v>
      </c>
      <c r="O2" s="18" t="s">
        <v>10</v>
      </c>
      <c r="P2" s="18" t="s">
        <v>1677</v>
      </c>
      <c r="Q2" s="17" t="s">
        <v>11</v>
      </c>
      <c r="R2" s="17" t="s">
        <v>1678</v>
      </c>
      <c r="S2" s="17" t="s">
        <v>12</v>
      </c>
      <c r="T2" s="17" t="s">
        <v>1679</v>
      </c>
      <c r="U2" s="17" t="s">
        <v>1680</v>
      </c>
      <c r="V2" s="17" t="s">
        <v>1681</v>
      </c>
      <c r="W2" s="17" t="s">
        <v>13</v>
      </c>
      <c r="X2" s="17" t="s">
        <v>14</v>
      </c>
      <c r="Y2" s="17" t="s">
        <v>15</v>
      </c>
      <c r="Z2" s="17" t="s">
        <v>16</v>
      </c>
      <c r="AA2" s="17" t="s">
        <v>17</v>
      </c>
      <c r="AB2" s="20" t="s">
        <v>18</v>
      </c>
      <c r="AC2" s="17" t="s">
        <v>1634</v>
      </c>
      <c r="AD2" s="17" t="s">
        <v>1682</v>
      </c>
    </row>
    <row r="3" spans="1:30" s="24" customFormat="1" x14ac:dyDescent="0.25">
      <c r="A3" s="4"/>
      <c r="B3" s="4">
        <v>44106</v>
      </c>
      <c r="C3" s="6" t="s">
        <v>1683</v>
      </c>
      <c r="D3" s="6" t="s">
        <v>1684</v>
      </c>
      <c r="E3" s="6" t="s">
        <v>19</v>
      </c>
      <c r="F3" s="6" t="s">
        <v>19</v>
      </c>
      <c r="G3" s="8">
        <v>2</v>
      </c>
      <c r="H3" s="8"/>
      <c r="I3" s="115">
        <f>Table223[[#This Row],[Qty]]-Table223[[#This Row],[Issue Qty]]</f>
        <v>2</v>
      </c>
      <c r="J3" s="5">
        <f>34534.4/2</f>
        <v>17267.2</v>
      </c>
      <c r="K3" s="5">
        <f t="shared" ref="K3:K66" si="0">G3*J3</f>
        <v>34534.400000000001</v>
      </c>
      <c r="L3" s="11">
        <v>0</v>
      </c>
      <c r="M3" s="9">
        <f t="shared" ref="M3:M66" si="1">K3*L3</f>
        <v>0</v>
      </c>
      <c r="N3" s="5"/>
      <c r="O3" s="5"/>
      <c r="P3" s="5">
        <f t="shared" ref="P3:P66" si="2">K3+M3+N3+O3</f>
        <v>34534.400000000001</v>
      </c>
      <c r="Q3" s="1" t="s">
        <v>20</v>
      </c>
      <c r="R3" s="1" t="s">
        <v>1685</v>
      </c>
      <c r="S3" s="1" t="s">
        <v>21</v>
      </c>
      <c r="T3" s="1" t="s">
        <v>1686</v>
      </c>
      <c r="U3" s="1"/>
      <c r="V3" s="1"/>
      <c r="W3" s="21" t="s">
        <v>22</v>
      </c>
      <c r="X3" s="21" t="s">
        <v>23</v>
      </c>
      <c r="Y3" s="8"/>
      <c r="Z3" s="22"/>
      <c r="AA3" s="1"/>
      <c r="AB3" s="23"/>
      <c r="AC3" s="1" t="s">
        <v>37</v>
      </c>
      <c r="AD3" s="2"/>
    </row>
    <row r="4" spans="1:30" s="24" customFormat="1" x14ac:dyDescent="0.25">
      <c r="A4" s="4"/>
      <c r="B4" s="4">
        <v>44106</v>
      </c>
      <c r="C4" s="6" t="s">
        <v>1683</v>
      </c>
      <c r="D4" s="6" t="s">
        <v>1687</v>
      </c>
      <c r="E4" s="6" t="s">
        <v>24</v>
      </c>
      <c r="F4" s="6" t="s">
        <v>24</v>
      </c>
      <c r="G4" s="8">
        <v>2</v>
      </c>
      <c r="H4" s="8">
        <v>2</v>
      </c>
      <c r="I4" s="115">
        <f>Table223[[#This Row],[Qty]]-Table223[[#This Row],[Issue Qty]]</f>
        <v>0</v>
      </c>
      <c r="J4" s="5">
        <f>14590.6/2</f>
        <v>7295.3</v>
      </c>
      <c r="K4" s="5">
        <f t="shared" si="0"/>
        <v>14590.6</v>
      </c>
      <c r="L4" s="11">
        <v>0.05</v>
      </c>
      <c r="M4" s="9">
        <f t="shared" si="1"/>
        <v>729.53000000000009</v>
      </c>
      <c r="N4" s="5"/>
      <c r="O4" s="5"/>
      <c r="P4" s="5">
        <f t="shared" si="2"/>
        <v>15320.130000000001</v>
      </c>
      <c r="Q4" s="1" t="s">
        <v>20</v>
      </c>
      <c r="R4" s="1" t="s">
        <v>1685</v>
      </c>
      <c r="S4" s="1"/>
      <c r="T4" s="1"/>
      <c r="U4" s="1"/>
      <c r="V4" s="1"/>
      <c r="W4" s="8" t="s">
        <v>3349</v>
      </c>
      <c r="X4" s="8" t="s">
        <v>26</v>
      </c>
      <c r="Y4" s="8">
        <v>2</v>
      </c>
      <c r="Z4" s="22" t="s">
        <v>3352</v>
      </c>
      <c r="AA4" s="1"/>
      <c r="AB4" s="23"/>
      <c r="AC4" s="1" t="s">
        <v>37</v>
      </c>
      <c r="AD4" s="2"/>
    </row>
    <row r="5" spans="1:30" s="24" customFormat="1" x14ac:dyDescent="0.25">
      <c r="A5" s="4"/>
      <c r="B5" s="4">
        <v>44751</v>
      </c>
      <c r="C5" s="6" t="s">
        <v>1688</v>
      </c>
      <c r="D5" s="6" t="s">
        <v>1689</v>
      </c>
      <c r="E5" s="6" t="s">
        <v>27</v>
      </c>
      <c r="F5" s="1" t="s">
        <v>28</v>
      </c>
      <c r="G5" s="8">
        <v>1</v>
      </c>
      <c r="H5" s="8"/>
      <c r="I5" s="115">
        <f>Table223[[#This Row],[Qty]]-Table223[[#This Row],[Issue Qty]]</f>
        <v>1</v>
      </c>
      <c r="J5" s="5">
        <v>75500</v>
      </c>
      <c r="K5" s="5">
        <f t="shared" si="0"/>
        <v>75500</v>
      </c>
      <c r="L5" s="11">
        <v>0.18</v>
      </c>
      <c r="M5" s="9">
        <f t="shared" si="1"/>
        <v>13590</v>
      </c>
      <c r="N5" s="5"/>
      <c r="O5" s="5"/>
      <c r="P5" s="5">
        <f t="shared" si="2"/>
        <v>89090</v>
      </c>
      <c r="Q5" s="1" t="s">
        <v>20</v>
      </c>
      <c r="R5" s="1" t="s">
        <v>1690</v>
      </c>
      <c r="S5" s="1"/>
      <c r="T5" s="1"/>
      <c r="U5" s="1"/>
      <c r="V5" s="1"/>
      <c r="W5" s="8" t="s">
        <v>29</v>
      </c>
      <c r="X5" s="8"/>
      <c r="Y5" s="8"/>
      <c r="Z5" s="22"/>
      <c r="AA5" s="1"/>
      <c r="AB5" s="23"/>
      <c r="AC5" s="1">
        <v>136</v>
      </c>
      <c r="AD5" s="2"/>
    </row>
    <row r="6" spans="1:30" s="24" customFormat="1" ht="30" x14ac:dyDescent="0.25">
      <c r="A6" s="4"/>
      <c r="B6" s="4">
        <v>44764</v>
      </c>
      <c r="C6" s="6" t="s">
        <v>1683</v>
      </c>
      <c r="D6" s="6" t="s">
        <v>1691</v>
      </c>
      <c r="E6" s="6" t="s">
        <v>562</v>
      </c>
      <c r="F6" s="1" t="s">
        <v>31</v>
      </c>
      <c r="G6" s="8">
        <v>1</v>
      </c>
      <c r="H6" s="8">
        <v>1</v>
      </c>
      <c r="I6" s="115">
        <f>Table223[[#This Row],[Qty]]-Table223[[#This Row],[Issue Qty]]</f>
        <v>0</v>
      </c>
      <c r="J6" s="5">
        <v>160.4</v>
      </c>
      <c r="K6" s="5">
        <f t="shared" si="0"/>
        <v>160.4</v>
      </c>
      <c r="L6" s="11">
        <v>0.18</v>
      </c>
      <c r="M6" s="9">
        <f t="shared" si="1"/>
        <v>28.872</v>
      </c>
      <c r="N6" s="5"/>
      <c r="O6" s="5"/>
      <c r="P6" s="5">
        <f t="shared" si="2"/>
        <v>189.27199999999999</v>
      </c>
      <c r="Q6" s="1" t="s">
        <v>20</v>
      </c>
      <c r="R6" s="1" t="s">
        <v>1692</v>
      </c>
      <c r="S6" s="1" t="s">
        <v>32</v>
      </c>
      <c r="T6" s="1">
        <v>19623</v>
      </c>
      <c r="U6" s="1"/>
      <c r="V6" s="1"/>
      <c r="W6" s="8" t="s">
        <v>33</v>
      </c>
      <c r="X6" s="8" t="s">
        <v>34</v>
      </c>
      <c r="Y6" s="8"/>
      <c r="Z6" s="22"/>
      <c r="AA6" s="1"/>
      <c r="AB6" s="23"/>
      <c r="AC6" s="1">
        <v>168</v>
      </c>
      <c r="AD6" s="2"/>
    </row>
    <row r="7" spans="1:30" s="24" customFormat="1" ht="30" x14ac:dyDescent="0.25">
      <c r="A7" s="4"/>
      <c r="B7" s="4">
        <v>44781</v>
      </c>
      <c r="C7" s="6" t="s">
        <v>1693</v>
      </c>
      <c r="D7" s="6" t="s">
        <v>1694</v>
      </c>
      <c r="E7" s="6" t="s">
        <v>35</v>
      </c>
      <c r="F7" s="1" t="s">
        <v>36</v>
      </c>
      <c r="G7" s="8">
        <v>1</v>
      </c>
      <c r="H7" s="8"/>
      <c r="I7" s="115">
        <f>Table223[[#This Row],[Qty]]-Table223[[#This Row],[Issue Qty]]</f>
        <v>1</v>
      </c>
      <c r="J7" s="5">
        <v>2677.97</v>
      </c>
      <c r="K7" s="5">
        <f t="shared" si="0"/>
        <v>2677.97</v>
      </c>
      <c r="L7" s="11">
        <v>0.18</v>
      </c>
      <c r="M7" s="9">
        <f t="shared" si="1"/>
        <v>482.03459999999995</v>
      </c>
      <c r="N7" s="5"/>
      <c r="O7" s="5"/>
      <c r="P7" s="5">
        <f t="shared" si="2"/>
        <v>3160.0045999999998</v>
      </c>
      <c r="Q7" s="1" t="s">
        <v>20</v>
      </c>
      <c r="R7" s="1" t="s">
        <v>37</v>
      </c>
      <c r="S7" s="1"/>
      <c r="T7" s="1"/>
      <c r="U7" s="1"/>
      <c r="V7" s="1"/>
      <c r="W7" s="8" t="s">
        <v>38</v>
      </c>
      <c r="X7" s="8" t="s">
        <v>39</v>
      </c>
      <c r="Y7" s="8"/>
      <c r="Z7" s="22"/>
      <c r="AA7" s="1"/>
      <c r="AB7" s="23" t="s">
        <v>36</v>
      </c>
      <c r="AC7" s="1">
        <v>177</v>
      </c>
      <c r="AD7" s="2"/>
    </row>
    <row r="8" spans="1:30" s="24" customFormat="1" ht="30" x14ac:dyDescent="0.25">
      <c r="A8" s="4"/>
      <c r="B8" s="4">
        <v>44798</v>
      </c>
      <c r="C8" s="6" t="s">
        <v>1695</v>
      </c>
      <c r="D8" s="6" t="s">
        <v>1696</v>
      </c>
      <c r="E8" s="6" t="s">
        <v>40</v>
      </c>
      <c r="F8" s="1" t="s">
        <v>41</v>
      </c>
      <c r="G8" s="8">
        <v>8</v>
      </c>
      <c r="H8" s="8"/>
      <c r="I8" s="115">
        <f>Table223[[#This Row],[Qty]]-Table223[[#This Row],[Issue Qty]]</f>
        <v>8</v>
      </c>
      <c r="J8" s="5">
        <f>57464.17/8</f>
        <v>7183.0212499999998</v>
      </c>
      <c r="K8" s="5">
        <f t="shared" si="0"/>
        <v>57464.17</v>
      </c>
      <c r="L8" s="11">
        <v>0.18</v>
      </c>
      <c r="M8" s="9">
        <f t="shared" si="1"/>
        <v>10343.550599999999</v>
      </c>
      <c r="N8" s="5">
        <v>0</v>
      </c>
      <c r="O8" s="5"/>
      <c r="P8" s="5">
        <f t="shared" si="2"/>
        <v>67807.720600000001</v>
      </c>
      <c r="Q8" s="1" t="s">
        <v>42</v>
      </c>
      <c r="R8" s="1" t="s">
        <v>1697</v>
      </c>
      <c r="S8" s="1" t="s">
        <v>43</v>
      </c>
      <c r="T8" s="1"/>
      <c r="U8" s="1"/>
      <c r="V8" s="1"/>
      <c r="W8" s="8" t="s">
        <v>44</v>
      </c>
      <c r="X8" s="8" t="s">
        <v>45</v>
      </c>
      <c r="Y8" s="8"/>
      <c r="Z8" s="22"/>
      <c r="AA8" s="1"/>
      <c r="AB8" s="23"/>
      <c r="AC8" s="1">
        <v>208</v>
      </c>
      <c r="AD8" s="2"/>
    </row>
    <row r="9" spans="1:30" s="24" customFormat="1" ht="30" x14ac:dyDescent="0.25">
      <c r="A9" s="4"/>
      <c r="B9" s="4">
        <v>44798</v>
      </c>
      <c r="C9" s="6" t="s">
        <v>1695</v>
      </c>
      <c r="D9" s="6" t="s">
        <v>1698</v>
      </c>
      <c r="E9" s="170" t="s">
        <v>46</v>
      </c>
      <c r="F9" s="1" t="s">
        <v>47</v>
      </c>
      <c r="G9" s="8">
        <v>8</v>
      </c>
      <c r="H9" s="8">
        <v>8</v>
      </c>
      <c r="I9" s="115">
        <f>Table223[[#This Row],[Qty]]-Table223[[#This Row],[Issue Qty]]</f>
        <v>0</v>
      </c>
      <c r="J9" s="5">
        <f>(50.32/2)*90</f>
        <v>2264.4</v>
      </c>
      <c r="K9" s="5">
        <f t="shared" si="0"/>
        <v>18115.2</v>
      </c>
      <c r="L9" s="11">
        <v>0.05</v>
      </c>
      <c r="M9" s="9">
        <f t="shared" si="1"/>
        <v>905.7600000000001</v>
      </c>
      <c r="N9" s="5"/>
      <c r="O9" s="5">
        <v>0.04</v>
      </c>
      <c r="P9" s="5">
        <f t="shared" si="2"/>
        <v>19021</v>
      </c>
      <c r="Q9" s="1" t="s">
        <v>42</v>
      </c>
      <c r="R9" s="1" t="s">
        <v>1697</v>
      </c>
      <c r="S9" s="1" t="s">
        <v>43</v>
      </c>
      <c r="T9" s="1"/>
      <c r="U9" s="1"/>
      <c r="V9" s="1"/>
      <c r="W9" s="8" t="s">
        <v>48</v>
      </c>
      <c r="X9" s="8"/>
      <c r="Y9" s="8"/>
      <c r="Z9" s="22"/>
      <c r="AA9" s="1" t="s">
        <v>49</v>
      </c>
      <c r="AB9" s="23"/>
      <c r="AC9" s="1">
        <v>208</v>
      </c>
      <c r="AD9" s="2"/>
    </row>
    <row r="10" spans="1:30" s="24" customFormat="1" x14ac:dyDescent="0.25">
      <c r="A10" s="4"/>
      <c r="B10" s="4">
        <v>44803</v>
      </c>
      <c r="C10" s="6" t="s">
        <v>1693</v>
      </c>
      <c r="D10" s="6" t="s">
        <v>1699</v>
      </c>
      <c r="E10" s="170" t="s">
        <v>50</v>
      </c>
      <c r="F10" s="1" t="s">
        <v>51</v>
      </c>
      <c r="G10" s="8">
        <v>1</v>
      </c>
      <c r="H10" s="8">
        <v>1</v>
      </c>
      <c r="I10" s="115">
        <f>Table223[[#This Row],[Qty]]-Table223[[#This Row],[Issue Qty]]</f>
        <v>0</v>
      </c>
      <c r="J10" s="5">
        <v>14777.63</v>
      </c>
      <c r="K10" s="5">
        <f t="shared" si="0"/>
        <v>14777.63</v>
      </c>
      <c r="L10" s="11">
        <v>0</v>
      </c>
      <c r="M10" s="9">
        <f t="shared" si="1"/>
        <v>0</v>
      </c>
      <c r="N10" s="5"/>
      <c r="O10" s="5"/>
      <c r="P10" s="5">
        <f t="shared" si="2"/>
        <v>14777.63</v>
      </c>
      <c r="Q10" s="1" t="s">
        <v>20</v>
      </c>
      <c r="R10" s="1" t="s">
        <v>1690</v>
      </c>
      <c r="S10" s="1"/>
      <c r="T10" s="1"/>
      <c r="U10" s="1"/>
      <c r="V10" s="1"/>
      <c r="W10" s="21" t="s">
        <v>52</v>
      </c>
      <c r="X10" s="21" t="s">
        <v>53</v>
      </c>
      <c r="Y10" s="8"/>
      <c r="Z10" s="12"/>
      <c r="AA10" s="2"/>
      <c r="AB10" s="23"/>
      <c r="AC10" s="1">
        <v>121</v>
      </c>
      <c r="AD10" s="2"/>
    </row>
    <row r="11" spans="1:30" s="24" customFormat="1" x14ac:dyDescent="0.25">
      <c r="A11" s="4"/>
      <c r="B11" s="4">
        <v>44803</v>
      </c>
      <c r="C11" s="6" t="s">
        <v>54</v>
      </c>
      <c r="D11" s="6" t="s">
        <v>37</v>
      </c>
      <c r="E11" s="1" t="s">
        <v>55</v>
      </c>
      <c r="F11" s="1" t="s">
        <v>55</v>
      </c>
      <c r="G11" s="8">
        <v>1</v>
      </c>
      <c r="H11" s="8"/>
      <c r="I11" s="115">
        <f>Table223[[#This Row],[Qty]]-Table223[[#This Row],[Issue Qty]]</f>
        <v>1</v>
      </c>
      <c r="J11" s="5">
        <v>301025.73</v>
      </c>
      <c r="K11" s="5">
        <f t="shared" si="0"/>
        <v>301025.73</v>
      </c>
      <c r="L11" s="11"/>
      <c r="M11" s="9">
        <f t="shared" si="1"/>
        <v>0</v>
      </c>
      <c r="N11" s="5"/>
      <c r="O11" s="5">
        <v>0.27</v>
      </c>
      <c r="P11" s="5">
        <f t="shared" si="2"/>
        <v>301026</v>
      </c>
      <c r="Q11" s="1" t="s">
        <v>20</v>
      </c>
      <c r="R11" s="1" t="s">
        <v>1690</v>
      </c>
      <c r="S11" s="1" t="s">
        <v>56</v>
      </c>
      <c r="T11" s="1"/>
      <c r="U11" s="1">
        <v>121</v>
      </c>
      <c r="V11" s="2"/>
      <c r="W11" s="21" t="s">
        <v>3177</v>
      </c>
      <c r="X11" s="21"/>
      <c r="Y11" s="21"/>
      <c r="Z11" s="12" t="s">
        <v>57</v>
      </c>
      <c r="AA11" s="2"/>
      <c r="AB11" s="23"/>
      <c r="AC11" s="2"/>
      <c r="AD11" s="2"/>
    </row>
    <row r="12" spans="1:30" s="24" customFormat="1" x14ac:dyDescent="0.25">
      <c r="A12" s="4"/>
      <c r="B12" s="4">
        <v>44803</v>
      </c>
      <c r="C12" s="6" t="s">
        <v>54</v>
      </c>
      <c r="D12" s="6" t="s">
        <v>1700</v>
      </c>
      <c r="E12" s="6" t="s">
        <v>58</v>
      </c>
      <c r="F12" s="1" t="s">
        <v>59</v>
      </c>
      <c r="G12" s="8">
        <v>1</v>
      </c>
      <c r="H12" s="8"/>
      <c r="I12" s="115">
        <f>Table223[[#This Row],[Qty]]-Table223[[#This Row],[Issue Qty]]</f>
        <v>1</v>
      </c>
      <c r="J12" s="5">
        <v>18765.240000000002</v>
      </c>
      <c r="K12" s="5">
        <f t="shared" si="0"/>
        <v>18765.240000000002</v>
      </c>
      <c r="L12" s="11"/>
      <c r="M12" s="9">
        <f t="shared" si="1"/>
        <v>0</v>
      </c>
      <c r="N12" s="5"/>
      <c r="O12" s="5"/>
      <c r="P12" s="5">
        <f t="shared" si="2"/>
        <v>18765.240000000002</v>
      </c>
      <c r="Q12" s="1" t="s">
        <v>20</v>
      </c>
      <c r="R12" s="1" t="s">
        <v>1690</v>
      </c>
      <c r="S12" s="1" t="s">
        <v>56</v>
      </c>
      <c r="T12" s="1"/>
      <c r="U12" s="1">
        <v>121</v>
      </c>
      <c r="V12" s="2"/>
      <c r="W12" s="21" t="s">
        <v>505</v>
      </c>
      <c r="X12" s="21" t="s">
        <v>3178</v>
      </c>
      <c r="Y12" s="21"/>
      <c r="Z12" s="12" t="s">
        <v>57</v>
      </c>
      <c r="AA12" s="2"/>
      <c r="AB12" s="23"/>
      <c r="AC12" s="2"/>
      <c r="AD12" s="2"/>
    </row>
    <row r="13" spans="1:30" s="24" customFormat="1" x14ac:dyDescent="0.25">
      <c r="A13" s="4"/>
      <c r="B13" s="4">
        <v>44803</v>
      </c>
      <c r="C13" s="6" t="s">
        <v>54</v>
      </c>
      <c r="D13" s="6" t="s">
        <v>1701</v>
      </c>
      <c r="E13" s="170" t="s">
        <v>60</v>
      </c>
      <c r="F13" s="1" t="s">
        <v>61</v>
      </c>
      <c r="G13" s="8">
        <v>6</v>
      </c>
      <c r="H13" s="8">
        <v>6</v>
      </c>
      <c r="I13" s="115">
        <f>Table223[[#This Row],[Qty]]-Table223[[#This Row],[Issue Qty]]</f>
        <v>0</v>
      </c>
      <c r="J13" s="5">
        <f>93826.2/2</f>
        <v>46913.1</v>
      </c>
      <c r="K13" s="5">
        <f t="shared" si="0"/>
        <v>281478.59999999998</v>
      </c>
      <c r="L13" s="11"/>
      <c r="M13" s="9">
        <f t="shared" si="1"/>
        <v>0</v>
      </c>
      <c r="N13" s="5"/>
      <c r="O13" s="5"/>
      <c r="P13" s="5">
        <f t="shared" si="2"/>
        <v>281478.59999999998</v>
      </c>
      <c r="Q13" s="1" t="s">
        <v>20</v>
      </c>
      <c r="R13" s="1" t="s">
        <v>1690</v>
      </c>
      <c r="S13" s="1" t="s">
        <v>56</v>
      </c>
      <c r="T13" s="1"/>
      <c r="U13" s="1">
        <v>121</v>
      </c>
      <c r="V13" s="2"/>
      <c r="W13" s="21" t="s">
        <v>505</v>
      </c>
      <c r="X13" s="21" t="s">
        <v>3178</v>
      </c>
      <c r="Y13" s="21"/>
      <c r="Z13" s="12" t="s">
        <v>57</v>
      </c>
      <c r="AA13" s="2"/>
      <c r="AB13" s="23"/>
      <c r="AC13" s="2"/>
      <c r="AD13" s="2"/>
    </row>
    <row r="14" spans="1:30" s="24" customFormat="1" x14ac:dyDescent="0.25">
      <c r="A14" s="4"/>
      <c r="B14" s="4">
        <v>44806</v>
      </c>
      <c r="C14" s="6" t="s">
        <v>1683</v>
      </c>
      <c r="D14" s="6" t="s">
        <v>1702</v>
      </c>
      <c r="E14" s="6" t="s">
        <v>62</v>
      </c>
      <c r="F14" s="1" t="s">
        <v>63</v>
      </c>
      <c r="G14" s="8">
        <v>2</v>
      </c>
      <c r="H14" s="8"/>
      <c r="I14" s="115">
        <f>Table223[[#This Row],[Qty]]-Table223[[#This Row],[Issue Qty]]</f>
        <v>2</v>
      </c>
      <c r="J14" s="5">
        <v>1186.44</v>
      </c>
      <c r="K14" s="5">
        <f t="shared" si="0"/>
        <v>2372.88</v>
      </c>
      <c r="L14" s="11">
        <v>0</v>
      </c>
      <c r="M14" s="9">
        <f t="shared" si="1"/>
        <v>0</v>
      </c>
      <c r="N14" s="5"/>
      <c r="O14" s="5">
        <v>0.24</v>
      </c>
      <c r="P14" s="5">
        <f t="shared" si="2"/>
        <v>2373.12</v>
      </c>
      <c r="Q14" s="1" t="s">
        <v>20</v>
      </c>
      <c r="R14" s="1" t="s">
        <v>1703</v>
      </c>
      <c r="S14" s="1"/>
      <c r="T14" s="1"/>
      <c r="U14" s="1"/>
      <c r="V14" s="1"/>
      <c r="W14" s="21" t="s">
        <v>64</v>
      </c>
      <c r="X14" s="21" t="s">
        <v>65</v>
      </c>
      <c r="Y14" s="8"/>
      <c r="Z14" s="22"/>
      <c r="AA14" s="1"/>
      <c r="AB14" s="23"/>
      <c r="AC14" s="1">
        <v>196</v>
      </c>
      <c r="AD14" s="2"/>
    </row>
    <row r="15" spans="1:30" s="25" customFormat="1" x14ac:dyDescent="0.25">
      <c r="A15" s="4"/>
      <c r="B15" s="4">
        <v>44811</v>
      </c>
      <c r="C15" s="6" t="s">
        <v>54</v>
      </c>
      <c r="D15" s="6" t="s">
        <v>1704</v>
      </c>
      <c r="E15" s="6" t="s">
        <v>66</v>
      </c>
      <c r="F15" s="1" t="s">
        <v>67</v>
      </c>
      <c r="G15" s="8">
        <v>8</v>
      </c>
      <c r="H15" s="8"/>
      <c r="I15" s="115">
        <f>Table223[[#This Row],[Qty]]-Table223[[#This Row],[Issue Qty]]</f>
        <v>8</v>
      </c>
      <c r="J15" s="5">
        <f>7920/8</f>
        <v>990</v>
      </c>
      <c r="K15" s="5">
        <f t="shared" si="0"/>
        <v>7920</v>
      </c>
      <c r="L15" s="11">
        <v>0</v>
      </c>
      <c r="M15" s="9">
        <f t="shared" si="1"/>
        <v>0</v>
      </c>
      <c r="N15" s="5"/>
      <c r="O15" s="5"/>
      <c r="P15" s="5">
        <f t="shared" si="2"/>
        <v>7920</v>
      </c>
      <c r="Q15" s="1" t="s">
        <v>42</v>
      </c>
      <c r="R15" s="1" t="s">
        <v>1697</v>
      </c>
      <c r="S15" s="1" t="s">
        <v>43</v>
      </c>
      <c r="T15" s="1"/>
      <c r="U15" s="1"/>
      <c r="V15" s="1"/>
      <c r="W15" s="21" t="s">
        <v>68</v>
      </c>
      <c r="X15" s="21" t="s">
        <v>69</v>
      </c>
      <c r="Y15" s="8"/>
      <c r="Z15" s="22"/>
      <c r="AA15" s="1"/>
      <c r="AB15" s="23" t="s">
        <v>70</v>
      </c>
      <c r="AC15" s="1">
        <v>209</v>
      </c>
      <c r="AD15" s="1"/>
    </row>
    <row r="16" spans="1:30" s="24" customFormat="1" x14ac:dyDescent="0.25">
      <c r="A16" s="4"/>
      <c r="B16" s="4">
        <v>44812</v>
      </c>
      <c r="C16" s="6" t="s">
        <v>1693</v>
      </c>
      <c r="D16" s="6" t="s">
        <v>1705</v>
      </c>
      <c r="E16" s="3" t="s">
        <v>71</v>
      </c>
      <c r="F16" s="1" t="s">
        <v>71</v>
      </c>
      <c r="G16" s="8">
        <v>1</v>
      </c>
      <c r="H16" s="8"/>
      <c r="I16" s="115">
        <f>Table223[[#This Row],[Qty]]-Table223[[#This Row],[Issue Qty]]</f>
        <v>1</v>
      </c>
      <c r="J16" s="5">
        <v>7320</v>
      </c>
      <c r="K16" s="5">
        <f t="shared" si="0"/>
        <v>7320</v>
      </c>
      <c r="L16" s="11">
        <v>0</v>
      </c>
      <c r="M16" s="9">
        <f t="shared" si="1"/>
        <v>0</v>
      </c>
      <c r="N16" s="5"/>
      <c r="O16" s="5"/>
      <c r="P16" s="5">
        <f t="shared" si="2"/>
        <v>7320</v>
      </c>
      <c r="Q16" s="1" t="s">
        <v>20</v>
      </c>
      <c r="R16" s="1" t="s">
        <v>1690</v>
      </c>
      <c r="S16" s="1"/>
      <c r="T16" s="1"/>
      <c r="U16" s="1">
        <v>216</v>
      </c>
      <c r="V16" s="2"/>
      <c r="W16" s="21" t="s">
        <v>72</v>
      </c>
      <c r="X16" s="21" t="s">
        <v>73</v>
      </c>
      <c r="Y16" s="21"/>
      <c r="Z16" s="12"/>
      <c r="AA16" s="2"/>
      <c r="AB16" s="23"/>
      <c r="AC16" s="2"/>
      <c r="AD16" s="2"/>
    </row>
    <row r="17" spans="1:30" s="24" customFormat="1" x14ac:dyDescent="0.25">
      <c r="A17" s="4"/>
      <c r="B17" s="4">
        <v>44818</v>
      </c>
      <c r="C17" s="6" t="s">
        <v>1683</v>
      </c>
      <c r="D17" s="6" t="s">
        <v>37</v>
      </c>
      <c r="E17" s="1" t="s">
        <v>74</v>
      </c>
      <c r="F17" s="1" t="s">
        <v>74</v>
      </c>
      <c r="G17" s="8">
        <v>1</v>
      </c>
      <c r="H17" s="8"/>
      <c r="I17" s="115">
        <f>Table223[[#This Row],[Qty]]-Table223[[#This Row],[Issue Qty]]</f>
        <v>1</v>
      </c>
      <c r="J17" s="5">
        <v>8774</v>
      </c>
      <c r="K17" s="5">
        <f t="shared" si="0"/>
        <v>8774</v>
      </c>
      <c r="L17" s="11"/>
      <c r="M17" s="9">
        <f t="shared" si="1"/>
        <v>0</v>
      </c>
      <c r="N17" s="5"/>
      <c r="O17" s="5"/>
      <c r="P17" s="5">
        <f t="shared" si="2"/>
        <v>8774</v>
      </c>
      <c r="Q17" s="1" t="s">
        <v>20</v>
      </c>
      <c r="R17" s="1" t="s">
        <v>1690</v>
      </c>
      <c r="S17" s="1" t="s">
        <v>56</v>
      </c>
      <c r="T17" s="1" t="s">
        <v>1706</v>
      </c>
      <c r="U17" s="1">
        <v>222</v>
      </c>
      <c r="V17" s="2"/>
      <c r="W17" s="21" t="s">
        <v>37</v>
      </c>
      <c r="X17" s="21" t="s">
        <v>37</v>
      </c>
      <c r="Y17" s="21"/>
      <c r="Z17" s="12"/>
      <c r="AA17" s="2"/>
      <c r="AB17" s="23"/>
      <c r="AC17" s="2"/>
      <c r="AD17" s="2"/>
    </row>
    <row r="18" spans="1:30" s="25" customFormat="1" ht="30" x14ac:dyDescent="0.25">
      <c r="A18" s="4"/>
      <c r="B18" s="4">
        <v>44879</v>
      </c>
      <c r="C18" s="6" t="s">
        <v>1683</v>
      </c>
      <c r="D18" s="6" t="s">
        <v>1691</v>
      </c>
      <c r="E18" s="6" t="s">
        <v>30</v>
      </c>
      <c r="F18" s="1" t="s">
        <v>75</v>
      </c>
      <c r="G18" s="8">
        <v>2</v>
      </c>
      <c r="H18" s="8"/>
      <c r="I18" s="115">
        <f>Table223[[#This Row],[Qty]]-Table223[[#This Row],[Issue Qty]]</f>
        <v>2</v>
      </c>
      <c r="J18" s="5">
        <f>995/5</f>
        <v>199</v>
      </c>
      <c r="K18" s="5">
        <f t="shared" si="0"/>
        <v>398</v>
      </c>
      <c r="L18" s="11">
        <v>0.18</v>
      </c>
      <c r="M18" s="9">
        <f t="shared" si="1"/>
        <v>71.64</v>
      </c>
      <c r="N18" s="5"/>
      <c r="O18" s="5"/>
      <c r="P18" s="5">
        <f t="shared" si="2"/>
        <v>469.64</v>
      </c>
      <c r="Q18" s="1" t="s">
        <v>76</v>
      </c>
      <c r="R18" s="1" t="s">
        <v>1703</v>
      </c>
      <c r="S18" s="1"/>
      <c r="T18" s="1"/>
      <c r="U18" s="1">
        <v>249</v>
      </c>
      <c r="V18" s="2"/>
      <c r="W18" s="8" t="s">
        <v>33</v>
      </c>
      <c r="X18" s="8" t="s">
        <v>34</v>
      </c>
      <c r="Y18" s="21"/>
      <c r="Z18" s="12"/>
      <c r="AA18" s="2" t="s">
        <v>49</v>
      </c>
      <c r="AB18" s="23"/>
      <c r="AC18" s="2"/>
      <c r="AD18" s="1"/>
    </row>
    <row r="19" spans="1:30" s="24" customFormat="1" ht="30" x14ac:dyDescent="0.25">
      <c r="A19" s="4"/>
      <c r="B19" s="4">
        <v>44880</v>
      </c>
      <c r="C19" s="6" t="s">
        <v>1683</v>
      </c>
      <c r="D19" s="6" t="s">
        <v>1707</v>
      </c>
      <c r="E19" s="6" t="s">
        <v>77</v>
      </c>
      <c r="F19" s="1" t="s">
        <v>77</v>
      </c>
      <c r="G19" s="8">
        <v>1</v>
      </c>
      <c r="H19" s="8"/>
      <c r="I19" s="115">
        <f>Table223[[#This Row],[Qty]]-Table223[[#This Row],[Issue Qty]]</f>
        <v>1</v>
      </c>
      <c r="J19" s="5">
        <v>1099</v>
      </c>
      <c r="K19" s="5">
        <f t="shared" si="0"/>
        <v>1099</v>
      </c>
      <c r="L19" s="11">
        <v>0</v>
      </c>
      <c r="M19" s="9">
        <f t="shared" si="1"/>
        <v>0</v>
      </c>
      <c r="N19" s="5"/>
      <c r="O19" s="5"/>
      <c r="P19" s="5">
        <f t="shared" si="2"/>
        <v>1099</v>
      </c>
      <c r="Q19" s="1" t="s">
        <v>76</v>
      </c>
      <c r="R19" s="1" t="s">
        <v>1703</v>
      </c>
      <c r="S19" s="1"/>
      <c r="T19" s="1"/>
      <c r="U19" s="1"/>
      <c r="V19" s="1"/>
      <c r="W19" s="21" t="s">
        <v>78</v>
      </c>
      <c r="X19" s="21" t="s">
        <v>79</v>
      </c>
      <c r="Y19" s="8"/>
      <c r="Z19" s="22"/>
      <c r="AA19" s="1"/>
      <c r="AB19" s="23"/>
      <c r="AC19" s="1">
        <v>248</v>
      </c>
      <c r="AD19" s="2"/>
    </row>
    <row r="20" spans="1:30" s="24" customFormat="1" x14ac:dyDescent="0.25">
      <c r="A20" s="4"/>
      <c r="B20" s="4">
        <v>44881</v>
      </c>
      <c r="C20" s="6" t="s">
        <v>1683</v>
      </c>
      <c r="D20" s="6" t="s">
        <v>37</v>
      </c>
      <c r="E20" s="1" t="s">
        <v>80</v>
      </c>
      <c r="F20" s="1" t="s">
        <v>80</v>
      </c>
      <c r="G20" s="8">
        <v>1</v>
      </c>
      <c r="H20" s="8">
        <v>1</v>
      </c>
      <c r="I20" s="115">
        <f>Table223[[#This Row],[Qty]]-Table223[[#This Row],[Issue Qty]]</f>
        <v>0</v>
      </c>
      <c r="J20" s="5">
        <v>8745.52</v>
      </c>
      <c r="K20" s="5">
        <f t="shared" si="0"/>
        <v>8745.52</v>
      </c>
      <c r="L20" s="11">
        <v>0</v>
      </c>
      <c r="M20" s="9">
        <f t="shared" si="1"/>
        <v>0</v>
      </c>
      <c r="N20" s="5"/>
      <c r="O20" s="5"/>
      <c r="P20" s="5">
        <f t="shared" si="2"/>
        <v>8745.52</v>
      </c>
      <c r="Q20" s="1" t="s">
        <v>76</v>
      </c>
      <c r="R20" s="1" t="s">
        <v>37</v>
      </c>
      <c r="S20" s="1"/>
      <c r="T20" s="1"/>
      <c r="U20" s="1">
        <v>252</v>
      </c>
      <c r="V20" s="2"/>
      <c r="W20" s="21"/>
      <c r="X20" s="21"/>
      <c r="Y20" s="21">
        <v>1</v>
      </c>
      <c r="Z20" s="12" t="s">
        <v>81</v>
      </c>
      <c r="AA20" s="2"/>
      <c r="AB20" s="23"/>
      <c r="AC20" s="2"/>
      <c r="AD20" s="2"/>
    </row>
    <row r="21" spans="1:30" s="24" customFormat="1" ht="30" x14ac:dyDescent="0.25">
      <c r="A21" s="4"/>
      <c r="B21" s="4">
        <v>44884</v>
      </c>
      <c r="C21" s="6" t="s">
        <v>1683</v>
      </c>
      <c r="D21" s="6" t="s">
        <v>1708</v>
      </c>
      <c r="E21" s="6" t="s">
        <v>82</v>
      </c>
      <c r="F21" s="1" t="s">
        <v>83</v>
      </c>
      <c r="G21" s="8">
        <v>2</v>
      </c>
      <c r="H21" s="8"/>
      <c r="I21" s="115">
        <f>Table223[[#This Row],[Qty]]-Table223[[#This Row],[Issue Qty]]</f>
        <v>2</v>
      </c>
      <c r="J21" s="5">
        <f>398/G21</f>
        <v>199</v>
      </c>
      <c r="K21" s="5">
        <f t="shared" si="0"/>
        <v>398</v>
      </c>
      <c r="L21" s="11">
        <v>0</v>
      </c>
      <c r="M21" s="9">
        <f t="shared" si="1"/>
        <v>0</v>
      </c>
      <c r="N21" s="5"/>
      <c r="O21" s="5"/>
      <c r="P21" s="5">
        <f t="shared" si="2"/>
        <v>398</v>
      </c>
      <c r="Q21" s="1" t="s">
        <v>76</v>
      </c>
      <c r="R21" s="1" t="s">
        <v>1709</v>
      </c>
      <c r="S21" s="1"/>
      <c r="T21" s="1"/>
      <c r="U21" s="1"/>
      <c r="V21" s="1"/>
      <c r="W21" s="21" t="s">
        <v>33</v>
      </c>
      <c r="X21" s="21" t="s">
        <v>34</v>
      </c>
      <c r="Y21" s="8"/>
      <c r="Z21" s="22"/>
      <c r="AA21" s="1"/>
      <c r="AB21" s="23"/>
      <c r="AC21" s="1">
        <v>266</v>
      </c>
      <c r="AD21" s="2"/>
    </row>
    <row r="22" spans="1:30" s="24" customFormat="1" ht="30" x14ac:dyDescent="0.25">
      <c r="A22" s="4"/>
      <c r="B22" s="4">
        <v>44884</v>
      </c>
      <c r="C22" s="6" t="s">
        <v>1683</v>
      </c>
      <c r="D22" s="6" t="s">
        <v>1708</v>
      </c>
      <c r="E22" s="6" t="s">
        <v>82</v>
      </c>
      <c r="F22" s="1" t="s">
        <v>84</v>
      </c>
      <c r="G22" s="8">
        <v>1</v>
      </c>
      <c r="H22" s="8"/>
      <c r="I22" s="115">
        <f>Table223[[#This Row],[Qty]]-Table223[[#This Row],[Issue Qty]]</f>
        <v>1</v>
      </c>
      <c r="J22" s="5">
        <v>199</v>
      </c>
      <c r="K22" s="5">
        <f t="shared" si="0"/>
        <v>199</v>
      </c>
      <c r="L22" s="11">
        <v>0</v>
      </c>
      <c r="M22" s="9">
        <f t="shared" si="1"/>
        <v>0</v>
      </c>
      <c r="N22" s="5"/>
      <c r="O22" s="5"/>
      <c r="P22" s="5">
        <f t="shared" si="2"/>
        <v>199</v>
      </c>
      <c r="Q22" s="1" t="s">
        <v>76</v>
      </c>
      <c r="R22" s="1" t="s">
        <v>1703</v>
      </c>
      <c r="S22" s="1"/>
      <c r="T22" s="1"/>
      <c r="U22" s="1"/>
      <c r="V22" s="1"/>
      <c r="W22" s="21" t="s">
        <v>33</v>
      </c>
      <c r="X22" s="21" t="s">
        <v>34</v>
      </c>
      <c r="Y22" s="8"/>
      <c r="Z22" s="22"/>
      <c r="AA22" s="1"/>
      <c r="AB22" s="23"/>
      <c r="AC22" s="1">
        <v>266</v>
      </c>
      <c r="AD22" s="2"/>
    </row>
    <row r="23" spans="1:30" s="24" customFormat="1" x14ac:dyDescent="0.25">
      <c r="A23" s="4"/>
      <c r="B23" s="4">
        <v>44886</v>
      </c>
      <c r="C23" s="6" t="s">
        <v>1683</v>
      </c>
      <c r="D23" s="6" t="s">
        <v>1710</v>
      </c>
      <c r="E23" s="6" t="s">
        <v>85</v>
      </c>
      <c r="F23" s="1" t="s">
        <v>85</v>
      </c>
      <c r="G23" s="8">
        <v>4</v>
      </c>
      <c r="H23" s="8"/>
      <c r="I23" s="115">
        <f>Table223[[#This Row],[Qty]]-Table223[[#This Row],[Issue Qty]]</f>
        <v>4</v>
      </c>
      <c r="J23" s="5">
        <v>1146.172</v>
      </c>
      <c r="K23" s="5">
        <f t="shared" si="0"/>
        <v>4584.6880000000001</v>
      </c>
      <c r="L23" s="11">
        <v>0</v>
      </c>
      <c r="M23" s="9">
        <f t="shared" si="1"/>
        <v>0</v>
      </c>
      <c r="N23" s="5"/>
      <c r="O23" s="5">
        <v>0.31</v>
      </c>
      <c r="P23" s="5">
        <f t="shared" si="2"/>
        <v>4584.9980000000005</v>
      </c>
      <c r="Q23" s="1" t="s">
        <v>76</v>
      </c>
      <c r="R23" s="1" t="s">
        <v>1703</v>
      </c>
      <c r="S23" s="1"/>
      <c r="T23" s="1"/>
      <c r="U23" s="1"/>
      <c r="V23" s="1"/>
      <c r="W23" s="21" t="s">
        <v>64</v>
      </c>
      <c r="X23" s="21" t="s">
        <v>65</v>
      </c>
      <c r="Y23" s="8"/>
      <c r="Z23" s="22"/>
      <c r="AA23" s="1"/>
      <c r="AB23" s="23"/>
      <c r="AC23" s="1">
        <v>267</v>
      </c>
      <c r="AD23" s="2"/>
    </row>
    <row r="24" spans="1:30" s="24" customFormat="1" ht="30" x14ac:dyDescent="0.25">
      <c r="A24" s="4"/>
      <c r="B24" s="4">
        <v>44921</v>
      </c>
      <c r="C24" s="6" t="s">
        <v>1693</v>
      </c>
      <c r="D24" s="6" t="s">
        <v>1711</v>
      </c>
      <c r="E24" s="6" t="s">
        <v>86</v>
      </c>
      <c r="F24" s="1" t="s">
        <v>87</v>
      </c>
      <c r="G24" s="8">
        <v>2</v>
      </c>
      <c r="H24" s="8">
        <v>2</v>
      </c>
      <c r="I24" s="115">
        <f>Table223[[#This Row],[Qty]]-Table223[[#This Row],[Issue Qty]]</f>
        <v>0</v>
      </c>
      <c r="J24" s="5">
        <f>5084.74/2</f>
        <v>2542.37</v>
      </c>
      <c r="K24" s="5">
        <f t="shared" si="0"/>
        <v>5084.74</v>
      </c>
      <c r="L24" s="11"/>
      <c r="M24" s="9">
        <f t="shared" si="1"/>
        <v>0</v>
      </c>
      <c r="N24" s="5"/>
      <c r="O24" s="5"/>
      <c r="P24" s="5">
        <f t="shared" si="2"/>
        <v>5084.74</v>
      </c>
      <c r="Q24" s="1" t="s">
        <v>88</v>
      </c>
      <c r="R24" s="1" t="s">
        <v>1703</v>
      </c>
      <c r="S24" s="1"/>
      <c r="T24" s="1"/>
      <c r="U24" s="1">
        <v>297</v>
      </c>
      <c r="V24" s="2"/>
      <c r="W24" s="21" t="s">
        <v>89</v>
      </c>
      <c r="X24" s="21" t="s">
        <v>90</v>
      </c>
      <c r="Y24" s="21">
        <v>2</v>
      </c>
      <c r="Z24" s="12" t="s">
        <v>2934</v>
      </c>
      <c r="AA24" s="2"/>
      <c r="AB24" s="23" t="s">
        <v>91</v>
      </c>
      <c r="AC24" s="2"/>
      <c r="AD24" s="2"/>
    </row>
    <row r="25" spans="1:30" s="24" customFormat="1" x14ac:dyDescent="0.25">
      <c r="A25" s="4"/>
      <c r="B25" s="4">
        <v>44921</v>
      </c>
      <c r="C25" s="6" t="s">
        <v>1693</v>
      </c>
      <c r="D25" s="6" t="s">
        <v>1712</v>
      </c>
      <c r="E25" s="6" t="s">
        <v>92</v>
      </c>
      <c r="F25" s="1" t="s">
        <v>93</v>
      </c>
      <c r="G25" s="8">
        <v>1</v>
      </c>
      <c r="H25" s="8"/>
      <c r="I25" s="115">
        <f>Table223[[#This Row],[Qty]]-Table223[[#This Row],[Issue Qty]]</f>
        <v>1</v>
      </c>
      <c r="J25" s="5">
        <v>3058</v>
      </c>
      <c r="K25" s="5">
        <f t="shared" si="0"/>
        <v>3058</v>
      </c>
      <c r="L25" s="11">
        <v>0</v>
      </c>
      <c r="M25" s="9">
        <f t="shared" si="1"/>
        <v>0</v>
      </c>
      <c r="N25" s="5"/>
      <c r="O25" s="5"/>
      <c r="P25" s="5">
        <f t="shared" si="2"/>
        <v>3058</v>
      </c>
      <c r="Q25" s="1" t="s">
        <v>88</v>
      </c>
      <c r="R25" s="1" t="s">
        <v>1703</v>
      </c>
      <c r="S25" s="1"/>
      <c r="T25" s="1"/>
      <c r="U25" s="1"/>
      <c r="V25" s="1"/>
      <c r="W25" s="21" t="s">
        <v>72</v>
      </c>
      <c r="X25" s="21" t="s">
        <v>94</v>
      </c>
      <c r="Y25" s="8"/>
      <c r="Z25" s="22"/>
      <c r="AA25" s="1"/>
      <c r="AB25" s="23" t="s">
        <v>95</v>
      </c>
      <c r="AC25" s="1">
        <v>303</v>
      </c>
      <c r="AD25" s="2"/>
    </row>
    <row r="26" spans="1:30" s="24" customFormat="1" ht="30" x14ac:dyDescent="0.25">
      <c r="A26" s="4"/>
      <c r="B26" s="4">
        <v>44921</v>
      </c>
      <c r="C26" s="6" t="s">
        <v>1693</v>
      </c>
      <c r="D26" s="6" t="s">
        <v>1713</v>
      </c>
      <c r="E26" s="6" t="s">
        <v>96</v>
      </c>
      <c r="F26" s="1" t="s">
        <v>93</v>
      </c>
      <c r="G26" s="8">
        <v>1</v>
      </c>
      <c r="H26" s="8"/>
      <c r="I26" s="115">
        <f>Table223[[#This Row],[Qty]]-Table223[[#This Row],[Issue Qty]]</f>
        <v>1</v>
      </c>
      <c r="J26" s="5">
        <v>8143.13</v>
      </c>
      <c r="K26" s="5">
        <f t="shared" si="0"/>
        <v>8143.13</v>
      </c>
      <c r="L26" s="11">
        <v>0</v>
      </c>
      <c r="M26" s="9">
        <f t="shared" si="1"/>
        <v>0</v>
      </c>
      <c r="N26" s="5"/>
      <c r="O26" s="5"/>
      <c r="P26" s="5">
        <f t="shared" si="2"/>
        <v>8143.13</v>
      </c>
      <c r="Q26" s="1" t="s">
        <v>88</v>
      </c>
      <c r="R26" s="1" t="s">
        <v>1703</v>
      </c>
      <c r="S26" s="1"/>
      <c r="T26" s="1"/>
      <c r="U26" s="1"/>
      <c r="V26" s="1"/>
      <c r="W26" s="21" t="s">
        <v>72</v>
      </c>
      <c r="X26" s="21" t="s">
        <v>94</v>
      </c>
      <c r="Y26" s="8"/>
      <c r="Z26" s="22"/>
      <c r="AA26" s="1"/>
      <c r="AB26" s="23" t="s">
        <v>93</v>
      </c>
      <c r="AC26" s="1">
        <v>303</v>
      </c>
      <c r="AD26" s="2"/>
    </row>
    <row r="27" spans="1:30" s="24" customFormat="1" x14ac:dyDescent="0.25">
      <c r="A27" s="4"/>
      <c r="B27" s="4">
        <v>44950</v>
      </c>
      <c r="C27" s="6" t="s">
        <v>1695</v>
      </c>
      <c r="D27" s="6" t="s">
        <v>1714</v>
      </c>
      <c r="E27" s="6" t="s">
        <v>97</v>
      </c>
      <c r="F27" s="1" t="s">
        <v>97</v>
      </c>
      <c r="G27" s="8">
        <v>1</v>
      </c>
      <c r="H27" s="8"/>
      <c r="I27" s="115">
        <f>Table223[[#This Row],[Qty]]-Table223[[#This Row],[Issue Qty]]</f>
        <v>1</v>
      </c>
      <c r="J27" s="5">
        <v>20894.490000000002</v>
      </c>
      <c r="K27" s="5">
        <f t="shared" si="0"/>
        <v>20894.490000000002</v>
      </c>
      <c r="L27" s="11">
        <v>0</v>
      </c>
      <c r="M27" s="9">
        <f t="shared" si="1"/>
        <v>0</v>
      </c>
      <c r="N27" s="5"/>
      <c r="O27" s="5"/>
      <c r="P27" s="5">
        <f t="shared" si="2"/>
        <v>20894.490000000002</v>
      </c>
      <c r="Q27" s="1" t="s">
        <v>88</v>
      </c>
      <c r="R27" s="1" t="s">
        <v>1703</v>
      </c>
      <c r="S27" s="1"/>
      <c r="T27" s="1"/>
      <c r="U27" s="1"/>
      <c r="V27" s="1"/>
      <c r="W27" s="21" t="s">
        <v>98</v>
      </c>
      <c r="X27" s="21" t="s">
        <v>99</v>
      </c>
      <c r="Y27" s="8"/>
      <c r="Z27" s="22"/>
      <c r="AA27" s="1"/>
      <c r="AB27" s="23" t="s">
        <v>97</v>
      </c>
      <c r="AC27" s="1">
        <v>329</v>
      </c>
      <c r="AD27" s="2"/>
    </row>
    <row r="28" spans="1:30" s="24" customFormat="1" x14ac:dyDescent="0.25">
      <c r="A28" s="4"/>
      <c r="B28" s="4">
        <v>44958</v>
      </c>
      <c r="C28" s="6" t="s">
        <v>1693</v>
      </c>
      <c r="D28" s="6" t="s">
        <v>1715</v>
      </c>
      <c r="E28" s="6" t="s">
        <v>100</v>
      </c>
      <c r="F28" s="1" t="s">
        <v>101</v>
      </c>
      <c r="G28" s="8">
        <v>1</v>
      </c>
      <c r="H28" s="8"/>
      <c r="I28" s="115">
        <f>Table223[[#This Row],[Qty]]-Table223[[#This Row],[Issue Qty]]</f>
        <v>1</v>
      </c>
      <c r="J28" s="5">
        <v>309</v>
      </c>
      <c r="K28" s="5">
        <f t="shared" si="0"/>
        <v>309</v>
      </c>
      <c r="L28" s="11">
        <v>0</v>
      </c>
      <c r="M28" s="9">
        <f t="shared" si="1"/>
        <v>0</v>
      </c>
      <c r="N28" s="5"/>
      <c r="O28" s="5"/>
      <c r="P28" s="5">
        <f t="shared" si="2"/>
        <v>309</v>
      </c>
      <c r="Q28" s="1" t="s">
        <v>20</v>
      </c>
      <c r="R28" s="1" t="s">
        <v>37</v>
      </c>
      <c r="S28" s="1"/>
      <c r="T28" s="1"/>
      <c r="U28" s="1"/>
      <c r="V28" s="1"/>
      <c r="W28" s="21" t="s">
        <v>52</v>
      </c>
      <c r="X28" s="21" t="s">
        <v>53</v>
      </c>
      <c r="Y28" s="8"/>
      <c r="Z28" s="22"/>
      <c r="AA28" s="1"/>
      <c r="AB28" s="23"/>
      <c r="AC28" s="1">
        <v>260</v>
      </c>
      <c r="AD28" s="2"/>
    </row>
    <row r="29" spans="1:30" s="24" customFormat="1" x14ac:dyDescent="0.25">
      <c r="A29" s="4"/>
      <c r="B29" s="4">
        <v>44958</v>
      </c>
      <c r="C29" s="6" t="s">
        <v>1693</v>
      </c>
      <c r="D29" s="6" t="s">
        <v>1716</v>
      </c>
      <c r="E29" s="6" t="s">
        <v>102</v>
      </c>
      <c r="F29" s="1" t="s">
        <v>102</v>
      </c>
      <c r="G29" s="8">
        <v>2</v>
      </c>
      <c r="H29" s="8"/>
      <c r="I29" s="115">
        <f>Table223[[#This Row],[Qty]]-Table223[[#This Row],[Issue Qty]]</f>
        <v>2</v>
      </c>
      <c r="J29" s="5">
        <v>15.3</v>
      </c>
      <c r="K29" s="5">
        <f t="shared" si="0"/>
        <v>30.6</v>
      </c>
      <c r="L29" s="11">
        <v>0.18</v>
      </c>
      <c r="M29" s="9">
        <f t="shared" si="1"/>
        <v>5.508</v>
      </c>
      <c r="N29" s="5"/>
      <c r="O29" s="5"/>
      <c r="P29" s="5">
        <f t="shared" si="2"/>
        <v>36.108000000000004</v>
      </c>
      <c r="Q29" s="1" t="s">
        <v>20</v>
      </c>
      <c r="R29" s="1" t="s">
        <v>37</v>
      </c>
      <c r="S29" s="1"/>
      <c r="T29" s="1"/>
      <c r="U29" s="1"/>
      <c r="V29" s="1"/>
      <c r="W29" s="8" t="s">
        <v>103</v>
      </c>
      <c r="X29" s="8" t="s">
        <v>104</v>
      </c>
      <c r="Y29" s="8"/>
      <c r="Z29" s="22"/>
      <c r="AA29" s="1"/>
      <c r="AB29" s="23"/>
      <c r="AC29" s="1">
        <v>261</v>
      </c>
      <c r="AD29" s="2"/>
    </row>
    <row r="30" spans="1:30" s="24" customFormat="1" x14ac:dyDescent="0.25">
      <c r="A30" s="4"/>
      <c r="B30" s="4">
        <v>44958</v>
      </c>
      <c r="C30" s="6" t="s">
        <v>1693</v>
      </c>
      <c r="D30" s="6" t="s">
        <v>1717</v>
      </c>
      <c r="E30" s="6" t="s">
        <v>105</v>
      </c>
      <c r="F30" s="3" t="s">
        <v>106</v>
      </c>
      <c r="G30" s="8">
        <v>1</v>
      </c>
      <c r="H30" s="8"/>
      <c r="I30" s="115">
        <f>Table223[[#This Row],[Qty]]-Table223[[#This Row],[Issue Qty]]</f>
        <v>1</v>
      </c>
      <c r="J30" s="5">
        <v>371.7</v>
      </c>
      <c r="K30" s="5">
        <f t="shared" si="0"/>
        <v>371.7</v>
      </c>
      <c r="L30" s="11">
        <v>0</v>
      </c>
      <c r="M30" s="9">
        <f t="shared" si="1"/>
        <v>0</v>
      </c>
      <c r="N30" s="5"/>
      <c r="O30" s="5"/>
      <c r="P30" s="5">
        <f t="shared" si="2"/>
        <v>371.7</v>
      </c>
      <c r="Q30" s="1" t="s">
        <v>20</v>
      </c>
      <c r="R30" s="1" t="s">
        <v>37</v>
      </c>
      <c r="S30" s="1"/>
      <c r="T30" s="1"/>
      <c r="U30" s="1"/>
      <c r="V30" s="1"/>
      <c r="W30" s="8" t="s">
        <v>107</v>
      </c>
      <c r="X30" s="8" t="s">
        <v>108</v>
      </c>
      <c r="Y30" s="8"/>
      <c r="Z30" s="22"/>
      <c r="AA30" s="1"/>
      <c r="AB30" s="23" t="s">
        <v>109</v>
      </c>
      <c r="AC30" s="1">
        <v>261</v>
      </c>
      <c r="AD30" s="2"/>
    </row>
    <row r="31" spans="1:30" s="24" customFormat="1" x14ac:dyDescent="0.25">
      <c r="A31" s="4"/>
      <c r="B31" s="4">
        <v>44958</v>
      </c>
      <c r="C31" s="6" t="s">
        <v>1693</v>
      </c>
      <c r="D31" s="6" t="s">
        <v>1718</v>
      </c>
      <c r="E31" s="6" t="s">
        <v>110</v>
      </c>
      <c r="F31" s="1" t="s">
        <v>111</v>
      </c>
      <c r="G31" s="8">
        <v>2</v>
      </c>
      <c r="H31" s="8">
        <v>2</v>
      </c>
      <c r="I31" s="115">
        <f>Table223[[#This Row],[Qty]]-Table223[[#This Row],[Issue Qty]]</f>
        <v>0</v>
      </c>
      <c r="J31" s="5">
        <v>295</v>
      </c>
      <c r="K31" s="5">
        <f t="shared" si="0"/>
        <v>590</v>
      </c>
      <c r="L31" s="11">
        <v>0</v>
      </c>
      <c r="M31" s="9">
        <f t="shared" si="1"/>
        <v>0</v>
      </c>
      <c r="N31" s="5"/>
      <c r="O31" s="5"/>
      <c r="P31" s="5">
        <f t="shared" si="2"/>
        <v>590</v>
      </c>
      <c r="Q31" s="1" t="s">
        <v>20</v>
      </c>
      <c r="R31" s="1" t="s">
        <v>37</v>
      </c>
      <c r="S31" s="1"/>
      <c r="T31" s="1"/>
      <c r="U31" s="1"/>
      <c r="V31" s="1"/>
      <c r="W31" s="21" t="s">
        <v>72</v>
      </c>
      <c r="X31" s="21" t="s">
        <v>94</v>
      </c>
      <c r="Y31" s="8">
        <v>2</v>
      </c>
      <c r="Z31" s="22" t="s">
        <v>81</v>
      </c>
      <c r="AA31" s="1"/>
      <c r="AB31" s="23"/>
      <c r="AC31" s="1">
        <v>260</v>
      </c>
      <c r="AD31" s="2"/>
    </row>
    <row r="32" spans="1:30" s="24" customFormat="1" x14ac:dyDescent="0.25">
      <c r="A32" s="4"/>
      <c r="B32" s="4">
        <v>44958</v>
      </c>
      <c r="C32" s="6" t="s">
        <v>1693</v>
      </c>
      <c r="D32" s="6" t="s">
        <v>1719</v>
      </c>
      <c r="E32" s="6" t="s">
        <v>112</v>
      </c>
      <c r="F32" s="1" t="s">
        <v>113</v>
      </c>
      <c r="G32" s="8">
        <v>1</v>
      </c>
      <c r="H32" s="8"/>
      <c r="I32" s="115">
        <f>Table223[[#This Row],[Qty]]-Table223[[#This Row],[Issue Qty]]</f>
        <v>1</v>
      </c>
      <c r="J32" s="5">
        <v>2699.1</v>
      </c>
      <c r="K32" s="5">
        <f t="shared" si="0"/>
        <v>2699.1</v>
      </c>
      <c r="L32" s="11">
        <v>0</v>
      </c>
      <c r="M32" s="9">
        <f t="shared" si="1"/>
        <v>0</v>
      </c>
      <c r="N32" s="5"/>
      <c r="O32" s="5"/>
      <c r="P32" s="5">
        <f t="shared" si="2"/>
        <v>2699.1</v>
      </c>
      <c r="Q32" s="1" t="s">
        <v>20</v>
      </c>
      <c r="R32" s="1" t="s">
        <v>37</v>
      </c>
      <c r="S32" s="1"/>
      <c r="T32" s="1"/>
      <c r="U32" s="1"/>
      <c r="V32" s="1"/>
      <c r="W32" s="21" t="s">
        <v>89</v>
      </c>
      <c r="X32" s="21" t="s">
        <v>114</v>
      </c>
      <c r="Y32" s="8">
        <v>1</v>
      </c>
      <c r="Z32" s="22" t="s">
        <v>1720</v>
      </c>
      <c r="AA32" s="1"/>
      <c r="AB32" s="23"/>
      <c r="AC32" s="1">
        <v>261</v>
      </c>
      <c r="AD32" s="2"/>
    </row>
    <row r="33" spans="1:30" s="24" customFormat="1" x14ac:dyDescent="0.25">
      <c r="A33" s="4"/>
      <c r="B33" s="4">
        <v>44958</v>
      </c>
      <c r="C33" s="6" t="s">
        <v>1683</v>
      </c>
      <c r="D33" s="6" t="s">
        <v>1721</v>
      </c>
      <c r="E33" s="170" t="s">
        <v>115</v>
      </c>
      <c r="F33" s="1" t="s">
        <v>116</v>
      </c>
      <c r="G33" s="8">
        <v>1</v>
      </c>
      <c r="H33" s="8">
        <v>1</v>
      </c>
      <c r="I33" s="115">
        <f>Table223[[#This Row],[Qty]]-Table223[[#This Row],[Issue Qty]]</f>
        <v>0</v>
      </c>
      <c r="J33" s="5">
        <v>499</v>
      </c>
      <c r="K33" s="5">
        <f t="shared" si="0"/>
        <v>499</v>
      </c>
      <c r="L33" s="11">
        <v>0</v>
      </c>
      <c r="M33" s="9">
        <f t="shared" si="1"/>
        <v>0</v>
      </c>
      <c r="N33" s="5"/>
      <c r="O33" s="5"/>
      <c r="P33" s="5">
        <f t="shared" si="2"/>
        <v>499</v>
      </c>
      <c r="Q33" s="1" t="s">
        <v>20</v>
      </c>
      <c r="R33" s="1" t="s">
        <v>37</v>
      </c>
      <c r="S33" s="1"/>
      <c r="T33" s="1"/>
      <c r="U33" s="1"/>
      <c r="V33" s="1"/>
      <c r="W33" s="21" t="s">
        <v>72</v>
      </c>
      <c r="X33" s="21" t="s">
        <v>117</v>
      </c>
      <c r="Y33" s="8">
        <v>1</v>
      </c>
      <c r="Z33" s="22" t="s">
        <v>474</v>
      </c>
      <c r="AA33" s="1"/>
      <c r="AB33" s="23"/>
      <c r="AC33" s="1">
        <v>260</v>
      </c>
      <c r="AD33" s="2"/>
    </row>
    <row r="34" spans="1:30" s="24" customFormat="1" ht="30" x14ac:dyDescent="0.25">
      <c r="A34" s="4"/>
      <c r="B34" s="4">
        <v>44958</v>
      </c>
      <c r="C34" s="6" t="s">
        <v>1695</v>
      </c>
      <c r="D34" s="6" t="s">
        <v>1722</v>
      </c>
      <c r="E34" s="6" t="s">
        <v>118</v>
      </c>
      <c r="F34" s="1" t="s">
        <v>119</v>
      </c>
      <c r="G34" s="8">
        <v>1</v>
      </c>
      <c r="H34" s="8"/>
      <c r="I34" s="115">
        <f>Table223[[#This Row],[Qty]]-Table223[[#This Row],[Issue Qty]]</f>
        <v>1</v>
      </c>
      <c r="J34" s="5">
        <v>4999</v>
      </c>
      <c r="K34" s="5">
        <f t="shared" si="0"/>
        <v>4999</v>
      </c>
      <c r="L34" s="11">
        <v>0</v>
      </c>
      <c r="M34" s="9">
        <f t="shared" si="1"/>
        <v>0</v>
      </c>
      <c r="N34" s="5"/>
      <c r="O34" s="5"/>
      <c r="P34" s="5">
        <f t="shared" si="2"/>
        <v>4999</v>
      </c>
      <c r="Q34" s="1" t="s">
        <v>20</v>
      </c>
      <c r="R34" s="1" t="s">
        <v>37</v>
      </c>
      <c r="S34" s="1"/>
      <c r="T34" s="1"/>
      <c r="U34" s="1"/>
      <c r="V34" s="1"/>
      <c r="W34" s="21" t="s">
        <v>98</v>
      </c>
      <c r="X34" s="21" t="s">
        <v>99</v>
      </c>
      <c r="Y34" s="8"/>
      <c r="Z34" s="22"/>
      <c r="AA34" s="1"/>
      <c r="AB34" s="23" t="s">
        <v>120</v>
      </c>
      <c r="AC34" s="1">
        <v>259</v>
      </c>
      <c r="AD34" s="2"/>
    </row>
    <row r="35" spans="1:30" s="24" customFormat="1" x14ac:dyDescent="0.25">
      <c r="A35" s="4"/>
      <c r="B35" s="4">
        <v>44958</v>
      </c>
      <c r="C35" s="6" t="s">
        <v>1683</v>
      </c>
      <c r="D35" s="6" t="s">
        <v>1723</v>
      </c>
      <c r="E35" s="6" t="s">
        <v>121</v>
      </c>
      <c r="F35" s="1" t="s">
        <v>122</v>
      </c>
      <c r="G35" s="8">
        <v>2</v>
      </c>
      <c r="H35" s="8"/>
      <c r="I35" s="115">
        <f>Table223[[#This Row],[Qty]]-Table223[[#This Row],[Issue Qty]]</f>
        <v>2</v>
      </c>
      <c r="J35" s="5">
        <f>17998.2/2</f>
        <v>8999.1</v>
      </c>
      <c r="K35" s="5">
        <f t="shared" si="0"/>
        <v>17998.2</v>
      </c>
      <c r="L35" s="11">
        <v>0</v>
      </c>
      <c r="M35" s="9">
        <f t="shared" si="1"/>
        <v>0</v>
      </c>
      <c r="N35" s="5"/>
      <c r="O35" s="5"/>
      <c r="P35" s="5">
        <f t="shared" si="2"/>
        <v>17998.2</v>
      </c>
      <c r="Q35" s="1" t="s">
        <v>20</v>
      </c>
      <c r="R35" s="1" t="s">
        <v>1685</v>
      </c>
      <c r="S35" s="1"/>
      <c r="T35" s="1"/>
      <c r="U35" s="1"/>
      <c r="V35" s="1"/>
      <c r="W35" s="21" t="s">
        <v>25</v>
      </c>
      <c r="X35" s="21" t="s">
        <v>26</v>
      </c>
      <c r="Y35" s="8"/>
      <c r="Z35" s="22"/>
      <c r="AA35" s="1"/>
      <c r="AB35" s="23"/>
      <c r="AC35" s="1" t="s">
        <v>37</v>
      </c>
      <c r="AD35" s="2"/>
    </row>
    <row r="36" spans="1:30" s="24" customFormat="1" x14ac:dyDescent="0.25">
      <c r="A36" s="4"/>
      <c r="B36" s="4">
        <v>44958</v>
      </c>
      <c r="C36" s="6" t="s">
        <v>1683</v>
      </c>
      <c r="D36" s="26" t="s">
        <v>1723</v>
      </c>
      <c r="E36" s="26" t="s">
        <v>121</v>
      </c>
      <c r="F36" s="1" t="s">
        <v>123</v>
      </c>
      <c r="G36" s="8">
        <v>1</v>
      </c>
      <c r="H36" s="8"/>
      <c r="I36" s="115">
        <f>Table223[[#This Row],[Qty]]-Table223[[#This Row],[Issue Qty]]</f>
        <v>1</v>
      </c>
      <c r="J36" s="5">
        <v>9899</v>
      </c>
      <c r="K36" s="5">
        <f t="shared" si="0"/>
        <v>9899</v>
      </c>
      <c r="L36" s="11">
        <v>0</v>
      </c>
      <c r="M36" s="9">
        <f t="shared" si="1"/>
        <v>0</v>
      </c>
      <c r="N36" s="5"/>
      <c r="O36" s="5"/>
      <c r="P36" s="5">
        <f t="shared" si="2"/>
        <v>9899</v>
      </c>
      <c r="Q36" s="1" t="s">
        <v>20</v>
      </c>
      <c r="R36" s="1" t="s">
        <v>1685</v>
      </c>
      <c r="S36" s="1"/>
      <c r="T36" s="1"/>
      <c r="U36" s="1">
        <v>260</v>
      </c>
      <c r="V36" s="27"/>
      <c r="W36" s="21" t="s">
        <v>25</v>
      </c>
      <c r="X36" s="21" t="s">
        <v>26</v>
      </c>
      <c r="Y36" s="21"/>
      <c r="Z36" s="12"/>
      <c r="AA36" s="27"/>
      <c r="AB36" s="23"/>
      <c r="AC36" s="27"/>
      <c r="AD36" s="2"/>
    </row>
    <row r="37" spans="1:30" s="24" customFormat="1" x14ac:dyDescent="0.25">
      <c r="A37" s="4"/>
      <c r="B37" s="4">
        <v>44958</v>
      </c>
      <c r="C37" s="6" t="s">
        <v>1683</v>
      </c>
      <c r="D37" s="6" t="s">
        <v>1724</v>
      </c>
      <c r="E37" s="6" t="s">
        <v>124</v>
      </c>
      <c r="F37" s="1" t="s">
        <v>125</v>
      </c>
      <c r="G37" s="8">
        <v>3</v>
      </c>
      <c r="H37" s="8"/>
      <c r="I37" s="115">
        <f>Table223[[#This Row],[Qty]]-Table223[[#This Row],[Issue Qty]]</f>
        <v>3</v>
      </c>
      <c r="J37" s="5">
        <f>57598.2/2</f>
        <v>28799.1</v>
      </c>
      <c r="K37" s="5">
        <f t="shared" si="0"/>
        <v>86397.299999999988</v>
      </c>
      <c r="L37" s="11">
        <v>0</v>
      </c>
      <c r="M37" s="9">
        <f t="shared" si="1"/>
        <v>0</v>
      </c>
      <c r="N37" s="5"/>
      <c r="O37" s="5"/>
      <c r="P37" s="5">
        <f t="shared" si="2"/>
        <v>86397.299999999988</v>
      </c>
      <c r="Q37" s="1" t="s">
        <v>20</v>
      </c>
      <c r="R37" s="1" t="s">
        <v>1685</v>
      </c>
      <c r="S37" s="1"/>
      <c r="T37" s="1"/>
      <c r="U37" s="1"/>
      <c r="V37" s="1"/>
      <c r="W37" s="8" t="s">
        <v>126</v>
      </c>
      <c r="X37" s="8"/>
      <c r="Y37" s="8"/>
      <c r="Z37" s="22"/>
      <c r="AA37" s="1"/>
      <c r="AB37" s="23" t="s">
        <v>125</v>
      </c>
      <c r="AC37" s="1" t="s">
        <v>37</v>
      </c>
      <c r="AD37" s="2"/>
    </row>
    <row r="38" spans="1:30" s="24" customFormat="1" ht="30" x14ac:dyDescent="0.25">
      <c r="A38" s="4"/>
      <c r="B38" s="4">
        <v>44958</v>
      </c>
      <c r="C38" s="6" t="s">
        <v>1693</v>
      </c>
      <c r="D38" s="26" t="s">
        <v>1725</v>
      </c>
      <c r="E38" s="26" t="s">
        <v>127</v>
      </c>
      <c r="F38" s="1" t="s">
        <v>128</v>
      </c>
      <c r="G38" s="8">
        <v>1</v>
      </c>
      <c r="H38" s="8"/>
      <c r="I38" s="115">
        <f>Table223[[#This Row],[Qty]]-Table223[[#This Row],[Issue Qty]]</f>
        <v>1</v>
      </c>
      <c r="J38" s="5">
        <v>3644</v>
      </c>
      <c r="K38" s="5">
        <f t="shared" si="0"/>
        <v>3644</v>
      </c>
      <c r="L38" s="11">
        <v>0</v>
      </c>
      <c r="M38" s="9">
        <f t="shared" si="1"/>
        <v>0</v>
      </c>
      <c r="N38" s="5"/>
      <c r="O38" s="5"/>
      <c r="P38" s="5">
        <f t="shared" si="2"/>
        <v>3644</v>
      </c>
      <c r="Q38" s="1" t="s">
        <v>20</v>
      </c>
      <c r="R38" s="1" t="s">
        <v>37</v>
      </c>
      <c r="S38" s="1"/>
      <c r="T38" s="1"/>
      <c r="U38" s="1"/>
      <c r="V38" s="1"/>
      <c r="W38" s="21" t="s">
        <v>107</v>
      </c>
      <c r="X38" s="21" t="s">
        <v>129</v>
      </c>
      <c r="Y38" s="8"/>
      <c r="Z38" s="22"/>
      <c r="AA38" s="1"/>
      <c r="AB38" s="23"/>
      <c r="AC38" s="1">
        <v>260</v>
      </c>
      <c r="AD38" s="2"/>
    </row>
    <row r="39" spans="1:30" s="24" customFormat="1" x14ac:dyDescent="0.25">
      <c r="A39" s="4"/>
      <c r="B39" s="4">
        <v>44958</v>
      </c>
      <c r="C39" s="6" t="s">
        <v>1695</v>
      </c>
      <c r="D39" s="6" t="s">
        <v>1726</v>
      </c>
      <c r="E39" s="6" t="s">
        <v>130</v>
      </c>
      <c r="F39" s="1" t="s">
        <v>131</v>
      </c>
      <c r="G39" s="8">
        <v>1</v>
      </c>
      <c r="H39" s="8"/>
      <c r="I39" s="115">
        <f>Table223[[#This Row],[Qty]]-Table223[[#This Row],[Issue Qty]]</f>
        <v>1</v>
      </c>
      <c r="J39" s="5">
        <f>124770.51+17992.22</f>
        <v>142762.72999999998</v>
      </c>
      <c r="K39" s="5">
        <f t="shared" si="0"/>
        <v>142762.72999999998</v>
      </c>
      <c r="L39" s="11">
        <v>0</v>
      </c>
      <c r="M39" s="9">
        <f t="shared" si="1"/>
        <v>0</v>
      </c>
      <c r="N39" s="5"/>
      <c r="O39" s="5"/>
      <c r="P39" s="5">
        <f t="shared" si="2"/>
        <v>142762.72999999998</v>
      </c>
      <c r="Q39" s="1" t="s">
        <v>20</v>
      </c>
      <c r="R39" s="1" t="s">
        <v>1690</v>
      </c>
      <c r="S39" s="1" t="s">
        <v>132</v>
      </c>
      <c r="T39" s="1"/>
      <c r="U39" s="1"/>
      <c r="V39" s="1"/>
      <c r="W39" s="8" t="s">
        <v>133</v>
      </c>
      <c r="X39" s="8"/>
      <c r="Y39" s="8"/>
      <c r="Z39" s="22"/>
      <c r="AA39" s="1"/>
      <c r="AB39" s="23" t="s">
        <v>134</v>
      </c>
      <c r="AC39" s="1" t="s">
        <v>37</v>
      </c>
      <c r="AD39" s="2"/>
    </row>
    <row r="40" spans="1:30" s="24" customFormat="1" x14ac:dyDescent="0.25">
      <c r="A40" s="4"/>
      <c r="B40" s="4">
        <v>44958</v>
      </c>
      <c r="C40" s="6" t="s">
        <v>1693</v>
      </c>
      <c r="D40" s="26" t="s">
        <v>1727</v>
      </c>
      <c r="E40" s="26" t="s">
        <v>135</v>
      </c>
      <c r="F40" s="1" t="s">
        <v>136</v>
      </c>
      <c r="G40" s="8">
        <v>2</v>
      </c>
      <c r="H40" s="8"/>
      <c r="I40" s="115">
        <f>Table223[[#This Row],[Qty]]-Table223[[#This Row],[Issue Qty]]</f>
        <v>2</v>
      </c>
      <c r="J40" s="5">
        <f>3299/2</f>
        <v>1649.5</v>
      </c>
      <c r="K40" s="5">
        <f t="shared" si="0"/>
        <v>3299</v>
      </c>
      <c r="L40" s="11">
        <v>0</v>
      </c>
      <c r="M40" s="9">
        <f t="shared" si="1"/>
        <v>0</v>
      </c>
      <c r="N40" s="5"/>
      <c r="O40" s="5"/>
      <c r="P40" s="5">
        <f t="shared" si="2"/>
        <v>3299</v>
      </c>
      <c r="Q40" s="1" t="s">
        <v>20</v>
      </c>
      <c r="R40" s="1" t="s">
        <v>37</v>
      </c>
      <c r="S40" s="1"/>
      <c r="T40" s="1"/>
      <c r="U40" s="1"/>
      <c r="V40" s="1"/>
      <c r="W40" s="21" t="s">
        <v>29</v>
      </c>
      <c r="X40" s="8"/>
      <c r="Y40" s="8"/>
      <c r="Z40" s="22"/>
      <c r="AA40" s="1"/>
      <c r="AB40" s="23"/>
      <c r="AC40" s="1">
        <v>260</v>
      </c>
      <c r="AD40" s="2"/>
    </row>
    <row r="41" spans="1:30" s="24" customFormat="1" x14ac:dyDescent="0.25">
      <c r="A41" s="4"/>
      <c r="B41" s="4">
        <v>44958</v>
      </c>
      <c r="C41" s="6" t="s">
        <v>1693</v>
      </c>
      <c r="D41" s="26" t="s">
        <v>1728</v>
      </c>
      <c r="E41" s="26" t="s">
        <v>137</v>
      </c>
      <c r="F41" s="1" t="s">
        <v>138</v>
      </c>
      <c r="G41" s="8">
        <v>1</v>
      </c>
      <c r="H41" s="8"/>
      <c r="I41" s="115">
        <f>Table223[[#This Row],[Qty]]-Table223[[#This Row],[Issue Qty]]</f>
        <v>1</v>
      </c>
      <c r="J41" s="5">
        <v>3299</v>
      </c>
      <c r="K41" s="5">
        <f t="shared" si="0"/>
        <v>3299</v>
      </c>
      <c r="L41" s="11">
        <v>0</v>
      </c>
      <c r="M41" s="9">
        <f t="shared" si="1"/>
        <v>0</v>
      </c>
      <c r="N41" s="5"/>
      <c r="O41" s="5"/>
      <c r="P41" s="5">
        <f t="shared" si="2"/>
        <v>3299</v>
      </c>
      <c r="Q41" s="1" t="s">
        <v>20</v>
      </c>
      <c r="R41" s="1" t="s">
        <v>37</v>
      </c>
      <c r="S41" s="1"/>
      <c r="T41" s="1"/>
      <c r="U41" s="1"/>
      <c r="V41" s="1"/>
      <c r="W41" s="21" t="s">
        <v>29</v>
      </c>
      <c r="X41" s="8"/>
      <c r="Y41" s="8"/>
      <c r="Z41" s="22"/>
      <c r="AA41" s="1"/>
      <c r="AB41" s="23"/>
      <c r="AC41" s="1">
        <v>261</v>
      </c>
      <c r="AD41" s="2"/>
    </row>
    <row r="42" spans="1:30" s="24" customFormat="1" x14ac:dyDescent="0.25">
      <c r="A42" s="4"/>
      <c r="B42" s="4">
        <v>44958</v>
      </c>
      <c r="C42" s="6" t="s">
        <v>1693</v>
      </c>
      <c r="D42" s="26" t="s">
        <v>1729</v>
      </c>
      <c r="E42" s="26" t="s">
        <v>139</v>
      </c>
      <c r="F42" s="1" t="s">
        <v>140</v>
      </c>
      <c r="G42" s="8">
        <v>2</v>
      </c>
      <c r="H42" s="8">
        <v>0</v>
      </c>
      <c r="I42" s="115">
        <f>Table223[[#This Row],[Qty]]-Table223[[#This Row],[Issue Qty]]</f>
        <v>2</v>
      </c>
      <c r="J42" s="5">
        <f>32.99*90</f>
        <v>2969.1000000000004</v>
      </c>
      <c r="K42" s="5">
        <f t="shared" si="0"/>
        <v>5938.2000000000007</v>
      </c>
      <c r="L42" s="11">
        <v>0</v>
      </c>
      <c r="M42" s="9">
        <f t="shared" si="1"/>
        <v>0</v>
      </c>
      <c r="N42" s="5"/>
      <c r="O42" s="5"/>
      <c r="P42" s="5">
        <f t="shared" si="2"/>
        <v>5938.2000000000007</v>
      </c>
      <c r="Q42" s="1" t="s">
        <v>20</v>
      </c>
      <c r="R42" s="1" t="s">
        <v>37</v>
      </c>
      <c r="S42" s="1"/>
      <c r="T42" s="1"/>
      <c r="U42" s="1"/>
      <c r="V42" s="1"/>
      <c r="W42" s="21" t="s">
        <v>72</v>
      </c>
      <c r="X42" s="21" t="s">
        <v>117</v>
      </c>
      <c r="Y42" s="8">
        <v>2</v>
      </c>
      <c r="Z42" s="22" t="s">
        <v>474</v>
      </c>
      <c r="AA42" s="1"/>
      <c r="AB42" s="23"/>
      <c r="AC42" s="1">
        <v>260</v>
      </c>
      <c r="AD42" s="2"/>
    </row>
    <row r="43" spans="1:30" s="24" customFormat="1" ht="45" x14ac:dyDescent="0.25">
      <c r="A43" s="4"/>
      <c r="B43" s="4">
        <v>44958</v>
      </c>
      <c r="C43" s="6" t="s">
        <v>1730</v>
      </c>
      <c r="D43" s="26" t="s">
        <v>1731</v>
      </c>
      <c r="E43" s="26" t="s">
        <v>141</v>
      </c>
      <c r="F43" s="1" t="s">
        <v>142</v>
      </c>
      <c r="G43" s="8">
        <v>1</v>
      </c>
      <c r="H43" s="8"/>
      <c r="I43" s="115">
        <f>Table223[[#This Row],[Qty]]-Table223[[#This Row],[Issue Qty]]</f>
        <v>1</v>
      </c>
      <c r="J43" s="5">
        <v>39000</v>
      </c>
      <c r="K43" s="5">
        <f t="shared" si="0"/>
        <v>39000</v>
      </c>
      <c r="L43" s="11">
        <v>0</v>
      </c>
      <c r="M43" s="9">
        <f t="shared" si="1"/>
        <v>0</v>
      </c>
      <c r="N43" s="5"/>
      <c r="O43" s="5"/>
      <c r="P43" s="5">
        <f t="shared" si="2"/>
        <v>39000</v>
      </c>
      <c r="Q43" s="1" t="s">
        <v>20</v>
      </c>
      <c r="R43" s="1" t="s">
        <v>37</v>
      </c>
      <c r="S43" s="1"/>
      <c r="T43" s="1"/>
      <c r="U43" s="1"/>
      <c r="V43" s="1"/>
      <c r="W43" s="8" t="s">
        <v>38</v>
      </c>
      <c r="X43" s="8"/>
      <c r="Y43" s="8"/>
      <c r="Z43" s="22"/>
      <c r="AA43" s="1"/>
      <c r="AB43" s="23"/>
      <c r="AC43" s="1">
        <v>260</v>
      </c>
      <c r="AD43" s="2"/>
    </row>
    <row r="44" spans="1:30" s="24" customFormat="1" ht="30" x14ac:dyDescent="0.25">
      <c r="A44" s="4"/>
      <c r="B44" s="4">
        <v>44958</v>
      </c>
      <c r="C44" s="6" t="s">
        <v>1683</v>
      </c>
      <c r="D44" s="6" t="s">
        <v>1732</v>
      </c>
      <c r="E44" s="6" t="s">
        <v>143</v>
      </c>
      <c r="F44" s="1" t="s">
        <v>144</v>
      </c>
      <c r="G44" s="8">
        <v>4</v>
      </c>
      <c r="H44" s="8"/>
      <c r="I44" s="115">
        <f>Table223[[#This Row],[Qty]]-Table223[[#This Row],[Issue Qty]]</f>
        <v>4</v>
      </c>
      <c r="J44" s="5">
        <f>23022/4</f>
        <v>5755.5</v>
      </c>
      <c r="K44" s="5">
        <f t="shared" si="0"/>
        <v>23022</v>
      </c>
      <c r="L44" s="11">
        <v>0</v>
      </c>
      <c r="M44" s="9">
        <f t="shared" si="1"/>
        <v>0</v>
      </c>
      <c r="N44" s="5"/>
      <c r="O44" s="5"/>
      <c r="P44" s="5">
        <f t="shared" si="2"/>
        <v>23022</v>
      </c>
      <c r="Q44" s="1" t="s">
        <v>20</v>
      </c>
      <c r="R44" s="1" t="s">
        <v>1733</v>
      </c>
      <c r="S44" s="1"/>
      <c r="T44" s="1"/>
      <c r="U44" s="1"/>
      <c r="V44" s="1"/>
      <c r="W44" s="8" t="s">
        <v>22</v>
      </c>
      <c r="X44" s="8" t="s">
        <v>1734</v>
      </c>
      <c r="Y44" s="8"/>
      <c r="Z44" s="22"/>
      <c r="AA44" s="1"/>
      <c r="AB44" s="23" t="s">
        <v>144</v>
      </c>
      <c r="AC44" s="1" t="s">
        <v>37</v>
      </c>
      <c r="AD44" s="2"/>
    </row>
    <row r="45" spans="1:30" s="24" customFormat="1" ht="30" x14ac:dyDescent="0.25">
      <c r="A45" s="4"/>
      <c r="B45" s="4">
        <v>44958</v>
      </c>
      <c r="C45" s="6" t="s">
        <v>1683</v>
      </c>
      <c r="D45" s="6" t="s">
        <v>1732</v>
      </c>
      <c r="E45" s="6" t="s">
        <v>143</v>
      </c>
      <c r="F45" s="1" t="s">
        <v>144</v>
      </c>
      <c r="G45" s="8">
        <v>4</v>
      </c>
      <c r="H45" s="8"/>
      <c r="I45" s="115">
        <f>Table223[[#This Row],[Qty]]-Table223[[#This Row],[Issue Qty]]</f>
        <v>4</v>
      </c>
      <c r="J45" s="5">
        <f>23022/4</f>
        <v>5755.5</v>
      </c>
      <c r="K45" s="5">
        <f t="shared" si="0"/>
        <v>23022</v>
      </c>
      <c r="L45" s="11"/>
      <c r="M45" s="9">
        <f t="shared" si="1"/>
        <v>0</v>
      </c>
      <c r="N45" s="5"/>
      <c r="O45" s="5"/>
      <c r="P45" s="5">
        <f t="shared" si="2"/>
        <v>23022</v>
      </c>
      <c r="Q45" s="1" t="s">
        <v>20</v>
      </c>
      <c r="R45" s="1" t="s">
        <v>1733</v>
      </c>
      <c r="S45" s="1"/>
      <c r="T45" s="1"/>
      <c r="U45" s="1" t="s">
        <v>37</v>
      </c>
      <c r="V45" s="27"/>
      <c r="W45" s="8" t="s">
        <v>22</v>
      </c>
      <c r="X45" s="8" t="s">
        <v>1734</v>
      </c>
      <c r="Y45" s="21">
        <v>4</v>
      </c>
      <c r="Z45" s="12" t="s">
        <v>145</v>
      </c>
      <c r="AA45" s="27"/>
      <c r="AB45" s="23" t="s">
        <v>144</v>
      </c>
      <c r="AC45" s="27"/>
      <c r="AD45" s="2"/>
    </row>
    <row r="46" spans="1:30" s="24" customFormat="1" ht="30" x14ac:dyDescent="0.25">
      <c r="A46" s="4"/>
      <c r="B46" s="4">
        <v>44958</v>
      </c>
      <c r="C46" s="6" t="s">
        <v>1683</v>
      </c>
      <c r="D46" s="6" t="s">
        <v>1732</v>
      </c>
      <c r="E46" s="6" t="s">
        <v>143</v>
      </c>
      <c r="F46" s="1" t="s">
        <v>146</v>
      </c>
      <c r="G46" s="8">
        <v>6</v>
      </c>
      <c r="H46" s="8"/>
      <c r="I46" s="115">
        <f>Table223[[#This Row],[Qty]]-Table223[[#This Row],[Issue Qty]]</f>
        <v>6</v>
      </c>
      <c r="J46" s="5">
        <f>23022/4</f>
        <v>5755.5</v>
      </c>
      <c r="K46" s="5">
        <f t="shared" si="0"/>
        <v>34533</v>
      </c>
      <c r="L46" s="11">
        <v>0</v>
      </c>
      <c r="M46" s="9">
        <f t="shared" si="1"/>
        <v>0</v>
      </c>
      <c r="N46" s="5"/>
      <c r="O46" s="5"/>
      <c r="P46" s="5">
        <f t="shared" si="2"/>
        <v>34533</v>
      </c>
      <c r="Q46" s="1" t="s">
        <v>20</v>
      </c>
      <c r="R46" s="1" t="s">
        <v>1733</v>
      </c>
      <c r="S46" s="1"/>
      <c r="T46" s="1"/>
      <c r="U46" s="1"/>
      <c r="V46" s="1"/>
      <c r="W46" s="8" t="s">
        <v>22</v>
      </c>
      <c r="X46" s="8" t="s">
        <v>1734</v>
      </c>
      <c r="Y46" s="8"/>
      <c r="Z46" s="22"/>
      <c r="AA46" s="1"/>
      <c r="AB46" s="23" t="s">
        <v>147</v>
      </c>
      <c r="AC46" s="1" t="s">
        <v>37</v>
      </c>
      <c r="AD46" s="2"/>
    </row>
    <row r="47" spans="1:30" s="24" customFormat="1" ht="30" x14ac:dyDescent="0.25">
      <c r="A47" s="4"/>
      <c r="B47" s="4">
        <v>44958</v>
      </c>
      <c r="C47" s="6" t="s">
        <v>1683</v>
      </c>
      <c r="D47" s="6" t="s">
        <v>1735</v>
      </c>
      <c r="E47" s="6" t="s">
        <v>148</v>
      </c>
      <c r="F47" s="1" t="s">
        <v>149</v>
      </c>
      <c r="G47" s="8">
        <v>6</v>
      </c>
      <c r="H47" s="8"/>
      <c r="I47" s="115">
        <f>Table223[[#This Row],[Qty]]-Table223[[#This Row],[Issue Qty]]</f>
        <v>6</v>
      </c>
      <c r="J47" s="5">
        <v>2265.3000000000002</v>
      </c>
      <c r="K47" s="5">
        <f t="shared" si="0"/>
        <v>13591.800000000001</v>
      </c>
      <c r="L47" s="11">
        <v>0</v>
      </c>
      <c r="M47" s="9">
        <f t="shared" si="1"/>
        <v>0</v>
      </c>
      <c r="N47" s="5"/>
      <c r="O47" s="5"/>
      <c r="P47" s="5">
        <f t="shared" si="2"/>
        <v>13591.800000000001</v>
      </c>
      <c r="Q47" s="1" t="s">
        <v>20</v>
      </c>
      <c r="R47" s="1" t="s">
        <v>1733</v>
      </c>
      <c r="S47" s="1"/>
      <c r="T47" s="1"/>
      <c r="U47" s="1"/>
      <c r="V47" s="1"/>
      <c r="W47" s="8" t="s">
        <v>25</v>
      </c>
      <c r="X47" s="8" t="s">
        <v>150</v>
      </c>
      <c r="Y47" s="8"/>
      <c r="Z47" s="22"/>
      <c r="AA47" s="1"/>
      <c r="AB47" s="23" t="s">
        <v>151</v>
      </c>
      <c r="AC47" s="1" t="s">
        <v>37</v>
      </c>
      <c r="AD47" s="2"/>
    </row>
    <row r="48" spans="1:30" s="24" customFormat="1" ht="30" x14ac:dyDescent="0.25">
      <c r="A48" s="4"/>
      <c r="B48" s="4">
        <v>44958</v>
      </c>
      <c r="C48" s="6" t="s">
        <v>1683</v>
      </c>
      <c r="D48" s="6" t="s">
        <v>1735</v>
      </c>
      <c r="E48" s="6" t="s">
        <v>148</v>
      </c>
      <c r="F48" s="1" t="s">
        <v>149</v>
      </c>
      <c r="G48" s="8">
        <v>4</v>
      </c>
      <c r="H48" s="8">
        <v>4</v>
      </c>
      <c r="I48" s="115">
        <f>Table223[[#This Row],[Qty]]-Table223[[#This Row],[Issue Qty]]</f>
        <v>0</v>
      </c>
      <c r="J48" s="5">
        <v>2265.3000000000002</v>
      </c>
      <c r="K48" s="5">
        <f t="shared" si="0"/>
        <v>9061.2000000000007</v>
      </c>
      <c r="L48" s="11"/>
      <c r="M48" s="9">
        <f t="shared" si="1"/>
        <v>0</v>
      </c>
      <c r="N48" s="5"/>
      <c r="O48" s="5"/>
      <c r="P48" s="5">
        <f t="shared" si="2"/>
        <v>9061.2000000000007</v>
      </c>
      <c r="Q48" s="1" t="s">
        <v>20</v>
      </c>
      <c r="R48" s="1" t="s">
        <v>1733</v>
      </c>
      <c r="S48" s="1"/>
      <c r="T48" s="1"/>
      <c r="U48" s="1" t="s">
        <v>37</v>
      </c>
      <c r="V48" s="2"/>
      <c r="W48" s="21"/>
      <c r="X48" s="21"/>
      <c r="Y48" s="21">
        <v>4</v>
      </c>
      <c r="Z48" s="12" t="s">
        <v>145</v>
      </c>
      <c r="AA48" s="2"/>
      <c r="AB48" s="23" t="s">
        <v>151</v>
      </c>
      <c r="AC48" s="2"/>
      <c r="AD48" s="2"/>
    </row>
    <row r="49" spans="1:30" s="24" customFormat="1" x14ac:dyDescent="0.25">
      <c r="A49" s="4"/>
      <c r="B49" s="4">
        <v>44958</v>
      </c>
      <c r="C49" s="6" t="s">
        <v>1693</v>
      </c>
      <c r="D49" s="6" t="s">
        <v>1736</v>
      </c>
      <c r="E49" s="6" t="s">
        <v>152</v>
      </c>
      <c r="F49" s="1" t="s">
        <v>152</v>
      </c>
      <c r="G49" s="8">
        <v>1</v>
      </c>
      <c r="H49" s="8"/>
      <c r="I49" s="115">
        <f>Table223[[#This Row],[Qty]]-Table223[[#This Row],[Issue Qty]]</f>
        <v>1</v>
      </c>
      <c r="J49" s="5">
        <v>1300</v>
      </c>
      <c r="K49" s="5">
        <f t="shared" si="0"/>
        <v>1300</v>
      </c>
      <c r="L49" s="11">
        <v>0</v>
      </c>
      <c r="M49" s="9">
        <f t="shared" si="1"/>
        <v>0</v>
      </c>
      <c r="N49" s="5"/>
      <c r="O49" s="5"/>
      <c r="P49" s="5">
        <f t="shared" si="2"/>
        <v>1300</v>
      </c>
      <c r="Q49" s="1" t="s">
        <v>20</v>
      </c>
      <c r="R49" s="1" t="s">
        <v>37</v>
      </c>
      <c r="S49" s="1"/>
      <c r="T49" s="1"/>
      <c r="U49" s="1"/>
      <c r="V49" s="1"/>
      <c r="W49" s="8" t="s">
        <v>38</v>
      </c>
      <c r="X49" s="8" t="s">
        <v>153</v>
      </c>
      <c r="Y49" s="8"/>
      <c r="Z49" s="22"/>
      <c r="AA49" s="1"/>
      <c r="AB49" s="23"/>
      <c r="AC49" s="1">
        <v>261</v>
      </c>
      <c r="AD49" s="2"/>
    </row>
    <row r="50" spans="1:30" s="24" customFormat="1" x14ac:dyDescent="0.25">
      <c r="A50" s="4"/>
      <c r="B50" s="4">
        <v>44958</v>
      </c>
      <c r="C50" s="6" t="s">
        <v>1683</v>
      </c>
      <c r="D50" s="6" t="s">
        <v>1737</v>
      </c>
      <c r="E50" s="6" t="s">
        <v>154</v>
      </c>
      <c r="F50" s="1" t="s">
        <v>155</v>
      </c>
      <c r="G50" s="8">
        <v>1</v>
      </c>
      <c r="H50" s="8"/>
      <c r="I50" s="115">
        <f>Table223[[#This Row],[Qty]]-Table223[[#This Row],[Issue Qty]]</f>
        <v>1</v>
      </c>
      <c r="J50" s="5">
        <f>226.26/3</f>
        <v>75.42</v>
      </c>
      <c r="K50" s="5">
        <f t="shared" si="0"/>
        <v>75.42</v>
      </c>
      <c r="L50" s="11">
        <v>0</v>
      </c>
      <c r="M50" s="9">
        <f t="shared" si="1"/>
        <v>0</v>
      </c>
      <c r="N50" s="5"/>
      <c r="O50" s="5"/>
      <c r="P50" s="5">
        <f t="shared" si="2"/>
        <v>75.42</v>
      </c>
      <c r="Q50" s="1" t="s">
        <v>20</v>
      </c>
      <c r="R50" s="1" t="s">
        <v>37</v>
      </c>
      <c r="S50" s="1"/>
      <c r="T50" s="1"/>
      <c r="U50" s="1"/>
      <c r="V50" s="1"/>
      <c r="W50" s="8" t="s">
        <v>156</v>
      </c>
      <c r="X50" s="8" t="s">
        <v>157</v>
      </c>
      <c r="Y50" s="8"/>
      <c r="Z50" s="22"/>
      <c r="AA50" s="1"/>
      <c r="AB50" s="23"/>
      <c r="AC50" s="1" t="s">
        <v>37</v>
      </c>
      <c r="AD50" s="2"/>
    </row>
    <row r="51" spans="1:30" s="24" customFormat="1" ht="30" x14ac:dyDescent="0.25">
      <c r="A51" s="4"/>
      <c r="B51" s="4">
        <v>44958</v>
      </c>
      <c r="C51" s="6" t="s">
        <v>1683</v>
      </c>
      <c r="D51" s="6" t="s">
        <v>1738</v>
      </c>
      <c r="E51" s="6" t="s">
        <v>158</v>
      </c>
      <c r="F51" s="1" t="s">
        <v>159</v>
      </c>
      <c r="G51" s="8">
        <v>2</v>
      </c>
      <c r="H51" s="8"/>
      <c r="I51" s="115">
        <f>Table223[[#This Row],[Qty]]-Table223[[#This Row],[Issue Qty]]</f>
        <v>2</v>
      </c>
      <c r="J51" s="5">
        <v>270</v>
      </c>
      <c r="K51" s="5">
        <f t="shared" si="0"/>
        <v>540</v>
      </c>
      <c r="L51" s="11">
        <v>0</v>
      </c>
      <c r="M51" s="9">
        <f t="shared" si="1"/>
        <v>0</v>
      </c>
      <c r="N51" s="5"/>
      <c r="O51" s="5"/>
      <c r="P51" s="5">
        <f t="shared" si="2"/>
        <v>540</v>
      </c>
      <c r="Q51" s="1" t="s">
        <v>20</v>
      </c>
      <c r="R51" s="1" t="s">
        <v>37</v>
      </c>
      <c r="S51" s="1"/>
      <c r="T51" s="1"/>
      <c r="U51" s="1"/>
      <c r="V51" s="1"/>
      <c r="W51" s="8" t="s">
        <v>156</v>
      </c>
      <c r="X51" s="8" t="s">
        <v>157</v>
      </c>
      <c r="Y51" s="8"/>
      <c r="Z51" s="22"/>
      <c r="AA51" s="1"/>
      <c r="AB51" s="23"/>
      <c r="AC51" s="1" t="s">
        <v>37</v>
      </c>
      <c r="AD51" s="2"/>
    </row>
    <row r="52" spans="1:30" x14ac:dyDescent="0.25">
      <c r="A52" s="4"/>
      <c r="B52" s="4">
        <v>44958</v>
      </c>
      <c r="C52" s="6" t="s">
        <v>1693</v>
      </c>
      <c r="D52" s="26" t="s">
        <v>1739</v>
      </c>
      <c r="E52" s="26" t="s">
        <v>160</v>
      </c>
      <c r="F52" s="1" t="s">
        <v>161</v>
      </c>
      <c r="G52" s="8">
        <v>1</v>
      </c>
      <c r="H52" s="8"/>
      <c r="I52" s="115">
        <f>Table223[[#This Row],[Qty]]-Table223[[#This Row],[Issue Qty]]</f>
        <v>1</v>
      </c>
      <c r="J52" s="5">
        <v>8500</v>
      </c>
      <c r="K52" s="5">
        <f t="shared" si="0"/>
        <v>8500</v>
      </c>
      <c r="L52" s="11">
        <v>0</v>
      </c>
      <c r="M52" s="9">
        <f t="shared" si="1"/>
        <v>0</v>
      </c>
      <c r="N52" s="5"/>
      <c r="O52" s="5"/>
      <c r="P52" s="5">
        <f t="shared" si="2"/>
        <v>8500</v>
      </c>
      <c r="Q52" s="1" t="s">
        <v>20</v>
      </c>
      <c r="R52" s="1" t="s">
        <v>37</v>
      </c>
      <c r="S52" s="1"/>
      <c r="T52" s="1"/>
      <c r="U52" s="1"/>
      <c r="V52" s="1"/>
      <c r="W52" s="8" t="s">
        <v>72</v>
      </c>
      <c r="X52" s="8" t="s">
        <v>162</v>
      </c>
      <c r="Y52" s="8"/>
      <c r="Z52" s="22"/>
      <c r="AA52" s="1"/>
      <c r="AB52" s="23"/>
      <c r="AC52" s="1">
        <v>261</v>
      </c>
      <c r="AD52" s="27"/>
    </row>
    <row r="53" spans="1:30" s="24" customFormat="1" ht="30" x14ac:dyDescent="0.25">
      <c r="A53" s="4"/>
      <c r="B53" s="4">
        <v>44958</v>
      </c>
      <c r="C53" s="6" t="s">
        <v>1693</v>
      </c>
      <c r="D53" s="26" t="s">
        <v>1740</v>
      </c>
      <c r="E53" s="26" t="s">
        <v>163</v>
      </c>
      <c r="F53" s="1" t="s">
        <v>164</v>
      </c>
      <c r="G53" s="8">
        <v>2</v>
      </c>
      <c r="H53" s="8"/>
      <c r="I53" s="115">
        <f>Table223[[#This Row],[Qty]]-Table223[[#This Row],[Issue Qty]]</f>
        <v>2</v>
      </c>
      <c r="J53" s="5">
        <v>3481</v>
      </c>
      <c r="K53" s="5">
        <f t="shared" si="0"/>
        <v>6962</v>
      </c>
      <c r="L53" s="11">
        <v>0</v>
      </c>
      <c r="M53" s="9">
        <f t="shared" si="1"/>
        <v>0</v>
      </c>
      <c r="N53" s="5"/>
      <c r="O53" s="5"/>
      <c r="P53" s="5">
        <f t="shared" si="2"/>
        <v>6962</v>
      </c>
      <c r="Q53" s="1" t="s">
        <v>20</v>
      </c>
      <c r="R53" s="1" t="s">
        <v>37</v>
      </c>
      <c r="S53" s="1"/>
      <c r="T53" s="1"/>
      <c r="U53" s="1"/>
      <c r="V53" s="1"/>
      <c r="W53" s="8" t="s">
        <v>72</v>
      </c>
      <c r="X53" s="8" t="s">
        <v>94</v>
      </c>
      <c r="Y53" s="8"/>
      <c r="Z53" s="22"/>
      <c r="AA53" s="1"/>
      <c r="AB53" s="23"/>
      <c r="AC53" s="1">
        <v>260</v>
      </c>
      <c r="AD53" s="2"/>
    </row>
    <row r="54" spans="1:30" s="24" customFormat="1" x14ac:dyDescent="0.25">
      <c r="A54" s="4"/>
      <c r="B54" s="4">
        <v>44958</v>
      </c>
      <c r="C54" s="6" t="s">
        <v>1693</v>
      </c>
      <c r="D54" s="6" t="s">
        <v>1741</v>
      </c>
      <c r="E54" s="170" t="s">
        <v>165</v>
      </c>
      <c r="F54" s="1" t="s">
        <v>166</v>
      </c>
      <c r="G54" s="8">
        <v>1</v>
      </c>
      <c r="H54" s="8">
        <v>1</v>
      </c>
      <c r="I54" s="115">
        <f>Table223[[#This Row],[Qty]]-Table223[[#This Row],[Issue Qty]]</f>
        <v>0</v>
      </c>
      <c r="J54" s="5">
        <f>16524/6</f>
        <v>2754</v>
      </c>
      <c r="K54" s="5">
        <f t="shared" si="0"/>
        <v>2754</v>
      </c>
      <c r="L54" s="11">
        <v>0</v>
      </c>
      <c r="M54" s="9">
        <f t="shared" si="1"/>
        <v>0</v>
      </c>
      <c r="N54" s="5"/>
      <c r="O54" s="5"/>
      <c r="P54" s="5">
        <f t="shared" si="2"/>
        <v>2754</v>
      </c>
      <c r="Q54" s="1" t="s">
        <v>20</v>
      </c>
      <c r="R54" s="1" t="s">
        <v>1742</v>
      </c>
      <c r="S54" s="1"/>
      <c r="T54" s="1"/>
      <c r="U54" s="1" t="s">
        <v>37</v>
      </c>
      <c r="V54" s="27"/>
      <c r="W54" s="8" t="s">
        <v>244</v>
      </c>
      <c r="X54" s="28"/>
      <c r="Y54" s="21">
        <v>1</v>
      </c>
      <c r="Z54" s="12" t="s">
        <v>81</v>
      </c>
      <c r="AA54" s="27"/>
      <c r="AB54" s="23" t="s">
        <v>167</v>
      </c>
      <c r="AC54" s="27"/>
      <c r="AD54" s="2"/>
    </row>
    <row r="55" spans="1:30" s="24" customFormat="1" ht="30" x14ac:dyDescent="0.25">
      <c r="A55" s="4"/>
      <c r="B55" s="4">
        <v>44958</v>
      </c>
      <c r="C55" s="6" t="s">
        <v>1683</v>
      </c>
      <c r="D55" s="6" t="s">
        <v>1743</v>
      </c>
      <c r="E55" s="170" t="s">
        <v>168</v>
      </c>
      <c r="F55" s="1" t="s">
        <v>169</v>
      </c>
      <c r="G55" s="8">
        <v>3</v>
      </c>
      <c r="H55" s="8">
        <v>3</v>
      </c>
      <c r="I55" s="115">
        <f>Table223[[#This Row],[Qty]]-Table223[[#This Row],[Issue Qty]]</f>
        <v>0</v>
      </c>
      <c r="J55" s="5">
        <f>30523.5/3</f>
        <v>10174.5</v>
      </c>
      <c r="K55" s="5">
        <f t="shared" si="0"/>
        <v>30523.5</v>
      </c>
      <c r="L55" s="11">
        <v>0</v>
      </c>
      <c r="M55" s="9">
        <f t="shared" si="1"/>
        <v>0</v>
      </c>
      <c r="N55" s="5"/>
      <c r="O55" s="5"/>
      <c r="P55" s="5">
        <f t="shared" si="2"/>
        <v>30523.5</v>
      </c>
      <c r="Q55" s="1" t="s">
        <v>20</v>
      </c>
      <c r="R55" s="1" t="s">
        <v>37</v>
      </c>
      <c r="S55" s="1"/>
      <c r="T55" s="1"/>
      <c r="U55" s="1"/>
      <c r="V55" s="1"/>
      <c r="W55" s="8" t="s">
        <v>22</v>
      </c>
      <c r="X55" s="8" t="s">
        <v>23</v>
      </c>
      <c r="Y55" s="8">
        <v>3</v>
      </c>
      <c r="Z55" s="12" t="s">
        <v>81</v>
      </c>
      <c r="AA55" s="1"/>
      <c r="AB55" s="23" t="s">
        <v>170</v>
      </c>
      <c r="AC55" s="1" t="s">
        <v>37</v>
      </c>
      <c r="AD55" s="2"/>
    </row>
    <row r="56" spans="1:30" s="24" customFormat="1" x14ac:dyDescent="0.25">
      <c r="A56" s="4"/>
      <c r="B56" s="4">
        <v>44958</v>
      </c>
      <c r="C56" s="6" t="s">
        <v>1683</v>
      </c>
      <c r="D56" s="26" t="s">
        <v>1744</v>
      </c>
      <c r="E56" s="26" t="s">
        <v>171</v>
      </c>
      <c r="F56" s="1" t="s">
        <v>172</v>
      </c>
      <c r="G56" s="8">
        <v>3</v>
      </c>
      <c r="H56" s="8"/>
      <c r="I56" s="115">
        <f>Table223[[#This Row],[Qty]]-Table223[[#This Row],[Issue Qty]]</f>
        <v>3</v>
      </c>
      <c r="J56" s="5">
        <f>26163/4</f>
        <v>6540.75</v>
      </c>
      <c r="K56" s="5">
        <f t="shared" si="0"/>
        <v>19622.25</v>
      </c>
      <c r="L56" s="11">
        <v>0</v>
      </c>
      <c r="M56" s="9">
        <f t="shared" si="1"/>
        <v>0</v>
      </c>
      <c r="N56" s="5"/>
      <c r="O56" s="5"/>
      <c r="P56" s="5">
        <f t="shared" si="2"/>
        <v>19622.25</v>
      </c>
      <c r="Q56" s="1" t="s">
        <v>20</v>
      </c>
      <c r="R56" s="1" t="s">
        <v>37</v>
      </c>
      <c r="S56" s="1"/>
      <c r="T56" s="1"/>
      <c r="U56" s="1"/>
      <c r="V56" s="1"/>
      <c r="W56" s="8" t="s">
        <v>156</v>
      </c>
      <c r="X56" s="8" t="s">
        <v>173</v>
      </c>
      <c r="Y56" s="8"/>
      <c r="Z56" s="22"/>
      <c r="AA56" s="1"/>
      <c r="AB56" s="23"/>
      <c r="AC56" s="1" t="s">
        <v>37</v>
      </c>
      <c r="AD56" s="2"/>
    </row>
    <row r="57" spans="1:30" s="24" customFormat="1" x14ac:dyDescent="0.25">
      <c r="A57" s="4"/>
      <c r="B57" s="4">
        <v>44958</v>
      </c>
      <c r="C57" s="6" t="s">
        <v>1683</v>
      </c>
      <c r="D57" s="26" t="s">
        <v>1745</v>
      </c>
      <c r="E57" s="26" t="s">
        <v>174</v>
      </c>
      <c r="F57" s="1" t="s">
        <v>175</v>
      </c>
      <c r="G57" s="8">
        <v>1</v>
      </c>
      <c r="H57" s="8"/>
      <c r="I57" s="115">
        <f>Table223[[#This Row],[Qty]]-Table223[[#This Row],[Issue Qty]]</f>
        <v>1</v>
      </c>
      <c r="J57" s="5">
        <f>25.9*90</f>
        <v>2331</v>
      </c>
      <c r="K57" s="5">
        <f t="shared" si="0"/>
        <v>2331</v>
      </c>
      <c r="L57" s="11">
        <v>0</v>
      </c>
      <c r="M57" s="9">
        <f t="shared" si="1"/>
        <v>0</v>
      </c>
      <c r="N57" s="5"/>
      <c r="O57" s="5"/>
      <c r="P57" s="5">
        <f t="shared" si="2"/>
        <v>2331</v>
      </c>
      <c r="Q57" s="1" t="s">
        <v>20</v>
      </c>
      <c r="R57" s="1" t="s">
        <v>37</v>
      </c>
      <c r="S57" s="1"/>
      <c r="T57" s="1"/>
      <c r="U57" s="1"/>
      <c r="V57" s="1"/>
      <c r="W57" s="8" t="s">
        <v>107</v>
      </c>
      <c r="X57" s="8" t="s">
        <v>129</v>
      </c>
      <c r="Y57" s="8"/>
      <c r="Z57" s="22"/>
      <c r="AA57" s="1"/>
      <c r="AB57" s="23"/>
      <c r="AC57" s="1">
        <v>261</v>
      </c>
      <c r="AD57" s="2"/>
    </row>
    <row r="58" spans="1:30" s="25" customFormat="1" x14ac:dyDescent="0.25">
      <c r="A58" s="4"/>
      <c r="B58" s="4">
        <v>44958</v>
      </c>
      <c r="C58" s="6" t="s">
        <v>1683</v>
      </c>
      <c r="D58" s="26" t="s">
        <v>1746</v>
      </c>
      <c r="E58" s="26" t="s">
        <v>176</v>
      </c>
      <c r="F58" s="1" t="s">
        <v>177</v>
      </c>
      <c r="G58" s="8">
        <v>2</v>
      </c>
      <c r="H58" s="8"/>
      <c r="I58" s="115">
        <f>Table223[[#This Row],[Qty]]-Table223[[#This Row],[Issue Qty]]</f>
        <v>2</v>
      </c>
      <c r="J58" s="5">
        <f>61.9*90</f>
        <v>5571</v>
      </c>
      <c r="K58" s="5">
        <f t="shared" si="0"/>
        <v>11142</v>
      </c>
      <c r="L58" s="11">
        <v>0</v>
      </c>
      <c r="M58" s="9">
        <f t="shared" si="1"/>
        <v>0</v>
      </c>
      <c r="N58" s="5"/>
      <c r="O58" s="5"/>
      <c r="P58" s="5">
        <f t="shared" si="2"/>
        <v>11142</v>
      </c>
      <c r="Q58" s="1" t="s">
        <v>20</v>
      </c>
      <c r="R58" s="1" t="s">
        <v>37</v>
      </c>
      <c r="S58" s="1"/>
      <c r="T58" s="1"/>
      <c r="U58" s="1"/>
      <c r="V58" s="1"/>
      <c r="W58" s="8" t="s">
        <v>22</v>
      </c>
      <c r="X58" s="8" t="s">
        <v>1734</v>
      </c>
      <c r="Y58" s="8"/>
      <c r="Z58" s="22"/>
      <c r="AA58" s="1"/>
      <c r="AB58" s="23"/>
      <c r="AC58" s="1">
        <v>260</v>
      </c>
      <c r="AD58" s="1"/>
    </row>
    <row r="59" spans="1:30" s="24" customFormat="1" ht="30" x14ac:dyDescent="0.25">
      <c r="A59" s="4"/>
      <c r="B59" s="4">
        <v>44958</v>
      </c>
      <c r="C59" s="6" t="s">
        <v>1683</v>
      </c>
      <c r="D59" s="6" t="s">
        <v>1747</v>
      </c>
      <c r="E59" s="6" t="s">
        <v>178</v>
      </c>
      <c r="F59" s="1" t="s">
        <v>179</v>
      </c>
      <c r="G59" s="8">
        <v>8</v>
      </c>
      <c r="H59" s="8">
        <v>1</v>
      </c>
      <c r="I59" s="115">
        <f>Table223[[#This Row],[Qty]]-Table223[[#This Row],[Issue Qty]]</f>
        <v>7</v>
      </c>
      <c r="J59" s="5">
        <v>2439</v>
      </c>
      <c r="K59" s="5">
        <f t="shared" si="0"/>
        <v>19512</v>
      </c>
      <c r="L59" s="11">
        <v>0</v>
      </c>
      <c r="M59" s="9">
        <f t="shared" si="1"/>
        <v>0</v>
      </c>
      <c r="N59" s="5"/>
      <c r="O59" s="5"/>
      <c r="P59" s="5">
        <f t="shared" si="2"/>
        <v>19512</v>
      </c>
      <c r="Q59" s="1" t="s">
        <v>20</v>
      </c>
      <c r="R59" s="1" t="s">
        <v>37</v>
      </c>
      <c r="S59" s="1"/>
      <c r="T59" s="1"/>
      <c r="U59" s="1"/>
      <c r="V59" s="1"/>
      <c r="W59" s="8" t="s">
        <v>156</v>
      </c>
      <c r="X59" s="8" t="s">
        <v>180</v>
      </c>
      <c r="Y59" s="8">
        <v>1</v>
      </c>
      <c r="Z59" s="22" t="s">
        <v>226</v>
      </c>
      <c r="AA59" s="1" t="s">
        <v>1647</v>
      </c>
      <c r="AB59" s="23" t="s">
        <v>181</v>
      </c>
      <c r="AC59" s="1">
        <v>259</v>
      </c>
      <c r="AD59" s="2"/>
    </row>
    <row r="60" spans="1:30" s="24" customFormat="1" x14ac:dyDescent="0.25">
      <c r="A60" s="4"/>
      <c r="B60" s="4">
        <v>44958</v>
      </c>
      <c r="C60" s="6" t="s">
        <v>1683</v>
      </c>
      <c r="D60" s="6" t="s">
        <v>1747</v>
      </c>
      <c r="E60" s="6" t="s">
        <v>178</v>
      </c>
      <c r="F60" s="1" t="s">
        <v>182</v>
      </c>
      <c r="G60" s="8">
        <v>4</v>
      </c>
      <c r="H60" s="8"/>
      <c r="I60" s="115">
        <f>Table223[[#This Row],[Qty]]-Table223[[#This Row],[Issue Qty]]</f>
        <v>4</v>
      </c>
      <c r="J60" s="5">
        <f>8036.24/4</f>
        <v>2009.06</v>
      </c>
      <c r="K60" s="5">
        <f t="shared" si="0"/>
        <v>8036.24</v>
      </c>
      <c r="L60" s="11">
        <v>0</v>
      </c>
      <c r="M60" s="9">
        <f t="shared" si="1"/>
        <v>0</v>
      </c>
      <c r="N60" s="5"/>
      <c r="O60" s="5"/>
      <c r="P60" s="5">
        <f t="shared" si="2"/>
        <v>8036.24</v>
      </c>
      <c r="Q60" s="1" t="s">
        <v>20</v>
      </c>
      <c r="R60" s="1" t="s">
        <v>37</v>
      </c>
      <c r="S60" s="1"/>
      <c r="T60" s="1"/>
      <c r="U60" s="1"/>
      <c r="V60" s="1"/>
      <c r="W60" s="8" t="s">
        <v>156</v>
      </c>
      <c r="X60" s="8" t="s">
        <v>180</v>
      </c>
      <c r="Y60" s="8"/>
      <c r="Z60" s="22"/>
      <c r="AA60" s="1"/>
      <c r="AB60" s="23" t="s">
        <v>182</v>
      </c>
      <c r="AC60" s="1" t="s">
        <v>37</v>
      </c>
      <c r="AD60" s="2"/>
    </row>
    <row r="61" spans="1:30" s="24" customFormat="1" ht="30" x14ac:dyDescent="0.25">
      <c r="A61" s="4"/>
      <c r="B61" s="4">
        <v>44958</v>
      </c>
      <c r="C61" s="6" t="s">
        <v>1683</v>
      </c>
      <c r="D61" s="6" t="s">
        <v>1748</v>
      </c>
      <c r="E61" s="6" t="s">
        <v>183</v>
      </c>
      <c r="F61" s="1" t="s">
        <v>184</v>
      </c>
      <c r="G61" s="8">
        <v>1</v>
      </c>
      <c r="H61" s="8"/>
      <c r="I61" s="115">
        <f>Table223[[#This Row],[Qty]]-Table223[[#This Row],[Issue Qty]]</f>
        <v>1</v>
      </c>
      <c r="J61" s="5">
        <v>13050</v>
      </c>
      <c r="K61" s="5">
        <f t="shared" si="0"/>
        <v>13050</v>
      </c>
      <c r="L61" s="11">
        <v>0</v>
      </c>
      <c r="M61" s="9">
        <f t="shared" si="1"/>
        <v>0</v>
      </c>
      <c r="N61" s="5"/>
      <c r="O61" s="5"/>
      <c r="P61" s="5">
        <f t="shared" si="2"/>
        <v>13050</v>
      </c>
      <c r="Q61" s="1" t="s">
        <v>20</v>
      </c>
      <c r="R61" s="1" t="s">
        <v>37</v>
      </c>
      <c r="S61" s="1"/>
      <c r="T61" s="1"/>
      <c r="U61" s="1"/>
      <c r="V61" s="1"/>
      <c r="W61" s="8" t="s">
        <v>22</v>
      </c>
      <c r="X61" s="8" t="s">
        <v>185</v>
      </c>
      <c r="Y61" s="8"/>
      <c r="Z61" s="22"/>
      <c r="AA61" s="1"/>
      <c r="AB61" s="23" t="s">
        <v>186</v>
      </c>
      <c r="AC61" s="1">
        <v>260</v>
      </c>
      <c r="AD61" s="2"/>
    </row>
    <row r="62" spans="1:30" s="24" customFormat="1" ht="30" x14ac:dyDescent="0.25">
      <c r="A62" s="4"/>
      <c r="B62" s="4">
        <v>44958</v>
      </c>
      <c r="C62" s="6" t="s">
        <v>54</v>
      </c>
      <c r="D62" s="6" t="s">
        <v>1749</v>
      </c>
      <c r="E62" s="6" t="s">
        <v>187</v>
      </c>
      <c r="F62" s="1" t="s">
        <v>188</v>
      </c>
      <c r="G62" s="8">
        <v>1</v>
      </c>
      <c r="H62" s="8"/>
      <c r="I62" s="115">
        <f>Table223[[#This Row],[Qty]]-Table223[[#This Row],[Issue Qty]]</f>
        <v>1</v>
      </c>
      <c r="J62" s="5">
        <f>219*90</f>
        <v>19710</v>
      </c>
      <c r="K62" s="5">
        <f t="shared" si="0"/>
        <v>19710</v>
      </c>
      <c r="L62" s="11">
        <v>0</v>
      </c>
      <c r="M62" s="9">
        <f t="shared" si="1"/>
        <v>0</v>
      </c>
      <c r="N62" s="5"/>
      <c r="O62" s="5"/>
      <c r="P62" s="5">
        <f t="shared" si="2"/>
        <v>19710</v>
      </c>
      <c r="Q62" s="1" t="s">
        <v>20</v>
      </c>
      <c r="R62" s="1" t="s">
        <v>37</v>
      </c>
      <c r="S62" s="1"/>
      <c r="T62" s="1"/>
      <c r="U62" s="1"/>
      <c r="V62" s="1"/>
      <c r="W62" s="8" t="s">
        <v>107</v>
      </c>
      <c r="X62" s="8" t="s">
        <v>129</v>
      </c>
      <c r="Y62" s="8"/>
      <c r="Z62" s="22"/>
      <c r="AA62" s="1"/>
      <c r="AB62" s="23" t="s">
        <v>189</v>
      </c>
      <c r="AC62" s="1">
        <v>259</v>
      </c>
      <c r="AD62" s="2"/>
    </row>
    <row r="63" spans="1:30" s="24" customFormat="1" x14ac:dyDescent="0.25">
      <c r="A63" s="4"/>
      <c r="B63" s="4">
        <v>44958</v>
      </c>
      <c r="C63" s="6" t="s">
        <v>1693</v>
      </c>
      <c r="D63" s="6" t="s">
        <v>1750</v>
      </c>
      <c r="E63" s="170" t="s">
        <v>190</v>
      </c>
      <c r="F63" s="1" t="s">
        <v>191</v>
      </c>
      <c r="G63" s="8">
        <v>1</v>
      </c>
      <c r="H63" s="8">
        <v>1</v>
      </c>
      <c r="I63" s="115">
        <f>Table223[[#This Row],[Qty]]-Table223[[#This Row],[Issue Qty]]</f>
        <v>0</v>
      </c>
      <c r="J63" s="5">
        <v>1246</v>
      </c>
      <c r="K63" s="5">
        <f t="shared" si="0"/>
        <v>1246</v>
      </c>
      <c r="L63" s="11">
        <v>0</v>
      </c>
      <c r="M63" s="9">
        <f t="shared" si="1"/>
        <v>0</v>
      </c>
      <c r="N63" s="5"/>
      <c r="O63" s="5"/>
      <c r="P63" s="5">
        <f t="shared" si="2"/>
        <v>1246</v>
      </c>
      <c r="Q63" s="1" t="s">
        <v>20</v>
      </c>
      <c r="R63" s="1" t="s">
        <v>37</v>
      </c>
      <c r="S63" s="1"/>
      <c r="T63" s="1"/>
      <c r="U63" s="1"/>
      <c r="V63" s="1"/>
      <c r="W63" s="8" t="s">
        <v>52</v>
      </c>
      <c r="X63" s="8" t="s">
        <v>53</v>
      </c>
      <c r="Y63" s="8">
        <v>1</v>
      </c>
      <c r="Z63" s="22" t="s">
        <v>474</v>
      </c>
      <c r="AA63" s="1"/>
      <c r="AB63" s="23"/>
      <c r="AC63" s="1">
        <v>261</v>
      </c>
      <c r="AD63" s="2"/>
    </row>
    <row r="64" spans="1:30" s="24" customFormat="1" x14ac:dyDescent="0.25">
      <c r="A64" s="4"/>
      <c r="B64" s="4">
        <v>44958</v>
      </c>
      <c r="C64" s="6" t="s">
        <v>1693</v>
      </c>
      <c r="D64" s="6" t="s">
        <v>1751</v>
      </c>
      <c r="E64" s="6" t="s">
        <v>192</v>
      </c>
      <c r="F64" s="1" t="s">
        <v>193</v>
      </c>
      <c r="G64" s="8">
        <v>1</v>
      </c>
      <c r="H64" s="8"/>
      <c r="I64" s="115">
        <f>Table223[[#This Row],[Qty]]-Table223[[#This Row],[Issue Qty]]</f>
        <v>1</v>
      </c>
      <c r="J64" s="5">
        <v>20341.86</v>
      </c>
      <c r="K64" s="5">
        <f t="shared" si="0"/>
        <v>20341.86</v>
      </c>
      <c r="L64" s="11">
        <v>0</v>
      </c>
      <c r="M64" s="9">
        <f t="shared" si="1"/>
        <v>0</v>
      </c>
      <c r="N64" s="5"/>
      <c r="O64" s="5"/>
      <c r="P64" s="5">
        <f t="shared" si="2"/>
        <v>20341.86</v>
      </c>
      <c r="Q64" s="1" t="s">
        <v>20</v>
      </c>
      <c r="R64" s="1" t="s">
        <v>37</v>
      </c>
      <c r="S64" s="1"/>
      <c r="T64" s="1"/>
      <c r="U64" s="1"/>
      <c r="V64" s="1"/>
      <c r="W64" s="8" t="s">
        <v>89</v>
      </c>
      <c r="X64" s="8" t="s">
        <v>90</v>
      </c>
      <c r="Y64" s="8"/>
      <c r="Z64" s="22"/>
      <c r="AA64" s="1"/>
      <c r="AB64" s="23" t="s">
        <v>194</v>
      </c>
      <c r="AC64" s="1">
        <v>260</v>
      </c>
      <c r="AD64" s="2"/>
    </row>
    <row r="65" spans="1:30" s="24" customFormat="1" ht="30" x14ac:dyDescent="0.25">
      <c r="A65" s="4"/>
      <c r="B65" s="4">
        <v>44958</v>
      </c>
      <c r="C65" s="6" t="s">
        <v>1683</v>
      </c>
      <c r="D65" s="6" t="s">
        <v>1752</v>
      </c>
      <c r="E65" s="6" t="s">
        <v>195</v>
      </c>
      <c r="F65" s="1" t="s">
        <v>196</v>
      </c>
      <c r="G65" s="8">
        <v>4</v>
      </c>
      <c r="H65" s="8">
        <v>0</v>
      </c>
      <c r="I65" s="115">
        <f>Table223[[#This Row],[Qty]]-Table223[[#This Row],[Issue Qty]]</f>
        <v>4</v>
      </c>
      <c r="J65" s="5">
        <v>93.22</v>
      </c>
      <c r="K65" s="5">
        <f t="shared" si="0"/>
        <v>372.88</v>
      </c>
      <c r="L65" s="11">
        <v>0</v>
      </c>
      <c r="M65" s="9">
        <f t="shared" si="1"/>
        <v>0</v>
      </c>
      <c r="N65" s="5"/>
      <c r="O65" s="5"/>
      <c r="P65" s="5">
        <f t="shared" si="2"/>
        <v>372.88</v>
      </c>
      <c r="Q65" s="1" t="s">
        <v>20</v>
      </c>
      <c r="R65" s="1" t="s">
        <v>37</v>
      </c>
      <c r="S65" s="1"/>
      <c r="T65" s="1"/>
      <c r="U65" s="1"/>
      <c r="V65" s="1"/>
      <c r="W65" s="8" t="s">
        <v>72</v>
      </c>
      <c r="X65" s="8" t="s">
        <v>117</v>
      </c>
      <c r="Y65" s="8"/>
      <c r="Z65" s="22"/>
      <c r="AA65" s="1"/>
      <c r="AB65" s="23"/>
      <c r="AC65" s="1" t="s">
        <v>37</v>
      </c>
      <c r="AD65" s="2"/>
    </row>
    <row r="66" spans="1:30" s="24" customFormat="1" ht="30" x14ac:dyDescent="0.25">
      <c r="A66" s="4"/>
      <c r="B66" s="4">
        <v>44958</v>
      </c>
      <c r="C66" s="6" t="s">
        <v>1683</v>
      </c>
      <c r="D66" s="6" t="s">
        <v>1753</v>
      </c>
      <c r="E66" s="6" t="s">
        <v>197</v>
      </c>
      <c r="F66" s="1" t="s">
        <v>197</v>
      </c>
      <c r="G66" s="8">
        <v>1</v>
      </c>
      <c r="H66" s="8"/>
      <c r="I66" s="115">
        <f>Table223[[#This Row],[Qty]]-Table223[[#This Row],[Issue Qty]]</f>
        <v>1</v>
      </c>
      <c r="J66" s="5">
        <v>82</v>
      </c>
      <c r="K66" s="5">
        <f t="shared" si="0"/>
        <v>82</v>
      </c>
      <c r="L66" s="11">
        <v>0</v>
      </c>
      <c r="M66" s="9">
        <f t="shared" si="1"/>
        <v>0</v>
      </c>
      <c r="N66" s="5"/>
      <c r="O66" s="5"/>
      <c r="P66" s="5">
        <f t="shared" si="2"/>
        <v>82</v>
      </c>
      <c r="Q66" s="1" t="s">
        <v>20</v>
      </c>
      <c r="R66" s="1" t="s">
        <v>37</v>
      </c>
      <c r="S66" s="1"/>
      <c r="T66" s="1"/>
      <c r="U66" s="1"/>
      <c r="V66" s="1"/>
      <c r="W66" s="8" t="s">
        <v>72</v>
      </c>
      <c r="X66" s="8" t="s">
        <v>117</v>
      </c>
      <c r="Y66" s="8"/>
      <c r="Z66" s="22"/>
      <c r="AA66" s="1"/>
      <c r="AB66" s="23"/>
      <c r="AC66" s="1">
        <v>260</v>
      </c>
      <c r="AD66" s="2"/>
    </row>
    <row r="67" spans="1:30" s="24" customFormat="1" ht="30" x14ac:dyDescent="0.25">
      <c r="A67" s="4"/>
      <c r="B67" s="4">
        <v>44958</v>
      </c>
      <c r="C67" s="6" t="s">
        <v>1693</v>
      </c>
      <c r="D67" s="6" t="s">
        <v>1754</v>
      </c>
      <c r="E67" s="6" t="s">
        <v>198</v>
      </c>
      <c r="F67" s="1" t="s">
        <v>199</v>
      </c>
      <c r="G67" s="8">
        <v>1</v>
      </c>
      <c r="H67" s="8"/>
      <c r="I67" s="115">
        <f>Table223[[#This Row],[Qty]]-Table223[[#This Row],[Issue Qty]]</f>
        <v>1</v>
      </c>
      <c r="J67" s="5">
        <v>2189</v>
      </c>
      <c r="K67" s="5">
        <f t="shared" ref="K67:K130" si="3">G67*J67</f>
        <v>2189</v>
      </c>
      <c r="L67" s="11">
        <v>0</v>
      </c>
      <c r="M67" s="9">
        <f t="shared" ref="M67:M130" si="4">K67*L67</f>
        <v>0</v>
      </c>
      <c r="N67" s="5"/>
      <c r="O67" s="5"/>
      <c r="P67" s="5">
        <f t="shared" ref="P67:P130" si="5">K67+M67+N67+O67</f>
        <v>2189</v>
      </c>
      <c r="Q67" s="1" t="s">
        <v>20</v>
      </c>
      <c r="R67" s="1" t="s">
        <v>37</v>
      </c>
      <c r="S67" s="1"/>
      <c r="T67" s="1"/>
      <c r="U67" s="1"/>
      <c r="V67" s="1"/>
      <c r="W67" s="8" t="s">
        <v>52</v>
      </c>
      <c r="X67" s="8" t="s">
        <v>53</v>
      </c>
      <c r="Y67" s="8"/>
      <c r="Z67" s="22"/>
      <c r="AA67" s="1"/>
      <c r="AB67" s="23" t="s">
        <v>200</v>
      </c>
      <c r="AC67" s="1">
        <v>259</v>
      </c>
      <c r="AD67" s="2"/>
    </row>
    <row r="68" spans="1:30" s="24" customFormat="1" x14ac:dyDescent="0.25">
      <c r="A68" s="4"/>
      <c r="B68" s="4">
        <v>44958</v>
      </c>
      <c r="C68" s="6" t="s">
        <v>54</v>
      </c>
      <c r="D68" s="6" t="s">
        <v>1755</v>
      </c>
      <c r="E68" s="6" t="s">
        <v>201</v>
      </c>
      <c r="F68" s="1" t="s">
        <v>201</v>
      </c>
      <c r="G68" s="8">
        <v>1</v>
      </c>
      <c r="H68" s="8"/>
      <c r="I68" s="115">
        <f>Table223[[#This Row],[Qty]]-Table223[[#This Row],[Issue Qty]]</f>
        <v>1</v>
      </c>
      <c r="J68" s="5">
        <f>79.25*90</f>
        <v>7132.5</v>
      </c>
      <c r="K68" s="5">
        <f t="shared" si="3"/>
        <v>7132.5</v>
      </c>
      <c r="L68" s="11">
        <v>0</v>
      </c>
      <c r="M68" s="9">
        <f t="shared" si="4"/>
        <v>0</v>
      </c>
      <c r="N68" s="5"/>
      <c r="O68" s="5"/>
      <c r="P68" s="5">
        <f t="shared" si="5"/>
        <v>7132.5</v>
      </c>
      <c r="Q68" s="1" t="s">
        <v>20</v>
      </c>
      <c r="R68" s="1" t="s">
        <v>37</v>
      </c>
      <c r="S68" s="1"/>
      <c r="T68" s="1"/>
      <c r="U68" s="1"/>
      <c r="V68" s="1"/>
      <c r="W68" s="8" t="s">
        <v>107</v>
      </c>
      <c r="X68" s="8" t="s">
        <v>129</v>
      </c>
      <c r="Y68" s="8"/>
      <c r="Z68" s="22"/>
      <c r="AA68" s="1"/>
      <c r="AB68" s="23" t="s">
        <v>201</v>
      </c>
      <c r="AC68" s="1">
        <v>261</v>
      </c>
      <c r="AD68" s="2"/>
    </row>
    <row r="69" spans="1:30" s="24" customFormat="1" ht="30" x14ac:dyDescent="0.25">
      <c r="A69" s="4"/>
      <c r="B69" s="4">
        <v>44958</v>
      </c>
      <c r="C69" s="6" t="s">
        <v>1695</v>
      </c>
      <c r="D69" s="6" t="s">
        <v>1756</v>
      </c>
      <c r="E69" s="6" t="s">
        <v>202</v>
      </c>
      <c r="F69" s="1" t="s">
        <v>203</v>
      </c>
      <c r="G69" s="8">
        <v>1</v>
      </c>
      <c r="H69" s="8"/>
      <c r="I69" s="115">
        <f>Table223[[#This Row],[Qty]]-Table223[[#This Row],[Issue Qty]]</f>
        <v>1</v>
      </c>
      <c r="J69" s="5">
        <v>184399.47</v>
      </c>
      <c r="K69" s="5">
        <f t="shared" si="3"/>
        <v>184399.47</v>
      </c>
      <c r="L69" s="11">
        <v>0</v>
      </c>
      <c r="M69" s="9">
        <f t="shared" si="4"/>
        <v>0</v>
      </c>
      <c r="N69" s="5"/>
      <c r="O69" s="5"/>
      <c r="P69" s="5">
        <f t="shared" si="5"/>
        <v>184399.47</v>
      </c>
      <c r="Q69" s="1" t="s">
        <v>20</v>
      </c>
      <c r="R69" s="1" t="s">
        <v>37</v>
      </c>
      <c r="S69" s="1" t="s">
        <v>132</v>
      </c>
      <c r="T69" s="1"/>
      <c r="U69" s="1"/>
      <c r="V69" s="1"/>
      <c r="W69" s="8" t="s">
        <v>68</v>
      </c>
      <c r="X69" s="8" t="s">
        <v>204</v>
      </c>
      <c r="Y69" s="8"/>
      <c r="Z69" s="22"/>
      <c r="AA69" s="1"/>
      <c r="AB69" s="23" t="s">
        <v>205</v>
      </c>
      <c r="AC69" s="1" t="s">
        <v>37</v>
      </c>
      <c r="AD69" s="2"/>
    </row>
    <row r="70" spans="1:30" s="24" customFormat="1" x14ac:dyDescent="0.25">
      <c r="A70" s="4"/>
      <c r="B70" s="4">
        <v>44958</v>
      </c>
      <c r="C70" s="6" t="s">
        <v>1683</v>
      </c>
      <c r="D70" s="6" t="s">
        <v>1757</v>
      </c>
      <c r="E70" s="6" t="s">
        <v>206</v>
      </c>
      <c r="F70" s="1" t="s">
        <v>207</v>
      </c>
      <c r="G70" s="8">
        <v>4</v>
      </c>
      <c r="H70" s="8">
        <v>4</v>
      </c>
      <c r="I70" s="115">
        <f>Table223[[#This Row],[Qty]]-Table223[[#This Row],[Issue Qty]]</f>
        <v>0</v>
      </c>
      <c r="J70" s="5">
        <v>738</v>
      </c>
      <c r="K70" s="5">
        <f t="shared" si="3"/>
        <v>2952</v>
      </c>
      <c r="L70" s="11"/>
      <c r="M70" s="9">
        <f t="shared" si="4"/>
        <v>0</v>
      </c>
      <c r="N70" s="5"/>
      <c r="O70" s="5"/>
      <c r="P70" s="5">
        <f t="shared" si="5"/>
        <v>2952</v>
      </c>
      <c r="Q70" s="1" t="s">
        <v>20</v>
      </c>
      <c r="R70" s="1" t="s">
        <v>1709</v>
      </c>
      <c r="S70" s="1"/>
      <c r="T70" s="1"/>
      <c r="U70" s="1">
        <v>260</v>
      </c>
      <c r="V70" s="2"/>
      <c r="W70" s="21"/>
      <c r="X70" s="21"/>
      <c r="Y70" s="21">
        <v>4</v>
      </c>
      <c r="Z70" s="12" t="s">
        <v>208</v>
      </c>
      <c r="AA70" s="2"/>
      <c r="AB70" s="23"/>
      <c r="AC70" s="2"/>
      <c r="AD70" s="2"/>
    </row>
    <row r="71" spans="1:30" s="24" customFormat="1" ht="30" x14ac:dyDescent="0.25">
      <c r="A71" s="4"/>
      <c r="B71" s="4">
        <v>44961</v>
      </c>
      <c r="C71" s="6" t="s">
        <v>1693</v>
      </c>
      <c r="D71" s="6" t="s">
        <v>1758</v>
      </c>
      <c r="E71" s="6" t="s">
        <v>209</v>
      </c>
      <c r="F71" s="1" t="s">
        <v>210</v>
      </c>
      <c r="G71" s="8">
        <v>1</v>
      </c>
      <c r="H71" s="8"/>
      <c r="I71" s="115">
        <f>Table223[[#This Row],[Qty]]-Table223[[#This Row],[Issue Qty]]</f>
        <v>1</v>
      </c>
      <c r="J71" s="5">
        <v>4259.32</v>
      </c>
      <c r="K71" s="5">
        <f t="shared" si="3"/>
        <v>4259.32</v>
      </c>
      <c r="L71" s="11">
        <v>0</v>
      </c>
      <c r="M71" s="9">
        <f t="shared" si="4"/>
        <v>0</v>
      </c>
      <c r="N71" s="5"/>
      <c r="O71" s="5"/>
      <c r="P71" s="5">
        <f t="shared" si="5"/>
        <v>4259.32</v>
      </c>
      <c r="Q71" s="1" t="s">
        <v>211</v>
      </c>
      <c r="R71" s="1" t="s">
        <v>1690</v>
      </c>
      <c r="S71" s="1"/>
      <c r="T71" s="1"/>
      <c r="U71" s="1"/>
      <c r="V71" s="1"/>
      <c r="W71" s="8" t="s">
        <v>98</v>
      </c>
      <c r="X71" s="8" t="s">
        <v>99</v>
      </c>
      <c r="Y71" s="8"/>
      <c r="Z71" s="22"/>
      <c r="AA71" s="1"/>
      <c r="AB71" s="23" t="s">
        <v>210</v>
      </c>
      <c r="AC71" s="1">
        <v>349</v>
      </c>
      <c r="AD71" s="2"/>
    </row>
    <row r="72" spans="1:30" s="24" customFormat="1" x14ac:dyDescent="0.25">
      <c r="A72" s="4"/>
      <c r="B72" s="4">
        <v>44972</v>
      </c>
      <c r="C72" s="6" t="s">
        <v>54</v>
      </c>
      <c r="D72" s="6" t="s">
        <v>1759</v>
      </c>
      <c r="E72" s="6" t="s">
        <v>212</v>
      </c>
      <c r="F72" s="1" t="s">
        <v>213</v>
      </c>
      <c r="G72" s="8">
        <v>1</v>
      </c>
      <c r="H72" s="8"/>
      <c r="I72" s="115">
        <f>Table223[[#This Row],[Qty]]-Table223[[#This Row],[Issue Qty]]</f>
        <v>1</v>
      </c>
      <c r="J72" s="5">
        <v>12000</v>
      </c>
      <c r="K72" s="5">
        <f t="shared" si="3"/>
        <v>12000</v>
      </c>
      <c r="L72" s="11">
        <v>0</v>
      </c>
      <c r="M72" s="9">
        <f t="shared" si="4"/>
        <v>0</v>
      </c>
      <c r="N72" s="5"/>
      <c r="O72" s="5"/>
      <c r="P72" s="5">
        <f t="shared" si="5"/>
        <v>12000</v>
      </c>
      <c r="Q72" s="1" t="s">
        <v>211</v>
      </c>
      <c r="R72" s="1" t="s">
        <v>1690</v>
      </c>
      <c r="S72" s="1"/>
      <c r="T72" s="1"/>
      <c r="U72" s="1"/>
      <c r="V72" s="1"/>
      <c r="W72" s="8" t="s">
        <v>3179</v>
      </c>
      <c r="X72" s="8"/>
      <c r="Y72" s="8"/>
      <c r="Z72" s="22"/>
      <c r="AA72" s="1"/>
      <c r="AB72" s="23"/>
      <c r="AC72" s="1">
        <v>348</v>
      </c>
      <c r="AD72" s="2"/>
    </row>
    <row r="73" spans="1:30" s="24" customFormat="1" ht="30" x14ac:dyDescent="0.25">
      <c r="A73" s="4"/>
      <c r="B73" s="4">
        <v>44973</v>
      </c>
      <c r="C73" s="6" t="s">
        <v>1693</v>
      </c>
      <c r="D73" s="6" t="s">
        <v>1760</v>
      </c>
      <c r="E73" s="6" t="s">
        <v>214</v>
      </c>
      <c r="F73" s="1" t="s">
        <v>215</v>
      </c>
      <c r="G73" s="8">
        <v>1</v>
      </c>
      <c r="H73" s="8"/>
      <c r="I73" s="115">
        <f>Table223[[#This Row],[Qty]]-Table223[[#This Row],[Issue Qty]]</f>
        <v>1</v>
      </c>
      <c r="J73" s="5">
        <f>40602.6/2</f>
        <v>20301.3</v>
      </c>
      <c r="K73" s="5">
        <f t="shared" si="3"/>
        <v>20301.3</v>
      </c>
      <c r="L73" s="11">
        <v>0</v>
      </c>
      <c r="M73" s="9">
        <f t="shared" si="4"/>
        <v>0</v>
      </c>
      <c r="N73" s="5"/>
      <c r="O73" s="5"/>
      <c r="P73" s="5">
        <f t="shared" si="5"/>
        <v>20301.3</v>
      </c>
      <c r="Q73" s="1" t="s">
        <v>211</v>
      </c>
      <c r="R73" s="1" t="s">
        <v>1690</v>
      </c>
      <c r="S73" s="1" t="s">
        <v>216</v>
      </c>
      <c r="T73" s="1"/>
      <c r="U73" s="1"/>
      <c r="V73" s="1"/>
      <c r="W73" s="8" t="s">
        <v>89</v>
      </c>
      <c r="X73" s="8" t="s">
        <v>217</v>
      </c>
      <c r="Y73" s="8"/>
      <c r="Z73" s="22"/>
      <c r="AA73" s="1"/>
      <c r="AB73" s="23" t="s">
        <v>218</v>
      </c>
      <c r="AC73" s="1">
        <v>356</v>
      </c>
      <c r="AD73" s="2"/>
    </row>
    <row r="74" spans="1:30" s="24" customFormat="1" ht="45" x14ac:dyDescent="0.25">
      <c r="A74" s="4"/>
      <c r="B74" s="4">
        <v>44984</v>
      </c>
      <c r="C74" s="6" t="s">
        <v>1693</v>
      </c>
      <c r="D74" s="6" t="s">
        <v>1761</v>
      </c>
      <c r="E74" s="6" t="s">
        <v>219</v>
      </c>
      <c r="F74" s="1" t="s">
        <v>220</v>
      </c>
      <c r="G74" s="8">
        <v>1</v>
      </c>
      <c r="H74" s="8"/>
      <c r="I74" s="115">
        <f>Table223[[#This Row],[Qty]]-Table223[[#This Row],[Issue Qty]]</f>
        <v>1</v>
      </c>
      <c r="J74" s="5">
        <v>228925.41</v>
      </c>
      <c r="K74" s="5">
        <f t="shared" si="3"/>
        <v>228925.41</v>
      </c>
      <c r="L74" s="11">
        <v>0</v>
      </c>
      <c r="M74" s="9">
        <f t="shared" si="4"/>
        <v>0</v>
      </c>
      <c r="N74" s="5"/>
      <c r="O74" s="5"/>
      <c r="P74" s="5">
        <f t="shared" si="5"/>
        <v>228925.41</v>
      </c>
      <c r="Q74" s="1" t="s">
        <v>211</v>
      </c>
      <c r="R74" s="1" t="s">
        <v>1690</v>
      </c>
      <c r="S74" s="1" t="s">
        <v>221</v>
      </c>
      <c r="T74" s="1"/>
      <c r="U74" s="1"/>
      <c r="V74" s="1"/>
      <c r="W74" s="8" t="s">
        <v>505</v>
      </c>
      <c r="X74" s="8"/>
      <c r="Y74" s="8">
        <v>1</v>
      </c>
      <c r="Z74" s="22" t="s">
        <v>222</v>
      </c>
      <c r="AA74" s="1"/>
      <c r="AB74" s="23" t="s">
        <v>223</v>
      </c>
      <c r="AC74" s="1">
        <v>352</v>
      </c>
      <c r="AD74" s="2"/>
    </row>
    <row r="75" spans="1:30" s="24" customFormat="1" ht="30" x14ac:dyDescent="0.25">
      <c r="A75" s="4"/>
      <c r="B75" s="4">
        <v>44985</v>
      </c>
      <c r="C75" s="6" t="s">
        <v>1695</v>
      </c>
      <c r="D75" s="6" t="s">
        <v>1762</v>
      </c>
      <c r="E75" s="6" t="s">
        <v>224</v>
      </c>
      <c r="F75" s="1" t="s">
        <v>224</v>
      </c>
      <c r="G75" s="8">
        <v>1</v>
      </c>
      <c r="H75" s="8"/>
      <c r="I75" s="115">
        <f>Table223[[#This Row],[Qty]]-Table223[[#This Row],[Issue Qty]]</f>
        <v>1</v>
      </c>
      <c r="J75" s="5">
        <v>249588.5</v>
      </c>
      <c r="K75" s="5">
        <f t="shared" si="3"/>
        <v>249588.5</v>
      </c>
      <c r="L75" s="11">
        <v>0</v>
      </c>
      <c r="M75" s="9">
        <f t="shared" si="4"/>
        <v>0</v>
      </c>
      <c r="N75" s="5"/>
      <c r="O75" s="5"/>
      <c r="P75" s="5">
        <f t="shared" si="5"/>
        <v>249588.5</v>
      </c>
      <c r="Q75" s="1" t="s">
        <v>2887</v>
      </c>
      <c r="R75" s="1" t="s">
        <v>1763</v>
      </c>
      <c r="S75" s="1" t="s">
        <v>225</v>
      </c>
      <c r="T75" s="1"/>
      <c r="U75" s="1"/>
      <c r="V75" s="1"/>
      <c r="W75" s="8"/>
      <c r="X75" s="8"/>
      <c r="Y75" s="8">
        <v>1</v>
      </c>
      <c r="Z75" s="22" t="s">
        <v>226</v>
      </c>
      <c r="AA75" s="1"/>
      <c r="AB75" s="23" t="s">
        <v>227</v>
      </c>
      <c r="AC75" s="1">
        <v>363</v>
      </c>
      <c r="AD75" s="2"/>
    </row>
    <row r="76" spans="1:30" s="24" customFormat="1" ht="30" x14ac:dyDescent="0.25">
      <c r="A76" s="4"/>
      <c r="B76" s="4">
        <v>44985</v>
      </c>
      <c r="C76" s="6" t="s">
        <v>1695</v>
      </c>
      <c r="D76" s="6" t="s">
        <v>1764</v>
      </c>
      <c r="E76" s="6" t="s">
        <v>228</v>
      </c>
      <c r="F76" s="1" t="s">
        <v>228</v>
      </c>
      <c r="G76" s="8">
        <v>1</v>
      </c>
      <c r="H76" s="8"/>
      <c r="I76" s="115">
        <f>Table223[[#This Row],[Qty]]-Table223[[#This Row],[Issue Qty]]</f>
        <v>1</v>
      </c>
      <c r="J76" s="5">
        <v>0</v>
      </c>
      <c r="K76" s="5">
        <f t="shared" si="3"/>
        <v>0</v>
      </c>
      <c r="L76" s="11">
        <v>0</v>
      </c>
      <c r="M76" s="9">
        <f t="shared" si="4"/>
        <v>0</v>
      </c>
      <c r="N76" s="5"/>
      <c r="O76" s="5"/>
      <c r="P76" s="5">
        <f t="shared" si="5"/>
        <v>0</v>
      </c>
      <c r="Q76" s="1" t="s">
        <v>2887</v>
      </c>
      <c r="R76" s="1" t="s">
        <v>1763</v>
      </c>
      <c r="S76" s="1" t="s">
        <v>225</v>
      </c>
      <c r="T76" s="1"/>
      <c r="U76" s="1"/>
      <c r="V76" s="1"/>
      <c r="W76" s="8" t="s">
        <v>1046</v>
      </c>
      <c r="X76" s="8"/>
      <c r="Y76" s="8"/>
      <c r="Z76" s="22"/>
      <c r="AA76" s="1"/>
      <c r="AB76" s="23" t="s">
        <v>227</v>
      </c>
      <c r="AC76" s="1">
        <v>363</v>
      </c>
      <c r="AD76" s="2"/>
    </row>
    <row r="77" spans="1:30" s="24" customFormat="1" x14ac:dyDescent="0.25">
      <c r="A77" s="4"/>
      <c r="B77" s="4">
        <v>45000</v>
      </c>
      <c r="C77" s="6" t="s">
        <v>1693</v>
      </c>
      <c r="D77" s="1" t="s">
        <v>1765</v>
      </c>
      <c r="E77" s="26" t="s">
        <v>229</v>
      </c>
      <c r="F77" s="1" t="s">
        <v>229</v>
      </c>
      <c r="G77" s="8">
        <v>1</v>
      </c>
      <c r="H77" s="8"/>
      <c r="I77" s="115">
        <f>Table223[[#This Row],[Qty]]-Table223[[#This Row],[Issue Qty]]</f>
        <v>1</v>
      </c>
      <c r="J77" s="5">
        <v>1863.56</v>
      </c>
      <c r="K77" s="5">
        <f t="shared" si="3"/>
        <v>1863.56</v>
      </c>
      <c r="L77" s="11">
        <v>0</v>
      </c>
      <c r="M77" s="9">
        <f t="shared" si="4"/>
        <v>0</v>
      </c>
      <c r="N77" s="5"/>
      <c r="O77" s="5"/>
      <c r="P77" s="5">
        <f t="shared" si="5"/>
        <v>1863.56</v>
      </c>
      <c r="Q77" s="1" t="s">
        <v>20</v>
      </c>
      <c r="R77" s="1" t="s">
        <v>1763</v>
      </c>
      <c r="S77" s="1"/>
      <c r="T77" s="1"/>
      <c r="U77" s="1"/>
      <c r="V77" s="1"/>
      <c r="W77" s="8" t="s">
        <v>89</v>
      </c>
      <c r="X77" s="8" t="s">
        <v>90</v>
      </c>
      <c r="Y77" s="8"/>
      <c r="Z77" s="22"/>
      <c r="AA77" s="1"/>
      <c r="AB77" s="29"/>
      <c r="AC77" s="1">
        <v>393</v>
      </c>
      <c r="AD77" s="2"/>
    </row>
    <row r="78" spans="1:30" s="24" customFormat="1" x14ac:dyDescent="0.25">
      <c r="A78" s="4"/>
      <c r="B78" s="4">
        <v>45010</v>
      </c>
      <c r="C78" s="6" t="s">
        <v>1695</v>
      </c>
      <c r="D78" s="26" t="s">
        <v>1766</v>
      </c>
      <c r="E78" s="26" t="s">
        <v>230</v>
      </c>
      <c r="F78" s="1" t="s">
        <v>230</v>
      </c>
      <c r="G78" s="8">
        <v>2</v>
      </c>
      <c r="H78" s="8"/>
      <c r="I78" s="115">
        <f>Table223[[#This Row],[Qty]]-Table223[[#This Row],[Issue Qty]]</f>
        <v>2</v>
      </c>
      <c r="J78" s="5">
        <v>15715</v>
      </c>
      <c r="K78" s="5">
        <f t="shared" si="3"/>
        <v>31430</v>
      </c>
      <c r="L78" s="11">
        <v>0</v>
      </c>
      <c r="M78" s="9">
        <f t="shared" si="4"/>
        <v>0</v>
      </c>
      <c r="N78" s="5"/>
      <c r="O78" s="5"/>
      <c r="P78" s="5">
        <f t="shared" si="5"/>
        <v>31430</v>
      </c>
      <c r="Q78" s="1" t="s">
        <v>231</v>
      </c>
      <c r="R78" s="1" t="s">
        <v>1709</v>
      </c>
      <c r="S78" s="1"/>
      <c r="T78" s="1"/>
      <c r="U78" s="1"/>
      <c r="V78" s="1"/>
      <c r="W78" s="8" t="s">
        <v>98</v>
      </c>
      <c r="X78" s="8" t="s">
        <v>99</v>
      </c>
      <c r="Y78" s="8"/>
      <c r="Z78" s="22"/>
      <c r="AA78" s="1"/>
      <c r="AB78" s="23"/>
      <c r="AC78" s="1">
        <v>402</v>
      </c>
      <c r="AD78" s="2"/>
    </row>
    <row r="79" spans="1:30" s="24" customFormat="1" x14ac:dyDescent="0.25">
      <c r="A79" s="4"/>
      <c r="B79" s="4">
        <v>45016</v>
      </c>
      <c r="C79" s="6" t="s">
        <v>1693</v>
      </c>
      <c r="D79" s="26" t="s">
        <v>1767</v>
      </c>
      <c r="E79" s="26" t="s">
        <v>232</v>
      </c>
      <c r="F79" s="1" t="s">
        <v>233</v>
      </c>
      <c r="G79" s="8">
        <v>1</v>
      </c>
      <c r="H79" s="8">
        <v>1</v>
      </c>
      <c r="I79" s="115">
        <f>Table223[[#This Row],[Qty]]-Table223[[#This Row],[Issue Qty]]</f>
        <v>0</v>
      </c>
      <c r="J79" s="5">
        <v>508.47</v>
      </c>
      <c r="K79" s="5">
        <f t="shared" si="3"/>
        <v>508.47</v>
      </c>
      <c r="L79" s="11">
        <v>0</v>
      </c>
      <c r="M79" s="9">
        <f t="shared" si="4"/>
        <v>0</v>
      </c>
      <c r="N79" s="5"/>
      <c r="O79" s="5"/>
      <c r="P79" s="5">
        <f t="shared" si="5"/>
        <v>508.47</v>
      </c>
      <c r="Q79" s="1" t="s">
        <v>20</v>
      </c>
      <c r="R79" s="1" t="s">
        <v>1742</v>
      </c>
      <c r="S79" s="1"/>
      <c r="T79" s="1"/>
      <c r="U79" s="1"/>
      <c r="V79" s="1"/>
      <c r="W79" s="8" t="s">
        <v>72</v>
      </c>
      <c r="X79" s="8" t="s">
        <v>94</v>
      </c>
      <c r="Y79" s="8">
        <v>1</v>
      </c>
      <c r="Z79" s="22" t="s">
        <v>2946</v>
      </c>
      <c r="AA79" s="1"/>
      <c r="AB79" s="23"/>
      <c r="AC79" s="1">
        <v>411</v>
      </c>
      <c r="AD79" s="2"/>
    </row>
    <row r="80" spans="1:30" s="24" customFormat="1" ht="30" x14ac:dyDescent="0.25">
      <c r="A80" s="4"/>
      <c r="B80" s="4">
        <v>45016</v>
      </c>
      <c r="C80" s="6" t="s">
        <v>1693</v>
      </c>
      <c r="D80" s="6" t="s">
        <v>1768</v>
      </c>
      <c r="E80" s="6" t="s">
        <v>234</v>
      </c>
      <c r="F80" s="1" t="s">
        <v>235</v>
      </c>
      <c r="G80" s="8">
        <v>2</v>
      </c>
      <c r="H80" s="8"/>
      <c r="I80" s="115">
        <f>Table223[[#This Row],[Qty]]-Table223[[#This Row],[Issue Qty]]</f>
        <v>2</v>
      </c>
      <c r="J80" s="5">
        <v>1364.405</v>
      </c>
      <c r="K80" s="5">
        <f t="shared" si="3"/>
        <v>2728.81</v>
      </c>
      <c r="L80" s="11">
        <v>0</v>
      </c>
      <c r="M80" s="9">
        <f t="shared" si="4"/>
        <v>0</v>
      </c>
      <c r="N80" s="5"/>
      <c r="O80" s="5"/>
      <c r="P80" s="5">
        <f t="shared" si="5"/>
        <v>2728.81</v>
      </c>
      <c r="Q80" s="1" t="s">
        <v>231</v>
      </c>
      <c r="R80" s="1" t="s">
        <v>1709</v>
      </c>
      <c r="S80" s="1"/>
      <c r="T80" s="1"/>
      <c r="U80" s="1"/>
      <c r="V80" s="1"/>
      <c r="W80" s="8" t="s">
        <v>52</v>
      </c>
      <c r="X80" s="8" t="s">
        <v>53</v>
      </c>
      <c r="Y80" s="8"/>
      <c r="Z80" s="22"/>
      <c r="AA80" s="1"/>
      <c r="AB80" s="23" t="s">
        <v>236</v>
      </c>
      <c r="AC80" s="1">
        <v>411</v>
      </c>
      <c r="AD80" s="2"/>
    </row>
    <row r="81" spans="1:30" s="24" customFormat="1" x14ac:dyDescent="0.25">
      <c r="A81" s="4"/>
      <c r="B81" s="4">
        <v>45016</v>
      </c>
      <c r="C81" s="6" t="s">
        <v>1683</v>
      </c>
      <c r="D81" s="6" t="s">
        <v>1769</v>
      </c>
      <c r="E81" s="6" t="s">
        <v>237</v>
      </c>
      <c r="F81" s="1" t="s">
        <v>238</v>
      </c>
      <c r="G81" s="8">
        <v>2</v>
      </c>
      <c r="H81" s="8">
        <v>0</v>
      </c>
      <c r="I81" s="115">
        <f>Table223[[#This Row],[Qty]]-Table223[[#This Row],[Issue Qty]]</f>
        <v>2</v>
      </c>
      <c r="J81" s="5">
        <v>3033.9</v>
      </c>
      <c r="K81" s="5">
        <f t="shared" si="3"/>
        <v>6067.8</v>
      </c>
      <c r="L81" s="11">
        <v>0</v>
      </c>
      <c r="M81" s="9">
        <f t="shared" si="4"/>
        <v>0</v>
      </c>
      <c r="N81" s="5"/>
      <c r="O81" s="5"/>
      <c r="P81" s="5">
        <f t="shared" si="5"/>
        <v>6067.8</v>
      </c>
      <c r="Q81" s="1" t="s">
        <v>2887</v>
      </c>
      <c r="R81" s="1" t="s">
        <v>1763</v>
      </c>
      <c r="S81" s="1"/>
      <c r="T81" s="1"/>
      <c r="U81" s="1"/>
      <c r="V81" s="1"/>
      <c r="W81" s="8" t="s">
        <v>244</v>
      </c>
      <c r="X81" s="8"/>
      <c r="Y81" s="8"/>
      <c r="Z81" s="22"/>
      <c r="AA81" s="1"/>
      <c r="AB81" s="23" t="s">
        <v>238</v>
      </c>
      <c r="AC81" s="1">
        <v>411</v>
      </c>
      <c r="AD81" s="2"/>
    </row>
    <row r="82" spans="1:30" s="24" customFormat="1" x14ac:dyDescent="0.25">
      <c r="A82" s="4"/>
      <c r="B82" s="4">
        <v>45017</v>
      </c>
      <c r="C82" s="6" t="s">
        <v>1683</v>
      </c>
      <c r="D82" s="26" t="s">
        <v>1770</v>
      </c>
      <c r="E82" s="26" t="s">
        <v>239</v>
      </c>
      <c r="F82" s="30" t="s">
        <v>240</v>
      </c>
      <c r="G82" s="8">
        <v>2</v>
      </c>
      <c r="H82" s="8">
        <v>2</v>
      </c>
      <c r="I82" s="115">
        <f>Table223[[#This Row],[Qty]]-Table223[[#This Row],[Issue Qty]]</f>
        <v>0</v>
      </c>
      <c r="J82" s="5">
        <v>22900</v>
      </c>
      <c r="K82" s="5">
        <f t="shared" si="3"/>
        <v>45800</v>
      </c>
      <c r="L82" s="11">
        <v>0</v>
      </c>
      <c r="M82" s="9">
        <f t="shared" si="4"/>
        <v>0</v>
      </c>
      <c r="N82" s="5"/>
      <c r="O82" s="5"/>
      <c r="P82" s="5">
        <f t="shared" si="5"/>
        <v>45800</v>
      </c>
      <c r="Q82" s="1" t="s">
        <v>20</v>
      </c>
      <c r="R82" s="1" t="s">
        <v>37</v>
      </c>
      <c r="S82" s="1"/>
      <c r="T82" s="1"/>
      <c r="U82" s="1"/>
      <c r="V82" s="1"/>
      <c r="W82" s="21" t="s">
        <v>3349</v>
      </c>
      <c r="X82" s="8"/>
      <c r="Y82" s="8">
        <v>2</v>
      </c>
      <c r="Z82" s="22" t="s">
        <v>3373</v>
      </c>
      <c r="AA82" s="1"/>
      <c r="AB82" s="23"/>
      <c r="AC82" s="1"/>
      <c r="AD82" s="2"/>
    </row>
    <row r="83" spans="1:30" x14ac:dyDescent="0.25">
      <c r="A83" s="4"/>
      <c r="B83" s="4">
        <v>45078</v>
      </c>
      <c r="C83" s="6" t="s">
        <v>1693</v>
      </c>
      <c r="D83" s="26" t="s">
        <v>1771</v>
      </c>
      <c r="E83" s="26" t="s">
        <v>241</v>
      </c>
      <c r="F83" s="1" t="s">
        <v>242</v>
      </c>
      <c r="G83" s="8">
        <v>1</v>
      </c>
      <c r="H83" s="8"/>
      <c r="I83" s="115">
        <f>Table223[[#This Row],[Qty]]-Table223[[#This Row],[Issue Qty]]</f>
        <v>1</v>
      </c>
      <c r="J83" s="5">
        <v>7970.48</v>
      </c>
      <c r="K83" s="5">
        <f t="shared" si="3"/>
        <v>7970.48</v>
      </c>
      <c r="L83" s="11">
        <v>0.05</v>
      </c>
      <c r="M83" s="9">
        <f t="shared" si="4"/>
        <v>398.524</v>
      </c>
      <c r="N83" s="5"/>
      <c r="O83" s="5"/>
      <c r="P83" s="5">
        <f t="shared" si="5"/>
        <v>8369.003999999999</v>
      </c>
      <c r="Q83" s="1" t="s">
        <v>231</v>
      </c>
      <c r="R83" s="1" t="s">
        <v>1709</v>
      </c>
      <c r="S83" s="1" t="s">
        <v>243</v>
      </c>
      <c r="T83" s="1" t="s">
        <v>1772</v>
      </c>
      <c r="U83" s="1"/>
      <c r="V83" s="1"/>
      <c r="W83" s="8" t="s">
        <v>244</v>
      </c>
      <c r="X83" s="8"/>
      <c r="Y83" s="8"/>
      <c r="Z83" s="22"/>
      <c r="AA83" s="1"/>
      <c r="AB83" s="23"/>
      <c r="AC83" s="1"/>
      <c r="AD83" s="27"/>
    </row>
    <row r="84" spans="1:30" s="24" customFormat="1" x14ac:dyDescent="0.25">
      <c r="A84" s="4"/>
      <c r="B84" s="4">
        <v>45085</v>
      </c>
      <c r="C84" s="6" t="s">
        <v>54</v>
      </c>
      <c r="D84" s="6" t="s">
        <v>37</v>
      </c>
      <c r="E84" s="1" t="s">
        <v>245</v>
      </c>
      <c r="F84" s="1" t="s">
        <v>245</v>
      </c>
      <c r="G84" s="8">
        <v>2</v>
      </c>
      <c r="H84" s="8"/>
      <c r="I84" s="115">
        <f>Table223[[#This Row],[Qty]]-Table223[[#This Row],[Issue Qty]]</f>
        <v>2</v>
      </c>
      <c r="J84" s="5">
        <f>2614766.34/2</f>
        <v>1307383.17</v>
      </c>
      <c r="K84" s="5">
        <f t="shared" si="3"/>
        <v>2614766.34</v>
      </c>
      <c r="L84" s="11"/>
      <c r="M84" s="9">
        <f t="shared" si="4"/>
        <v>0</v>
      </c>
      <c r="N84" s="5"/>
      <c r="O84" s="5"/>
      <c r="P84" s="5">
        <f t="shared" si="5"/>
        <v>2614766.34</v>
      </c>
      <c r="Q84" s="1" t="s">
        <v>245</v>
      </c>
      <c r="R84" s="1" t="s">
        <v>245</v>
      </c>
      <c r="S84" s="1" t="s">
        <v>246</v>
      </c>
      <c r="T84" s="1"/>
      <c r="U84" s="1"/>
      <c r="V84" s="27"/>
      <c r="W84" s="28"/>
      <c r="X84" s="28"/>
      <c r="Y84" s="21">
        <v>2</v>
      </c>
      <c r="Z84" s="12" t="s">
        <v>247</v>
      </c>
      <c r="AA84" s="27"/>
      <c r="AB84" s="23"/>
      <c r="AC84" s="27"/>
      <c r="AD84" s="2"/>
    </row>
    <row r="85" spans="1:30" s="24" customFormat="1" x14ac:dyDescent="0.25">
      <c r="A85" s="4"/>
      <c r="B85" s="4">
        <v>45111</v>
      </c>
      <c r="C85" s="6" t="s">
        <v>54</v>
      </c>
      <c r="D85" s="6" t="s">
        <v>1773</v>
      </c>
      <c r="E85" s="6" t="s">
        <v>248</v>
      </c>
      <c r="F85" s="30" t="s">
        <v>249</v>
      </c>
      <c r="G85" s="8">
        <v>1</v>
      </c>
      <c r="H85" s="8"/>
      <c r="I85" s="115">
        <f>Table223[[#This Row],[Qty]]-Table223[[#This Row],[Issue Qty]]</f>
        <v>1</v>
      </c>
      <c r="J85" s="5">
        <f>15608/4</f>
        <v>3902</v>
      </c>
      <c r="K85" s="5">
        <f t="shared" si="3"/>
        <v>3902</v>
      </c>
      <c r="L85" s="11">
        <v>0</v>
      </c>
      <c r="M85" s="9">
        <f t="shared" si="4"/>
        <v>0</v>
      </c>
      <c r="N85" s="5"/>
      <c r="O85" s="5"/>
      <c r="P85" s="5">
        <f t="shared" si="5"/>
        <v>3902</v>
      </c>
      <c r="Q85" s="1" t="s">
        <v>250</v>
      </c>
      <c r="R85" s="1"/>
      <c r="S85" s="1" t="s">
        <v>251</v>
      </c>
      <c r="T85" s="1"/>
      <c r="U85" s="1"/>
      <c r="V85" s="1"/>
      <c r="W85" s="8" t="s">
        <v>252</v>
      </c>
      <c r="X85" s="8"/>
      <c r="Y85" s="8"/>
      <c r="Z85" s="22"/>
      <c r="AA85" s="1" t="s">
        <v>253</v>
      </c>
      <c r="AB85" s="23" t="s">
        <v>254</v>
      </c>
      <c r="AC85" s="1"/>
      <c r="AD85" s="2"/>
    </row>
    <row r="86" spans="1:30" s="24" customFormat="1" x14ac:dyDescent="0.25">
      <c r="A86" s="4"/>
      <c r="B86" s="4">
        <v>45111</v>
      </c>
      <c r="C86" s="6" t="s">
        <v>54</v>
      </c>
      <c r="D86" s="6" t="s">
        <v>1774</v>
      </c>
      <c r="E86" s="6" t="s">
        <v>255</v>
      </c>
      <c r="F86" s="30" t="s">
        <v>249</v>
      </c>
      <c r="G86" s="8">
        <v>1</v>
      </c>
      <c r="H86" s="8"/>
      <c r="I86" s="115">
        <f>Table223[[#This Row],[Qty]]-Table223[[#This Row],[Issue Qty]]</f>
        <v>1</v>
      </c>
      <c r="J86" s="5">
        <f>15608/4</f>
        <v>3902</v>
      </c>
      <c r="K86" s="5">
        <f t="shared" si="3"/>
        <v>3902</v>
      </c>
      <c r="L86" s="11">
        <v>0</v>
      </c>
      <c r="M86" s="9">
        <f t="shared" si="4"/>
        <v>0</v>
      </c>
      <c r="N86" s="5"/>
      <c r="O86" s="5"/>
      <c r="P86" s="5">
        <f t="shared" si="5"/>
        <v>3902</v>
      </c>
      <c r="Q86" s="1" t="s">
        <v>250</v>
      </c>
      <c r="R86" s="1"/>
      <c r="S86" s="1" t="s">
        <v>251</v>
      </c>
      <c r="T86" s="1"/>
      <c r="U86" s="1"/>
      <c r="V86" s="1"/>
      <c r="W86" s="8" t="s">
        <v>252</v>
      </c>
      <c r="X86" s="8"/>
      <c r="Y86" s="8"/>
      <c r="Z86" s="22"/>
      <c r="AA86" s="1" t="s">
        <v>253</v>
      </c>
      <c r="AB86" s="23" t="s">
        <v>254</v>
      </c>
      <c r="AC86" s="1"/>
      <c r="AD86" s="2"/>
    </row>
    <row r="87" spans="1:30" s="24" customFormat="1" x14ac:dyDescent="0.25">
      <c r="A87" s="4"/>
      <c r="B87" s="4">
        <v>45111</v>
      </c>
      <c r="C87" s="6" t="s">
        <v>54</v>
      </c>
      <c r="D87" s="6" t="s">
        <v>1775</v>
      </c>
      <c r="E87" s="6" t="s">
        <v>256</v>
      </c>
      <c r="F87" s="30" t="s">
        <v>249</v>
      </c>
      <c r="G87" s="8">
        <v>1</v>
      </c>
      <c r="H87" s="8"/>
      <c r="I87" s="115">
        <f>Table223[[#This Row],[Qty]]-Table223[[#This Row],[Issue Qty]]</f>
        <v>1</v>
      </c>
      <c r="J87" s="5">
        <f>15608/4</f>
        <v>3902</v>
      </c>
      <c r="K87" s="5">
        <f t="shared" si="3"/>
        <v>3902</v>
      </c>
      <c r="L87" s="11">
        <v>0</v>
      </c>
      <c r="M87" s="9">
        <f t="shared" si="4"/>
        <v>0</v>
      </c>
      <c r="N87" s="5"/>
      <c r="O87" s="5"/>
      <c r="P87" s="5">
        <f t="shared" si="5"/>
        <v>3902</v>
      </c>
      <c r="Q87" s="1" t="s">
        <v>250</v>
      </c>
      <c r="R87" s="1"/>
      <c r="S87" s="1" t="s">
        <v>251</v>
      </c>
      <c r="T87" s="1"/>
      <c r="U87" s="1"/>
      <c r="V87" s="1"/>
      <c r="W87" s="8" t="s">
        <v>252</v>
      </c>
      <c r="X87" s="8"/>
      <c r="Y87" s="8"/>
      <c r="Z87" s="22"/>
      <c r="AA87" s="1" t="s">
        <v>253</v>
      </c>
      <c r="AB87" s="23" t="s">
        <v>254</v>
      </c>
      <c r="AC87" s="1"/>
      <c r="AD87" s="2"/>
    </row>
    <row r="88" spans="1:30" s="24" customFormat="1" x14ac:dyDescent="0.25">
      <c r="A88" s="4"/>
      <c r="B88" s="4">
        <v>45111</v>
      </c>
      <c r="C88" s="6" t="s">
        <v>54</v>
      </c>
      <c r="D88" s="6" t="s">
        <v>1776</v>
      </c>
      <c r="E88" s="6" t="s">
        <v>257</v>
      </c>
      <c r="F88" s="30" t="s">
        <v>249</v>
      </c>
      <c r="G88" s="8">
        <v>1</v>
      </c>
      <c r="H88" s="8"/>
      <c r="I88" s="115">
        <f>Table223[[#This Row],[Qty]]-Table223[[#This Row],[Issue Qty]]</f>
        <v>1</v>
      </c>
      <c r="J88" s="5">
        <f>15608/4</f>
        <v>3902</v>
      </c>
      <c r="K88" s="5">
        <f t="shared" si="3"/>
        <v>3902</v>
      </c>
      <c r="L88" s="11">
        <v>0</v>
      </c>
      <c r="M88" s="9">
        <f t="shared" si="4"/>
        <v>0</v>
      </c>
      <c r="N88" s="5"/>
      <c r="O88" s="5"/>
      <c r="P88" s="5">
        <f t="shared" si="5"/>
        <v>3902</v>
      </c>
      <c r="Q88" s="1" t="s">
        <v>250</v>
      </c>
      <c r="R88" s="1"/>
      <c r="S88" s="1" t="s">
        <v>251</v>
      </c>
      <c r="T88" s="1"/>
      <c r="U88" s="1"/>
      <c r="V88" s="1"/>
      <c r="W88" s="8" t="s">
        <v>252</v>
      </c>
      <c r="X88" s="8"/>
      <c r="Y88" s="8"/>
      <c r="Z88" s="22"/>
      <c r="AA88" s="1" t="s">
        <v>253</v>
      </c>
      <c r="AB88" s="23" t="s">
        <v>254</v>
      </c>
      <c r="AC88" s="1"/>
      <c r="AD88" s="2"/>
    </row>
    <row r="89" spans="1:30" s="24" customFormat="1" x14ac:dyDescent="0.25">
      <c r="A89" s="4"/>
      <c r="B89" s="4">
        <v>45122</v>
      </c>
      <c r="C89" s="6" t="s">
        <v>1693</v>
      </c>
      <c r="D89" s="6" t="s">
        <v>1777</v>
      </c>
      <c r="E89" s="6" t="s">
        <v>258</v>
      </c>
      <c r="F89" s="30" t="s">
        <v>259</v>
      </c>
      <c r="G89" s="8">
        <v>1</v>
      </c>
      <c r="H89" s="8"/>
      <c r="I89" s="115">
        <f>Table223[[#This Row],[Qty]]-Table223[[#This Row],[Issue Qty]]</f>
        <v>1</v>
      </c>
      <c r="J89" s="5">
        <v>952.38</v>
      </c>
      <c r="K89" s="5">
        <f t="shared" si="3"/>
        <v>952.38</v>
      </c>
      <c r="L89" s="11">
        <v>0.05</v>
      </c>
      <c r="M89" s="9">
        <f t="shared" si="4"/>
        <v>47.619</v>
      </c>
      <c r="N89" s="5"/>
      <c r="O89" s="5"/>
      <c r="P89" s="5">
        <f t="shared" si="5"/>
        <v>999.99900000000002</v>
      </c>
      <c r="Q89" s="30" t="s">
        <v>260</v>
      </c>
      <c r="R89" s="1" t="s">
        <v>1690</v>
      </c>
      <c r="S89" s="1" t="s">
        <v>243</v>
      </c>
      <c r="T89" s="1" t="s">
        <v>1778</v>
      </c>
      <c r="U89" s="1"/>
      <c r="V89" s="1"/>
      <c r="W89" s="8" t="s">
        <v>89</v>
      </c>
      <c r="X89" s="8" t="s">
        <v>262</v>
      </c>
      <c r="Y89" s="8"/>
      <c r="Z89" s="22"/>
      <c r="AA89" s="1"/>
      <c r="AB89" s="23" t="s">
        <v>263</v>
      </c>
      <c r="AC89" s="1"/>
      <c r="AD89" s="2"/>
    </row>
    <row r="90" spans="1:30" s="24" customFormat="1" x14ac:dyDescent="0.25">
      <c r="A90" s="4"/>
      <c r="B90" s="4">
        <v>45122</v>
      </c>
      <c r="C90" s="6" t="s">
        <v>1683</v>
      </c>
      <c r="D90" s="6" t="s">
        <v>1779</v>
      </c>
      <c r="E90" s="6" t="s">
        <v>264</v>
      </c>
      <c r="F90" s="30" t="s">
        <v>265</v>
      </c>
      <c r="G90" s="8">
        <v>1</v>
      </c>
      <c r="H90" s="8">
        <v>1</v>
      </c>
      <c r="I90" s="115">
        <f>Table223[[#This Row],[Qty]]-Table223[[#This Row],[Issue Qty]]</f>
        <v>0</v>
      </c>
      <c r="J90" s="5">
        <v>84.75</v>
      </c>
      <c r="K90" s="5">
        <f t="shared" si="3"/>
        <v>84.75</v>
      </c>
      <c r="L90" s="11">
        <v>0.18</v>
      </c>
      <c r="M90" s="9">
        <f t="shared" si="4"/>
        <v>15.254999999999999</v>
      </c>
      <c r="N90" s="5"/>
      <c r="O90" s="5"/>
      <c r="P90" s="5">
        <f t="shared" si="5"/>
        <v>100.005</v>
      </c>
      <c r="Q90" s="30" t="s">
        <v>260</v>
      </c>
      <c r="R90" s="1" t="s">
        <v>1690</v>
      </c>
      <c r="S90" s="1" t="s">
        <v>243</v>
      </c>
      <c r="T90" s="1" t="s">
        <v>1778</v>
      </c>
      <c r="U90" s="1"/>
      <c r="V90" s="1"/>
      <c r="W90" s="8" t="s">
        <v>72</v>
      </c>
      <c r="X90" s="8" t="s">
        <v>117</v>
      </c>
      <c r="Y90" s="8">
        <v>1</v>
      </c>
      <c r="Z90" s="22"/>
      <c r="AA90" s="1"/>
      <c r="AB90" s="23"/>
      <c r="AC90" s="1"/>
      <c r="AD90" s="2"/>
    </row>
    <row r="91" spans="1:30" s="24" customFormat="1" x14ac:dyDescent="0.25">
      <c r="A91" s="4"/>
      <c r="B91" s="4">
        <v>45122</v>
      </c>
      <c r="C91" s="6" t="s">
        <v>1683</v>
      </c>
      <c r="D91" s="6" t="s">
        <v>1780</v>
      </c>
      <c r="E91" s="6" t="s">
        <v>266</v>
      </c>
      <c r="F91" s="30" t="s">
        <v>267</v>
      </c>
      <c r="G91" s="8">
        <v>1</v>
      </c>
      <c r="H91" s="8"/>
      <c r="I91" s="115">
        <f>Table223[[#This Row],[Qty]]-Table223[[#This Row],[Issue Qty]]</f>
        <v>1</v>
      </c>
      <c r="J91" s="5">
        <v>6101.69</v>
      </c>
      <c r="K91" s="5">
        <f t="shared" si="3"/>
        <v>6101.69</v>
      </c>
      <c r="L91" s="11"/>
      <c r="M91" s="9">
        <f t="shared" si="4"/>
        <v>0</v>
      </c>
      <c r="N91" s="5"/>
      <c r="O91" s="5"/>
      <c r="P91" s="5">
        <f t="shared" si="5"/>
        <v>6101.69</v>
      </c>
      <c r="Q91" s="30" t="s">
        <v>260</v>
      </c>
      <c r="R91" s="1" t="s">
        <v>1690</v>
      </c>
      <c r="S91" s="1" t="s">
        <v>243</v>
      </c>
      <c r="T91" s="1" t="s">
        <v>1778</v>
      </c>
      <c r="U91" s="1"/>
      <c r="V91" s="27"/>
      <c r="W91" s="8" t="s">
        <v>268</v>
      </c>
      <c r="X91" s="28"/>
      <c r="Y91" s="21">
        <v>1</v>
      </c>
      <c r="Z91" s="12" t="s">
        <v>269</v>
      </c>
      <c r="AA91" s="27"/>
      <c r="AB91" s="31"/>
      <c r="AC91" s="27"/>
      <c r="AD91" s="2"/>
    </row>
    <row r="92" spans="1:30" s="44" customFormat="1" x14ac:dyDescent="0.25">
      <c r="A92" s="32"/>
      <c r="B92" s="32">
        <v>45122</v>
      </c>
      <c r="C92" s="33" t="s">
        <v>1693</v>
      </c>
      <c r="D92" s="33" t="s">
        <v>1767</v>
      </c>
      <c r="E92" s="33" t="s">
        <v>232</v>
      </c>
      <c r="F92" s="34" t="s">
        <v>270</v>
      </c>
      <c r="G92" s="35">
        <v>1</v>
      </c>
      <c r="H92" s="35">
        <v>1</v>
      </c>
      <c r="I92" s="157">
        <f>Table223[[#This Row],[Qty]]-Table223[[#This Row],[Issue Qty]]</f>
        <v>0</v>
      </c>
      <c r="J92" s="36">
        <v>501.7</v>
      </c>
      <c r="K92" s="36">
        <f t="shared" si="3"/>
        <v>501.7</v>
      </c>
      <c r="L92" s="37"/>
      <c r="M92" s="38">
        <f t="shared" si="4"/>
        <v>0</v>
      </c>
      <c r="N92" s="36"/>
      <c r="O92" s="36"/>
      <c r="P92" s="36">
        <f t="shared" si="5"/>
        <v>501.7</v>
      </c>
      <c r="Q92" s="34" t="s">
        <v>260</v>
      </c>
      <c r="R92" s="39" t="s">
        <v>1690</v>
      </c>
      <c r="S92" s="39" t="s">
        <v>243</v>
      </c>
      <c r="T92" s="39" t="s">
        <v>1778</v>
      </c>
      <c r="U92" s="39"/>
      <c r="V92" s="40"/>
      <c r="W92" s="35" t="s">
        <v>72</v>
      </c>
      <c r="X92" s="41"/>
      <c r="Y92" s="35">
        <v>1</v>
      </c>
      <c r="Z92" s="42" t="s">
        <v>271</v>
      </c>
      <c r="AA92" s="40"/>
      <c r="AB92" s="43"/>
      <c r="AC92" s="40"/>
      <c r="AD92" s="39"/>
    </row>
    <row r="93" spans="1:30" s="24" customFormat="1" x14ac:dyDescent="0.25">
      <c r="A93" s="4"/>
      <c r="B93" s="4">
        <v>45134</v>
      </c>
      <c r="C93" s="6" t="s">
        <v>1693</v>
      </c>
      <c r="D93" s="6" t="s">
        <v>1771</v>
      </c>
      <c r="E93" s="6" t="s">
        <v>241</v>
      </c>
      <c r="F93" s="30" t="s">
        <v>272</v>
      </c>
      <c r="G93" s="8">
        <v>1</v>
      </c>
      <c r="H93" s="8"/>
      <c r="I93" s="115">
        <f>Table223[[#This Row],[Qty]]-Table223[[#This Row],[Issue Qty]]</f>
        <v>1</v>
      </c>
      <c r="J93" s="5">
        <v>13333</v>
      </c>
      <c r="K93" s="5">
        <f t="shared" si="3"/>
        <v>13333</v>
      </c>
      <c r="L93" s="11"/>
      <c r="M93" s="9">
        <f t="shared" si="4"/>
        <v>0</v>
      </c>
      <c r="N93" s="5"/>
      <c r="O93" s="5"/>
      <c r="P93" s="5">
        <f t="shared" si="5"/>
        <v>13333</v>
      </c>
      <c r="Q93" s="1" t="s">
        <v>231</v>
      </c>
      <c r="R93" s="1" t="s">
        <v>1709</v>
      </c>
      <c r="S93" s="1" t="s">
        <v>243</v>
      </c>
      <c r="T93" s="1" t="s">
        <v>1781</v>
      </c>
      <c r="U93" s="1"/>
      <c r="V93" s="2"/>
      <c r="W93" s="21" t="s">
        <v>244</v>
      </c>
      <c r="X93" s="21"/>
      <c r="Y93" s="21"/>
      <c r="Z93" s="12" t="s">
        <v>208</v>
      </c>
      <c r="AA93" s="2"/>
      <c r="AB93" s="23" t="s">
        <v>273</v>
      </c>
      <c r="AC93" s="2"/>
      <c r="AD93" s="2"/>
    </row>
    <row r="94" spans="1:30" s="24" customFormat="1" ht="30" x14ac:dyDescent="0.25">
      <c r="A94" s="4"/>
      <c r="B94" s="4">
        <v>45145</v>
      </c>
      <c r="C94" s="6" t="s">
        <v>1688</v>
      </c>
      <c r="D94" s="6" t="s">
        <v>1782</v>
      </c>
      <c r="E94" s="6" t="s">
        <v>274</v>
      </c>
      <c r="F94" s="30" t="s">
        <v>275</v>
      </c>
      <c r="G94" s="8">
        <v>1</v>
      </c>
      <c r="H94" s="8"/>
      <c r="I94" s="115">
        <f>Table223[[#This Row],[Qty]]-Table223[[#This Row],[Issue Qty]]</f>
        <v>1</v>
      </c>
      <c r="J94" s="5">
        <v>4480.95</v>
      </c>
      <c r="K94" s="5">
        <f t="shared" si="3"/>
        <v>4480.95</v>
      </c>
      <c r="L94" s="11">
        <v>0.05</v>
      </c>
      <c r="M94" s="9">
        <f t="shared" si="4"/>
        <v>224.04750000000001</v>
      </c>
      <c r="N94" s="5"/>
      <c r="O94" s="5"/>
      <c r="P94" s="5">
        <f t="shared" si="5"/>
        <v>4704.9974999999995</v>
      </c>
      <c r="Q94" s="1" t="s">
        <v>260</v>
      </c>
      <c r="R94" s="1" t="s">
        <v>260</v>
      </c>
      <c r="S94" s="1" t="s">
        <v>243</v>
      </c>
      <c r="T94" s="1" t="s">
        <v>1783</v>
      </c>
      <c r="U94" s="1"/>
      <c r="V94" s="2"/>
      <c r="W94" s="21" t="s">
        <v>339</v>
      </c>
      <c r="X94" s="21"/>
      <c r="Y94" s="21"/>
      <c r="Z94" s="12"/>
      <c r="AA94" s="2"/>
      <c r="AB94" s="23" t="s">
        <v>276</v>
      </c>
      <c r="AC94" s="2"/>
      <c r="AD94" s="2"/>
    </row>
    <row r="95" spans="1:30" s="24" customFormat="1" x14ac:dyDescent="0.25">
      <c r="A95" s="4"/>
      <c r="B95" s="4">
        <v>45149</v>
      </c>
      <c r="C95" s="6" t="s">
        <v>1693</v>
      </c>
      <c r="D95" s="6" t="s">
        <v>1784</v>
      </c>
      <c r="E95" s="170" t="s">
        <v>277</v>
      </c>
      <c r="F95" s="1" t="s">
        <v>278</v>
      </c>
      <c r="G95" s="8">
        <v>1</v>
      </c>
      <c r="H95" s="8">
        <v>1</v>
      </c>
      <c r="I95" s="115">
        <f>Table223[[#This Row],[Qty]]-Table223[[#This Row],[Issue Qty]]</f>
        <v>0</v>
      </c>
      <c r="J95" s="5">
        <v>6693.22</v>
      </c>
      <c r="K95" s="5">
        <f t="shared" si="3"/>
        <v>6693.22</v>
      </c>
      <c r="L95" s="11"/>
      <c r="M95" s="9">
        <f t="shared" si="4"/>
        <v>0</v>
      </c>
      <c r="N95" s="5">
        <v>0</v>
      </c>
      <c r="O95" s="5"/>
      <c r="P95" s="5">
        <f t="shared" si="5"/>
        <v>6693.22</v>
      </c>
      <c r="Q95" s="1" t="s">
        <v>231</v>
      </c>
      <c r="R95" s="1" t="s">
        <v>1709</v>
      </c>
      <c r="S95" s="1" t="s">
        <v>279</v>
      </c>
      <c r="T95" s="1" t="s">
        <v>1785</v>
      </c>
      <c r="U95" s="6" t="s">
        <v>1786</v>
      </c>
      <c r="V95" s="2"/>
      <c r="W95" s="21" t="s">
        <v>388</v>
      </c>
      <c r="X95" s="21"/>
      <c r="Y95" s="21">
        <v>1</v>
      </c>
      <c r="Z95" s="12" t="s">
        <v>208</v>
      </c>
      <c r="AA95" s="2"/>
      <c r="AB95" s="23" t="s">
        <v>273</v>
      </c>
      <c r="AC95" s="2"/>
      <c r="AD95" s="2"/>
    </row>
    <row r="96" spans="1:30" s="24" customFormat="1" x14ac:dyDescent="0.25">
      <c r="A96" s="4"/>
      <c r="B96" s="4">
        <v>45149</v>
      </c>
      <c r="C96" s="6" t="s">
        <v>54</v>
      </c>
      <c r="D96" s="6" t="s">
        <v>1787</v>
      </c>
      <c r="E96" s="6" t="s">
        <v>280</v>
      </c>
      <c r="F96" s="1" t="s">
        <v>280</v>
      </c>
      <c r="G96" s="8">
        <v>1</v>
      </c>
      <c r="H96" s="8">
        <v>0</v>
      </c>
      <c r="I96" s="115">
        <f>Table223[[#This Row],[Qty]]-Table223[[#This Row],[Issue Qty]]</f>
        <v>1</v>
      </c>
      <c r="J96" s="5">
        <v>3499</v>
      </c>
      <c r="K96" s="5">
        <f t="shared" si="3"/>
        <v>3499</v>
      </c>
      <c r="L96" s="11"/>
      <c r="M96" s="9">
        <f t="shared" si="4"/>
        <v>0</v>
      </c>
      <c r="N96" s="5">
        <v>108</v>
      </c>
      <c r="O96" s="45"/>
      <c r="P96" s="5">
        <f t="shared" si="5"/>
        <v>3607</v>
      </c>
      <c r="Q96" s="1" t="s">
        <v>231</v>
      </c>
      <c r="R96" s="1" t="s">
        <v>1709</v>
      </c>
      <c r="S96" s="1" t="s">
        <v>281</v>
      </c>
      <c r="T96" s="1">
        <v>6440</v>
      </c>
      <c r="U96" s="6"/>
      <c r="V96" s="27"/>
      <c r="W96" s="21" t="s">
        <v>420</v>
      </c>
      <c r="X96" s="28"/>
      <c r="Y96" s="21">
        <v>1</v>
      </c>
      <c r="Z96" s="12" t="s">
        <v>208</v>
      </c>
      <c r="AA96" s="27"/>
      <c r="AB96" s="23" t="s">
        <v>273</v>
      </c>
      <c r="AC96" s="27"/>
      <c r="AD96" s="2"/>
    </row>
    <row r="97" spans="1:30" s="24" customFormat="1" x14ac:dyDescent="0.25">
      <c r="A97" s="4"/>
      <c r="B97" s="4">
        <v>45163</v>
      </c>
      <c r="C97" s="6" t="s">
        <v>1693</v>
      </c>
      <c r="D97" s="26" t="s">
        <v>1788</v>
      </c>
      <c r="E97" s="26" t="s">
        <v>282</v>
      </c>
      <c r="F97" s="1" t="s">
        <v>283</v>
      </c>
      <c r="G97" s="8">
        <v>1</v>
      </c>
      <c r="H97" s="8"/>
      <c r="I97" s="115">
        <f>Table223[[#This Row],[Qty]]-Table223[[#This Row],[Issue Qty]]</f>
        <v>1</v>
      </c>
      <c r="J97" s="5">
        <v>1638.14</v>
      </c>
      <c r="K97" s="5">
        <f t="shared" si="3"/>
        <v>1638.14</v>
      </c>
      <c r="L97" s="11">
        <v>0.18</v>
      </c>
      <c r="M97" s="9">
        <f t="shared" si="4"/>
        <v>294.86520000000002</v>
      </c>
      <c r="N97" s="5">
        <v>0</v>
      </c>
      <c r="O97" s="5"/>
      <c r="P97" s="5">
        <f t="shared" si="5"/>
        <v>1933.0052000000001</v>
      </c>
      <c r="Q97" s="1" t="s">
        <v>20</v>
      </c>
      <c r="R97" s="1" t="s">
        <v>1709</v>
      </c>
      <c r="S97" s="1" t="s">
        <v>243</v>
      </c>
      <c r="T97" s="1" t="s">
        <v>1789</v>
      </c>
      <c r="U97" s="1"/>
      <c r="V97" s="1"/>
      <c r="W97" s="8" t="s">
        <v>52</v>
      </c>
      <c r="X97" s="8" t="s">
        <v>53</v>
      </c>
      <c r="Y97" s="8"/>
      <c r="Z97" s="22"/>
      <c r="AA97" s="1"/>
      <c r="AB97" s="23"/>
      <c r="AC97" s="6"/>
      <c r="AD97" s="2"/>
    </row>
    <row r="98" spans="1:30" s="24" customFormat="1" x14ac:dyDescent="0.25">
      <c r="A98" s="4"/>
      <c r="B98" s="4">
        <v>45163</v>
      </c>
      <c r="C98" s="6" t="s">
        <v>1693</v>
      </c>
      <c r="D98" s="6" t="s">
        <v>1790</v>
      </c>
      <c r="E98" s="6" t="s">
        <v>284</v>
      </c>
      <c r="F98" s="1" t="s">
        <v>272</v>
      </c>
      <c r="G98" s="8">
        <v>1</v>
      </c>
      <c r="H98" s="8"/>
      <c r="I98" s="115">
        <f>Table223[[#This Row],[Qty]]-Table223[[#This Row],[Issue Qty]]</f>
        <v>1</v>
      </c>
      <c r="J98" s="5">
        <v>14665</v>
      </c>
      <c r="K98" s="5">
        <f t="shared" si="3"/>
        <v>14665</v>
      </c>
      <c r="L98" s="11">
        <v>0.05</v>
      </c>
      <c r="M98" s="9">
        <f t="shared" si="4"/>
        <v>733.25</v>
      </c>
      <c r="N98" s="5">
        <v>0</v>
      </c>
      <c r="O98" s="5"/>
      <c r="P98" s="5">
        <f t="shared" si="5"/>
        <v>15398.25</v>
      </c>
      <c r="Q98" s="1" t="s">
        <v>20</v>
      </c>
      <c r="R98" s="1" t="s">
        <v>1709</v>
      </c>
      <c r="S98" s="1" t="s">
        <v>243</v>
      </c>
      <c r="T98" s="1" t="s">
        <v>1789</v>
      </c>
      <c r="U98" s="1"/>
      <c r="V98" s="1"/>
      <c r="W98" s="8" t="s">
        <v>25</v>
      </c>
      <c r="X98" s="8"/>
      <c r="Y98" s="8"/>
      <c r="Z98" s="22"/>
      <c r="AA98" s="1"/>
      <c r="AB98" s="23"/>
      <c r="AC98" s="6"/>
      <c r="AD98" s="2"/>
    </row>
    <row r="99" spans="1:30" s="24" customFormat="1" x14ac:dyDescent="0.25">
      <c r="A99" s="4"/>
      <c r="B99" s="4">
        <v>45171</v>
      </c>
      <c r="C99" s="6" t="s">
        <v>1693</v>
      </c>
      <c r="D99" s="26" t="s">
        <v>1791</v>
      </c>
      <c r="E99" s="26" t="s">
        <v>285</v>
      </c>
      <c r="F99" s="1" t="s">
        <v>286</v>
      </c>
      <c r="G99" s="8">
        <v>1</v>
      </c>
      <c r="H99" s="8"/>
      <c r="I99" s="115">
        <f>Table223[[#This Row],[Qty]]-Table223[[#This Row],[Issue Qty]]</f>
        <v>1</v>
      </c>
      <c r="J99" s="5">
        <v>27235.22</v>
      </c>
      <c r="K99" s="5">
        <f t="shared" si="3"/>
        <v>27235.22</v>
      </c>
      <c r="L99" s="11">
        <v>0</v>
      </c>
      <c r="M99" s="9">
        <f t="shared" si="4"/>
        <v>0</v>
      </c>
      <c r="N99" s="5">
        <v>8301.6</v>
      </c>
      <c r="O99" s="5"/>
      <c r="P99" s="5">
        <f t="shared" si="5"/>
        <v>35536.82</v>
      </c>
      <c r="Q99" s="1" t="s">
        <v>20</v>
      </c>
      <c r="R99" s="1" t="s">
        <v>1709</v>
      </c>
      <c r="S99" s="1" t="s">
        <v>287</v>
      </c>
      <c r="T99" s="1">
        <v>1001097633</v>
      </c>
      <c r="U99" s="1"/>
      <c r="V99" s="1"/>
      <c r="W99" s="8" t="s">
        <v>25</v>
      </c>
      <c r="X99" s="8"/>
      <c r="Y99" s="8"/>
      <c r="Z99" s="22"/>
      <c r="AA99" s="1"/>
      <c r="AB99" s="23"/>
      <c r="AC99" s="1"/>
      <c r="AD99" s="2"/>
    </row>
    <row r="100" spans="1:30" ht="30" x14ac:dyDescent="0.25">
      <c r="A100" s="4"/>
      <c r="B100" s="4">
        <v>45176</v>
      </c>
      <c r="C100" s="6" t="s">
        <v>1688</v>
      </c>
      <c r="D100" s="26" t="s">
        <v>1792</v>
      </c>
      <c r="E100" s="26" t="s">
        <v>288</v>
      </c>
      <c r="F100" s="1" t="s">
        <v>289</v>
      </c>
      <c r="G100" s="8">
        <v>1</v>
      </c>
      <c r="H100" s="8"/>
      <c r="I100" s="115">
        <f>Table223[[#This Row],[Qty]]-Table223[[#This Row],[Issue Qty]]</f>
        <v>1</v>
      </c>
      <c r="J100" s="5">
        <v>12500</v>
      </c>
      <c r="K100" s="5">
        <f t="shared" si="3"/>
        <v>12500</v>
      </c>
      <c r="L100" s="11">
        <v>0.18</v>
      </c>
      <c r="M100" s="9">
        <f t="shared" si="4"/>
        <v>2250</v>
      </c>
      <c r="N100" s="5">
        <v>0</v>
      </c>
      <c r="O100" s="5"/>
      <c r="P100" s="5">
        <f t="shared" si="5"/>
        <v>14750</v>
      </c>
      <c r="Q100" s="1" t="s">
        <v>20</v>
      </c>
      <c r="R100" s="1" t="s">
        <v>1709</v>
      </c>
      <c r="S100" s="1" t="s">
        <v>290</v>
      </c>
      <c r="T100" s="1" t="s">
        <v>1793</v>
      </c>
      <c r="U100" s="1"/>
      <c r="V100" s="1"/>
      <c r="W100" s="8" t="s">
        <v>29</v>
      </c>
      <c r="X100" s="8"/>
      <c r="Y100" s="8"/>
      <c r="Z100" s="22"/>
      <c r="AA100" s="1"/>
      <c r="AB100" s="23"/>
      <c r="AC100" s="1"/>
      <c r="AD100" s="27"/>
    </row>
    <row r="101" spans="1:30" s="24" customFormat="1" x14ac:dyDescent="0.25">
      <c r="A101" s="4"/>
      <c r="B101" s="4">
        <v>45180</v>
      </c>
      <c r="C101" s="6" t="s">
        <v>1683</v>
      </c>
      <c r="D101" s="26" t="s">
        <v>1794</v>
      </c>
      <c r="E101" s="26" t="s">
        <v>291</v>
      </c>
      <c r="F101" s="1" t="s">
        <v>292</v>
      </c>
      <c r="G101" s="8">
        <v>1</v>
      </c>
      <c r="H101" s="8"/>
      <c r="I101" s="115">
        <f>Table223[[#This Row],[Qty]]-Table223[[#This Row],[Issue Qty]]</f>
        <v>1</v>
      </c>
      <c r="J101" s="5">
        <v>3046.67</v>
      </c>
      <c r="K101" s="5">
        <f t="shared" si="3"/>
        <v>3046.67</v>
      </c>
      <c r="L101" s="11">
        <v>0.05</v>
      </c>
      <c r="M101" s="9">
        <f t="shared" si="4"/>
        <v>152.33350000000002</v>
      </c>
      <c r="N101" s="5"/>
      <c r="O101" s="5"/>
      <c r="P101" s="5">
        <f t="shared" si="5"/>
        <v>3199.0035000000003</v>
      </c>
      <c r="Q101" s="1" t="s">
        <v>20</v>
      </c>
      <c r="R101" s="1" t="s">
        <v>1709</v>
      </c>
      <c r="S101" s="1" t="s">
        <v>243</v>
      </c>
      <c r="T101" s="1" t="s">
        <v>1795</v>
      </c>
      <c r="U101" s="1"/>
      <c r="V101" s="1"/>
      <c r="W101" s="8" t="s">
        <v>29</v>
      </c>
      <c r="X101" s="8"/>
      <c r="Y101" s="8"/>
      <c r="Z101" s="22"/>
      <c r="AA101" s="1"/>
      <c r="AB101" s="23"/>
      <c r="AC101" s="1"/>
      <c r="AD101" s="2"/>
    </row>
    <row r="102" spans="1:30" s="24" customFormat="1" x14ac:dyDescent="0.25">
      <c r="A102" s="4"/>
      <c r="B102" s="4">
        <v>45181</v>
      </c>
      <c r="C102" s="6" t="s">
        <v>1693</v>
      </c>
      <c r="D102" s="6" t="s">
        <v>37</v>
      </c>
      <c r="E102" s="1" t="s">
        <v>293</v>
      </c>
      <c r="F102" s="1" t="s">
        <v>293</v>
      </c>
      <c r="G102" s="8">
        <v>1</v>
      </c>
      <c r="H102" s="8"/>
      <c r="I102" s="115">
        <f>Table223[[#This Row],[Qty]]-Table223[[#This Row],[Issue Qty]]</f>
        <v>1</v>
      </c>
      <c r="J102" s="5">
        <v>49999</v>
      </c>
      <c r="K102" s="5">
        <f t="shared" si="3"/>
        <v>49999</v>
      </c>
      <c r="L102" s="11"/>
      <c r="M102" s="9">
        <f t="shared" si="4"/>
        <v>0</v>
      </c>
      <c r="N102" s="5">
        <v>0</v>
      </c>
      <c r="O102" s="5"/>
      <c r="P102" s="5">
        <f t="shared" si="5"/>
        <v>49999</v>
      </c>
      <c r="Q102" s="1" t="s">
        <v>20</v>
      </c>
      <c r="R102" s="1" t="s">
        <v>245</v>
      </c>
      <c r="S102" s="1" t="s">
        <v>294</v>
      </c>
      <c r="T102" s="1" t="s">
        <v>1796</v>
      </c>
      <c r="U102" s="1"/>
      <c r="V102" s="2"/>
      <c r="W102" s="21" t="s">
        <v>37</v>
      </c>
      <c r="X102" s="21"/>
      <c r="Y102" s="21"/>
      <c r="Z102" s="12"/>
      <c r="AA102" s="2"/>
      <c r="AB102" s="23"/>
      <c r="AC102" s="2"/>
      <c r="AD102" s="2"/>
    </row>
    <row r="103" spans="1:30" s="24" customFormat="1" x14ac:dyDescent="0.25">
      <c r="A103" s="4"/>
      <c r="B103" s="4">
        <v>45181</v>
      </c>
      <c r="C103" s="6" t="s">
        <v>1693</v>
      </c>
      <c r="D103" s="6" t="s">
        <v>37</v>
      </c>
      <c r="E103" s="1" t="s">
        <v>295</v>
      </c>
      <c r="F103" s="1" t="s">
        <v>295</v>
      </c>
      <c r="G103" s="8">
        <v>1</v>
      </c>
      <c r="H103" s="8"/>
      <c r="I103" s="115">
        <f>Table223[[#This Row],[Qty]]-Table223[[#This Row],[Issue Qty]]</f>
        <v>1</v>
      </c>
      <c r="J103" s="5">
        <v>39999</v>
      </c>
      <c r="K103" s="5">
        <f t="shared" si="3"/>
        <v>39999</v>
      </c>
      <c r="L103" s="11"/>
      <c r="M103" s="9">
        <f t="shared" si="4"/>
        <v>0</v>
      </c>
      <c r="N103" s="5">
        <v>0</v>
      </c>
      <c r="O103" s="5"/>
      <c r="P103" s="5">
        <f t="shared" si="5"/>
        <v>39999</v>
      </c>
      <c r="Q103" s="1" t="s">
        <v>20</v>
      </c>
      <c r="R103" s="1" t="s">
        <v>245</v>
      </c>
      <c r="S103" s="1" t="s">
        <v>294</v>
      </c>
      <c r="T103" s="1" t="s">
        <v>1796</v>
      </c>
      <c r="U103" s="1"/>
      <c r="V103" s="2"/>
      <c r="W103" s="21" t="s">
        <v>37</v>
      </c>
      <c r="X103" s="21"/>
      <c r="Y103" s="21"/>
      <c r="Z103" s="12"/>
      <c r="AA103" s="2"/>
      <c r="AB103" s="23"/>
      <c r="AC103" s="2"/>
      <c r="AD103" s="2"/>
    </row>
    <row r="104" spans="1:30" s="24" customFormat="1" ht="30" x14ac:dyDescent="0.25">
      <c r="A104" s="4"/>
      <c r="B104" s="4">
        <v>45190</v>
      </c>
      <c r="C104" s="6" t="s">
        <v>1683</v>
      </c>
      <c r="D104" s="6" t="s">
        <v>1797</v>
      </c>
      <c r="E104" s="170" t="s">
        <v>296</v>
      </c>
      <c r="F104" s="1" t="s">
        <v>297</v>
      </c>
      <c r="G104" s="8">
        <v>4</v>
      </c>
      <c r="H104" s="8">
        <v>4</v>
      </c>
      <c r="I104" s="115">
        <f>Table223[[#This Row],[Qty]]-Table223[[#This Row],[Issue Qty]]</f>
        <v>0</v>
      </c>
      <c r="J104" s="5">
        <v>1691.57</v>
      </c>
      <c r="K104" s="5">
        <f t="shared" si="3"/>
        <v>6766.28</v>
      </c>
      <c r="L104" s="11"/>
      <c r="M104" s="9">
        <f t="shared" si="4"/>
        <v>0</v>
      </c>
      <c r="N104" s="5">
        <v>0</v>
      </c>
      <c r="O104" s="5"/>
      <c r="P104" s="5">
        <f t="shared" si="5"/>
        <v>6766.28</v>
      </c>
      <c r="Q104" s="1" t="s">
        <v>20</v>
      </c>
      <c r="R104" s="1" t="s">
        <v>1709</v>
      </c>
      <c r="S104" s="1" t="s">
        <v>287</v>
      </c>
      <c r="T104" s="1" t="s">
        <v>1798</v>
      </c>
      <c r="U104" s="1"/>
      <c r="V104" s="2"/>
      <c r="W104" s="21" t="s">
        <v>22</v>
      </c>
      <c r="X104" s="21"/>
      <c r="Y104" s="21">
        <v>4</v>
      </c>
      <c r="Z104" s="12" t="s">
        <v>208</v>
      </c>
      <c r="AA104" s="2"/>
      <c r="AB104" s="23" t="s">
        <v>273</v>
      </c>
      <c r="AC104" s="2"/>
      <c r="AD104" s="2"/>
    </row>
    <row r="105" spans="1:30" s="24" customFormat="1" x14ac:dyDescent="0.25">
      <c r="A105" s="4"/>
      <c r="B105" s="4">
        <v>45197</v>
      </c>
      <c r="C105" s="6" t="s">
        <v>1693</v>
      </c>
      <c r="D105" s="26" t="s">
        <v>1718</v>
      </c>
      <c r="E105" s="26" t="s">
        <v>110</v>
      </c>
      <c r="F105" s="1" t="s">
        <v>298</v>
      </c>
      <c r="G105" s="8">
        <v>2</v>
      </c>
      <c r="H105" s="8"/>
      <c r="I105" s="115">
        <f>Table223[[#This Row],[Qty]]-Table223[[#This Row],[Issue Qty]]</f>
        <v>2</v>
      </c>
      <c r="J105" s="5">
        <v>1525.425</v>
      </c>
      <c r="K105" s="5">
        <f t="shared" si="3"/>
        <v>3050.85</v>
      </c>
      <c r="L105" s="11">
        <v>0.18</v>
      </c>
      <c r="M105" s="9">
        <f t="shared" si="4"/>
        <v>549.15300000000002</v>
      </c>
      <c r="N105" s="5">
        <v>0</v>
      </c>
      <c r="O105" s="5"/>
      <c r="P105" s="5">
        <f t="shared" si="5"/>
        <v>3600.0029999999997</v>
      </c>
      <c r="Q105" s="1" t="s">
        <v>20</v>
      </c>
      <c r="R105" s="1" t="s">
        <v>1799</v>
      </c>
      <c r="S105" s="1" t="s">
        <v>243</v>
      </c>
      <c r="T105" s="1" t="s">
        <v>1800</v>
      </c>
      <c r="U105" s="1"/>
      <c r="V105" s="1"/>
      <c r="W105" s="21" t="s">
        <v>72</v>
      </c>
      <c r="X105" s="21" t="s">
        <v>94</v>
      </c>
      <c r="Y105" s="8"/>
      <c r="Z105" s="22"/>
      <c r="AA105" s="1"/>
      <c r="AB105" s="23" t="s">
        <v>299</v>
      </c>
      <c r="AC105" s="1"/>
      <c r="AD105" s="2"/>
    </row>
    <row r="106" spans="1:30" s="24" customFormat="1" x14ac:dyDescent="0.25">
      <c r="A106" s="4"/>
      <c r="B106" s="4">
        <v>45204</v>
      </c>
      <c r="C106" s="6" t="s">
        <v>1688</v>
      </c>
      <c r="D106" s="6" t="s">
        <v>1801</v>
      </c>
      <c r="E106" s="86" t="s">
        <v>300</v>
      </c>
      <c r="F106" s="1" t="s">
        <v>301</v>
      </c>
      <c r="G106" s="8">
        <v>1</v>
      </c>
      <c r="H106" s="8">
        <v>1</v>
      </c>
      <c r="I106" s="115">
        <f>Table223[[#This Row],[Qty]]-Table223[[#This Row],[Issue Qty]]</f>
        <v>0</v>
      </c>
      <c r="J106" s="5">
        <v>76190.48</v>
      </c>
      <c r="K106" s="5">
        <f t="shared" si="3"/>
        <v>76190.48</v>
      </c>
      <c r="L106" s="82"/>
      <c r="M106" s="9">
        <f t="shared" si="4"/>
        <v>0</v>
      </c>
      <c r="N106" s="5">
        <f>480/3</f>
        <v>160</v>
      </c>
      <c r="O106" s="5"/>
      <c r="P106" s="5">
        <f t="shared" si="5"/>
        <v>76350.48</v>
      </c>
      <c r="Q106" s="1" t="s">
        <v>20</v>
      </c>
      <c r="R106" s="1" t="s">
        <v>20</v>
      </c>
      <c r="S106" s="1" t="s">
        <v>302</v>
      </c>
      <c r="T106" s="1" t="s">
        <v>1802</v>
      </c>
      <c r="U106" s="1"/>
      <c r="V106" s="1"/>
      <c r="W106" s="8" t="s">
        <v>29</v>
      </c>
      <c r="X106" s="8"/>
      <c r="Y106" s="8">
        <v>1</v>
      </c>
      <c r="Z106" s="22" t="s">
        <v>3347</v>
      </c>
      <c r="AA106" s="1"/>
      <c r="AB106" s="23"/>
      <c r="AC106" s="1"/>
      <c r="AD106" s="2"/>
    </row>
    <row r="107" spans="1:30" s="24" customFormat="1" x14ac:dyDescent="0.25">
      <c r="A107" s="4"/>
      <c r="B107" s="4">
        <v>45210</v>
      </c>
      <c r="C107" s="6" t="s">
        <v>1683</v>
      </c>
      <c r="D107" s="6" t="s">
        <v>1803</v>
      </c>
      <c r="E107" s="6" t="s">
        <v>303</v>
      </c>
      <c r="F107" s="1" t="s">
        <v>304</v>
      </c>
      <c r="G107" s="8">
        <v>3</v>
      </c>
      <c r="H107" s="8"/>
      <c r="I107" s="115">
        <f>Table223[[#This Row],[Qty]]-Table223[[#This Row],[Issue Qty]]</f>
        <v>3</v>
      </c>
      <c r="J107" s="5">
        <v>3095.24</v>
      </c>
      <c r="K107" s="5">
        <f t="shared" si="3"/>
        <v>9285.7199999999993</v>
      </c>
      <c r="L107" s="11">
        <v>0.05</v>
      </c>
      <c r="M107" s="9">
        <f t="shared" si="4"/>
        <v>464.286</v>
      </c>
      <c r="N107" s="5">
        <v>762.71</v>
      </c>
      <c r="O107" s="5"/>
      <c r="P107" s="5">
        <f t="shared" si="5"/>
        <v>10512.716</v>
      </c>
      <c r="Q107" s="1" t="s">
        <v>20</v>
      </c>
      <c r="R107" s="1" t="s">
        <v>20</v>
      </c>
      <c r="S107" s="1" t="s">
        <v>302</v>
      </c>
      <c r="T107" s="1" t="s">
        <v>1804</v>
      </c>
      <c r="U107" s="1"/>
      <c r="V107" s="1"/>
      <c r="W107" s="21" t="s">
        <v>156</v>
      </c>
      <c r="X107" s="21" t="s">
        <v>157</v>
      </c>
      <c r="Y107" s="8"/>
      <c r="Z107" s="22"/>
      <c r="AA107" s="1"/>
      <c r="AB107" s="23"/>
      <c r="AC107" s="1"/>
      <c r="AD107" s="2"/>
    </row>
    <row r="108" spans="1:30" s="24" customFormat="1" x14ac:dyDescent="0.25">
      <c r="A108" s="4"/>
      <c r="B108" s="4">
        <v>45215</v>
      </c>
      <c r="C108" s="6" t="s">
        <v>1695</v>
      </c>
      <c r="D108" s="6" t="s">
        <v>1805</v>
      </c>
      <c r="E108" s="6" t="s">
        <v>305</v>
      </c>
      <c r="F108" s="1" t="s">
        <v>306</v>
      </c>
      <c r="G108" s="8">
        <v>1</v>
      </c>
      <c r="H108" s="8"/>
      <c r="I108" s="115">
        <f>Table223[[#This Row],[Qty]]-Table223[[#This Row],[Issue Qty]]</f>
        <v>1</v>
      </c>
      <c r="J108" s="5">
        <v>1366799.62</v>
      </c>
      <c r="K108" s="5">
        <f t="shared" si="3"/>
        <v>1366799.62</v>
      </c>
      <c r="L108" s="11">
        <v>0</v>
      </c>
      <c r="M108" s="9">
        <f t="shared" si="4"/>
        <v>0</v>
      </c>
      <c r="N108" s="5">
        <v>447259.01</v>
      </c>
      <c r="O108" s="5"/>
      <c r="P108" s="5">
        <f t="shared" si="5"/>
        <v>1814058.6300000001</v>
      </c>
      <c r="Q108" s="1" t="s">
        <v>20</v>
      </c>
      <c r="R108" s="1" t="s">
        <v>307</v>
      </c>
      <c r="S108" s="1" t="s">
        <v>308</v>
      </c>
      <c r="T108" s="1" t="s">
        <v>1806</v>
      </c>
      <c r="U108" s="1"/>
      <c r="V108" s="1"/>
      <c r="W108" s="8" t="s">
        <v>133</v>
      </c>
      <c r="X108" s="8"/>
      <c r="Y108" s="8"/>
      <c r="Z108" s="22"/>
      <c r="AA108" s="1"/>
      <c r="AB108" s="23" t="s">
        <v>309</v>
      </c>
      <c r="AC108" s="1" t="s">
        <v>1635</v>
      </c>
      <c r="AD108" s="2"/>
    </row>
    <row r="109" spans="1:30" s="24" customFormat="1" x14ac:dyDescent="0.25">
      <c r="A109" s="4"/>
      <c r="B109" s="4">
        <v>45219</v>
      </c>
      <c r="C109" s="6" t="s">
        <v>1695</v>
      </c>
      <c r="D109" s="6" t="s">
        <v>1807</v>
      </c>
      <c r="E109" s="6" t="s">
        <v>310</v>
      </c>
      <c r="F109" s="1" t="s">
        <v>311</v>
      </c>
      <c r="G109" s="8">
        <v>3</v>
      </c>
      <c r="H109" s="8"/>
      <c r="I109" s="115">
        <f>Table223[[#This Row],[Qty]]-Table223[[#This Row],[Issue Qty]]</f>
        <v>3</v>
      </c>
      <c r="J109" s="5">
        <v>33655</v>
      </c>
      <c r="K109" s="5">
        <f t="shared" si="3"/>
        <v>100965</v>
      </c>
      <c r="L109" s="11"/>
      <c r="M109" s="9">
        <f t="shared" si="4"/>
        <v>0</v>
      </c>
      <c r="N109" s="5">
        <v>125</v>
      </c>
      <c r="O109" s="5"/>
      <c r="P109" s="5">
        <f t="shared" si="5"/>
        <v>101090</v>
      </c>
      <c r="Q109" s="1" t="s">
        <v>20</v>
      </c>
      <c r="R109" s="1" t="s">
        <v>307</v>
      </c>
      <c r="S109" s="1" t="s">
        <v>312</v>
      </c>
      <c r="T109" s="1" t="s">
        <v>1808</v>
      </c>
      <c r="U109" s="1"/>
      <c r="V109" s="1"/>
      <c r="W109" s="8" t="s">
        <v>313</v>
      </c>
      <c r="X109" s="8"/>
      <c r="Y109" s="8"/>
      <c r="Z109" s="22"/>
      <c r="AA109" s="1"/>
      <c r="AB109" s="23"/>
      <c r="AC109" s="1"/>
      <c r="AD109" s="2"/>
    </row>
    <row r="110" spans="1:30" s="24" customFormat="1" x14ac:dyDescent="0.25">
      <c r="A110" s="4"/>
      <c r="B110" s="4">
        <v>45219</v>
      </c>
      <c r="C110" s="6" t="s">
        <v>1695</v>
      </c>
      <c r="D110" s="26" t="s">
        <v>1809</v>
      </c>
      <c r="E110" s="26" t="s">
        <v>314</v>
      </c>
      <c r="F110" s="1" t="s">
        <v>315</v>
      </c>
      <c r="G110" s="8">
        <v>3</v>
      </c>
      <c r="H110" s="8">
        <v>3</v>
      </c>
      <c r="I110" s="115">
        <f>Table223[[#This Row],[Qty]]-Table223[[#This Row],[Issue Qty]]</f>
        <v>0</v>
      </c>
      <c r="J110" s="5">
        <v>144000</v>
      </c>
      <c r="K110" s="5">
        <f t="shared" si="3"/>
        <v>432000</v>
      </c>
      <c r="L110" s="11"/>
      <c r="M110" s="9">
        <f t="shared" si="4"/>
        <v>0</v>
      </c>
      <c r="N110" s="5">
        <v>125</v>
      </c>
      <c r="O110" s="5"/>
      <c r="P110" s="5">
        <f t="shared" si="5"/>
        <v>432125</v>
      </c>
      <c r="Q110" s="1" t="s">
        <v>20</v>
      </c>
      <c r="R110" s="1" t="s">
        <v>307</v>
      </c>
      <c r="S110" s="1" t="s">
        <v>312</v>
      </c>
      <c r="T110" s="1" t="s">
        <v>1808</v>
      </c>
      <c r="U110" s="1"/>
      <c r="V110" s="2"/>
      <c r="W110" s="8" t="s">
        <v>313</v>
      </c>
      <c r="X110" s="21"/>
      <c r="Y110" s="21">
        <v>3</v>
      </c>
      <c r="Z110" s="12"/>
      <c r="AA110" s="2" t="s">
        <v>3408</v>
      </c>
      <c r="AB110" s="23"/>
      <c r="AC110" s="2"/>
      <c r="AD110" s="2"/>
    </row>
    <row r="111" spans="1:30" s="24" customFormat="1" ht="30" x14ac:dyDescent="0.25">
      <c r="A111" s="4"/>
      <c r="B111" s="4">
        <v>45239</v>
      </c>
      <c r="C111" s="6" t="s">
        <v>1695</v>
      </c>
      <c r="D111" s="6" t="s">
        <v>1810</v>
      </c>
      <c r="E111" s="6" t="s">
        <v>316</v>
      </c>
      <c r="F111" s="1" t="s">
        <v>316</v>
      </c>
      <c r="G111" s="8">
        <v>1</v>
      </c>
      <c r="H111" s="8"/>
      <c r="I111" s="115">
        <f>Table223[[#This Row],[Qty]]-Table223[[#This Row],[Issue Qty]]</f>
        <v>1</v>
      </c>
      <c r="J111" s="5">
        <v>11763.56</v>
      </c>
      <c r="K111" s="5">
        <f t="shared" si="3"/>
        <v>11763.56</v>
      </c>
      <c r="L111" s="11">
        <v>0.18</v>
      </c>
      <c r="M111" s="9">
        <f t="shared" si="4"/>
        <v>2117.4407999999999</v>
      </c>
      <c r="N111" s="5"/>
      <c r="O111" s="5"/>
      <c r="P111" s="5">
        <f t="shared" si="5"/>
        <v>13881.0008</v>
      </c>
      <c r="Q111" s="46"/>
      <c r="R111" s="1"/>
      <c r="S111" s="47" t="s">
        <v>243</v>
      </c>
      <c r="T111" s="46" t="s">
        <v>1811</v>
      </c>
      <c r="U111" s="1"/>
      <c r="V111" s="2"/>
      <c r="W111" s="21" t="s">
        <v>98</v>
      </c>
      <c r="X111" s="21" t="s">
        <v>99</v>
      </c>
      <c r="Y111" s="21"/>
      <c r="Z111" s="12"/>
      <c r="AA111" s="2" t="s">
        <v>317</v>
      </c>
      <c r="AB111" s="23" t="s">
        <v>318</v>
      </c>
      <c r="AC111" s="2"/>
      <c r="AD111" s="2"/>
    </row>
    <row r="112" spans="1:30" s="24" customFormat="1" x14ac:dyDescent="0.25">
      <c r="A112" s="4"/>
      <c r="B112" s="4">
        <v>45245</v>
      </c>
      <c r="C112" s="6" t="s">
        <v>1693</v>
      </c>
      <c r="D112" s="26" t="s">
        <v>1812</v>
      </c>
      <c r="E112" s="26" t="s">
        <v>319</v>
      </c>
      <c r="F112" s="1" t="s">
        <v>320</v>
      </c>
      <c r="G112" s="8">
        <v>1</v>
      </c>
      <c r="H112" s="8"/>
      <c r="I112" s="115">
        <f>Table223[[#This Row],[Qty]]-Table223[[#This Row],[Issue Qty]]</f>
        <v>1</v>
      </c>
      <c r="J112" s="5">
        <v>3041.53</v>
      </c>
      <c r="K112" s="5">
        <f t="shared" si="3"/>
        <v>3041.53</v>
      </c>
      <c r="L112" s="11">
        <v>0.18</v>
      </c>
      <c r="M112" s="9">
        <f t="shared" si="4"/>
        <v>547.47540000000004</v>
      </c>
      <c r="N112" s="5">
        <v>110</v>
      </c>
      <c r="O112" s="5"/>
      <c r="P112" s="5">
        <f t="shared" si="5"/>
        <v>3699.0054</v>
      </c>
      <c r="Q112" s="1" t="s">
        <v>20</v>
      </c>
      <c r="R112" s="1" t="s">
        <v>260</v>
      </c>
      <c r="S112" s="1" t="s">
        <v>243</v>
      </c>
      <c r="T112" s="1" t="s">
        <v>1813</v>
      </c>
      <c r="U112" s="1"/>
      <c r="V112" s="1"/>
      <c r="W112" s="8"/>
      <c r="X112" s="8"/>
      <c r="Y112" s="8"/>
      <c r="Z112" s="22"/>
      <c r="AA112" s="1"/>
      <c r="AB112" s="23"/>
      <c r="AC112" s="1"/>
      <c r="AD112" s="2"/>
    </row>
    <row r="113" spans="1:30" s="24" customFormat="1" x14ac:dyDescent="0.25">
      <c r="A113" s="4"/>
      <c r="B113" s="4">
        <v>45245</v>
      </c>
      <c r="C113" s="6" t="s">
        <v>1693</v>
      </c>
      <c r="D113" s="26" t="s">
        <v>1814</v>
      </c>
      <c r="E113" s="26" t="s">
        <v>321</v>
      </c>
      <c r="F113" s="1" t="s">
        <v>322</v>
      </c>
      <c r="G113" s="8">
        <v>2</v>
      </c>
      <c r="H113" s="8"/>
      <c r="I113" s="115">
        <f>Table223[[#This Row],[Qty]]-Table223[[#This Row],[Issue Qty]]</f>
        <v>2</v>
      </c>
      <c r="J113" s="5">
        <v>1196.08</v>
      </c>
      <c r="K113" s="5">
        <f t="shared" si="3"/>
        <v>2392.16</v>
      </c>
      <c r="L113" s="11">
        <v>0.18</v>
      </c>
      <c r="M113" s="9">
        <f t="shared" si="4"/>
        <v>430.58879999999994</v>
      </c>
      <c r="N113" s="5">
        <v>0</v>
      </c>
      <c r="O113" s="5"/>
      <c r="P113" s="5">
        <f t="shared" si="5"/>
        <v>2822.7487999999998</v>
      </c>
      <c r="Q113" s="1" t="s">
        <v>20</v>
      </c>
      <c r="R113" s="1" t="s">
        <v>307</v>
      </c>
      <c r="S113" s="1" t="s">
        <v>323</v>
      </c>
      <c r="T113" s="1">
        <v>9814</v>
      </c>
      <c r="U113" s="1"/>
      <c r="V113" s="1"/>
      <c r="W113" s="8" t="s">
        <v>72</v>
      </c>
      <c r="X113" s="8" t="s">
        <v>162</v>
      </c>
      <c r="Y113" s="8"/>
      <c r="Z113" s="22"/>
      <c r="AA113" s="1"/>
      <c r="AB113" s="23"/>
      <c r="AC113" s="1"/>
      <c r="AD113" s="2"/>
    </row>
    <row r="114" spans="1:30" s="24" customFormat="1" x14ac:dyDescent="0.25">
      <c r="A114" s="4"/>
      <c r="B114" s="4">
        <v>45250</v>
      </c>
      <c r="C114" s="6" t="s">
        <v>1693</v>
      </c>
      <c r="D114" s="26" t="s">
        <v>1815</v>
      </c>
      <c r="E114" s="26" t="s">
        <v>324</v>
      </c>
      <c r="F114" s="1" t="s">
        <v>325</v>
      </c>
      <c r="G114" s="8">
        <v>1</v>
      </c>
      <c r="H114" s="8"/>
      <c r="I114" s="115">
        <f>Table223[[#This Row],[Qty]]-Table223[[#This Row],[Issue Qty]]</f>
        <v>1</v>
      </c>
      <c r="J114" s="5">
        <v>2500</v>
      </c>
      <c r="K114" s="5">
        <f t="shared" si="3"/>
        <v>2500</v>
      </c>
      <c r="L114" s="11">
        <v>0.18</v>
      </c>
      <c r="M114" s="9">
        <f t="shared" si="4"/>
        <v>450</v>
      </c>
      <c r="N114" s="5">
        <v>150</v>
      </c>
      <c r="O114" s="5"/>
      <c r="P114" s="5">
        <f t="shared" si="5"/>
        <v>3100</v>
      </c>
      <c r="Q114" s="1" t="s">
        <v>20</v>
      </c>
      <c r="R114" s="1" t="s">
        <v>307</v>
      </c>
      <c r="S114" s="1" t="s">
        <v>326</v>
      </c>
      <c r="T114" s="1" t="s">
        <v>1816</v>
      </c>
      <c r="U114" s="1"/>
      <c r="V114" s="1"/>
      <c r="W114" s="8" t="s">
        <v>327</v>
      </c>
      <c r="X114" s="8" t="s">
        <v>328</v>
      </c>
      <c r="Y114" s="8"/>
      <c r="Z114" s="22"/>
      <c r="AA114" s="1"/>
      <c r="AB114" s="23"/>
      <c r="AC114" s="1"/>
      <c r="AD114" s="2"/>
    </row>
    <row r="115" spans="1:30" s="24" customFormat="1" ht="30" x14ac:dyDescent="0.25">
      <c r="A115" s="4"/>
      <c r="B115" s="4">
        <v>45252</v>
      </c>
      <c r="C115" s="6" t="s">
        <v>1693</v>
      </c>
      <c r="D115" s="26" t="s">
        <v>1817</v>
      </c>
      <c r="E115" s="26" t="s">
        <v>329</v>
      </c>
      <c r="F115" s="1" t="s">
        <v>330</v>
      </c>
      <c r="G115" s="8">
        <v>2</v>
      </c>
      <c r="H115" s="8"/>
      <c r="I115" s="115">
        <f>Table223[[#This Row],[Qty]]-Table223[[#This Row],[Issue Qty]]</f>
        <v>2</v>
      </c>
      <c r="J115" s="5">
        <v>273.73</v>
      </c>
      <c r="K115" s="5">
        <f t="shared" si="3"/>
        <v>547.46</v>
      </c>
      <c r="L115" s="11">
        <v>0.18</v>
      </c>
      <c r="M115" s="9">
        <f t="shared" si="4"/>
        <v>98.5428</v>
      </c>
      <c r="N115" s="5">
        <v>0</v>
      </c>
      <c r="O115" s="5"/>
      <c r="P115" s="5">
        <f t="shared" si="5"/>
        <v>646.00279999999998</v>
      </c>
      <c r="Q115" s="1" t="s">
        <v>20</v>
      </c>
      <c r="R115" s="1" t="s">
        <v>331</v>
      </c>
      <c r="S115" s="1" t="s">
        <v>243</v>
      </c>
      <c r="T115" s="1" t="s">
        <v>1818</v>
      </c>
      <c r="U115" s="1"/>
      <c r="V115" s="1"/>
      <c r="W115" s="8" t="s">
        <v>72</v>
      </c>
      <c r="X115" s="8" t="s">
        <v>332</v>
      </c>
      <c r="Y115" s="8"/>
      <c r="Z115" s="22"/>
      <c r="AA115" s="1"/>
      <c r="AB115" s="23"/>
      <c r="AC115" s="1"/>
      <c r="AD115" s="2"/>
    </row>
    <row r="116" spans="1:30" s="24" customFormat="1" ht="30" x14ac:dyDescent="0.25">
      <c r="A116" s="4"/>
      <c r="B116" s="4">
        <v>45252</v>
      </c>
      <c r="C116" s="6" t="s">
        <v>1693</v>
      </c>
      <c r="D116" s="26" t="s">
        <v>1819</v>
      </c>
      <c r="E116" s="26" t="s">
        <v>333</v>
      </c>
      <c r="F116" s="1" t="s">
        <v>334</v>
      </c>
      <c r="G116" s="8">
        <v>2</v>
      </c>
      <c r="H116" s="8"/>
      <c r="I116" s="115">
        <f>Table223[[#This Row],[Qty]]-Table223[[#This Row],[Issue Qty]]</f>
        <v>2</v>
      </c>
      <c r="J116" s="5">
        <v>117.795</v>
      </c>
      <c r="K116" s="5">
        <f t="shared" si="3"/>
        <v>235.59</v>
      </c>
      <c r="L116" s="11">
        <v>0.18</v>
      </c>
      <c r="M116" s="9">
        <f t="shared" si="4"/>
        <v>42.406199999999998</v>
      </c>
      <c r="N116" s="5">
        <v>0</v>
      </c>
      <c r="O116" s="5"/>
      <c r="P116" s="5">
        <f t="shared" si="5"/>
        <v>277.99619999999999</v>
      </c>
      <c r="Q116" s="1" t="s">
        <v>20</v>
      </c>
      <c r="R116" s="1" t="s">
        <v>331</v>
      </c>
      <c r="S116" s="1" t="s">
        <v>243</v>
      </c>
      <c r="T116" s="1" t="s">
        <v>1818</v>
      </c>
      <c r="U116" s="1"/>
      <c r="V116" s="1"/>
      <c r="W116" s="8" t="s">
        <v>72</v>
      </c>
      <c r="X116" s="8" t="s">
        <v>332</v>
      </c>
      <c r="Y116" s="8"/>
      <c r="Z116" s="22"/>
      <c r="AA116" s="1"/>
      <c r="AB116" s="23"/>
      <c r="AC116" s="1"/>
      <c r="AD116" s="2"/>
    </row>
    <row r="117" spans="1:30" s="24" customFormat="1" x14ac:dyDescent="0.25">
      <c r="A117" s="4"/>
      <c r="B117" s="4">
        <v>45267</v>
      </c>
      <c r="C117" s="6" t="s">
        <v>1693</v>
      </c>
      <c r="D117" s="6" t="s">
        <v>1751</v>
      </c>
      <c r="E117" s="6" t="s">
        <v>192</v>
      </c>
      <c r="F117" s="1" t="s">
        <v>194</v>
      </c>
      <c r="G117" s="8">
        <v>1</v>
      </c>
      <c r="H117" s="8"/>
      <c r="I117" s="115">
        <f>Table223[[#This Row],[Qty]]-Table223[[#This Row],[Issue Qty]]</f>
        <v>1</v>
      </c>
      <c r="J117" s="5">
        <v>27287.29</v>
      </c>
      <c r="K117" s="5">
        <f t="shared" si="3"/>
        <v>27287.29</v>
      </c>
      <c r="L117" s="11">
        <v>0</v>
      </c>
      <c r="M117" s="9">
        <f t="shared" si="4"/>
        <v>0</v>
      </c>
      <c r="N117" s="5">
        <v>0</v>
      </c>
      <c r="O117" s="5"/>
      <c r="P117" s="5">
        <f t="shared" si="5"/>
        <v>27287.29</v>
      </c>
      <c r="Q117" s="1" t="s">
        <v>335</v>
      </c>
      <c r="R117" s="1" t="s">
        <v>1742</v>
      </c>
      <c r="S117" s="1"/>
      <c r="T117" s="1"/>
      <c r="U117" s="1"/>
      <c r="V117" s="1"/>
      <c r="W117" s="8" t="s">
        <v>89</v>
      </c>
      <c r="X117" s="8" t="s">
        <v>90</v>
      </c>
      <c r="Y117" s="8"/>
      <c r="Z117" s="22"/>
      <c r="AA117" s="1"/>
      <c r="AB117" s="23" t="s">
        <v>194</v>
      </c>
      <c r="AC117" s="1"/>
      <c r="AD117" s="2"/>
    </row>
    <row r="118" spans="1:30" s="24" customFormat="1" x14ac:dyDescent="0.25">
      <c r="A118" s="4"/>
      <c r="B118" s="4">
        <v>45267</v>
      </c>
      <c r="C118" s="6" t="s">
        <v>1693</v>
      </c>
      <c r="D118" s="6" t="s">
        <v>1820</v>
      </c>
      <c r="E118" s="6" t="s">
        <v>336</v>
      </c>
      <c r="F118" s="1" t="s">
        <v>336</v>
      </c>
      <c r="G118" s="8">
        <v>1</v>
      </c>
      <c r="H118" s="8"/>
      <c r="I118" s="115">
        <f>Table223[[#This Row],[Qty]]-Table223[[#This Row],[Issue Qty]]</f>
        <v>1</v>
      </c>
      <c r="J118" s="5">
        <v>2889.84</v>
      </c>
      <c r="K118" s="5">
        <f t="shared" si="3"/>
        <v>2889.84</v>
      </c>
      <c r="L118" s="11">
        <v>0</v>
      </c>
      <c r="M118" s="9">
        <f t="shared" si="4"/>
        <v>0</v>
      </c>
      <c r="N118" s="5">
        <v>0</v>
      </c>
      <c r="O118" s="5"/>
      <c r="P118" s="5">
        <f t="shared" si="5"/>
        <v>2889.84</v>
      </c>
      <c r="Q118" s="1" t="s">
        <v>335</v>
      </c>
      <c r="R118" s="1" t="s">
        <v>1742</v>
      </c>
      <c r="S118" s="1"/>
      <c r="T118" s="1"/>
      <c r="U118" s="1"/>
      <c r="V118" s="1"/>
      <c r="W118" s="8" t="s">
        <v>52</v>
      </c>
      <c r="X118" s="8" t="s">
        <v>53</v>
      </c>
      <c r="Y118" s="8"/>
      <c r="Z118" s="22"/>
      <c r="AA118" s="1"/>
      <c r="AB118" s="23"/>
      <c r="AC118" s="1"/>
      <c r="AD118" s="2"/>
    </row>
    <row r="119" spans="1:30" s="24" customFormat="1" x14ac:dyDescent="0.25">
      <c r="A119" s="4"/>
      <c r="B119" s="4">
        <v>45281</v>
      </c>
      <c r="C119" s="6" t="s">
        <v>1688</v>
      </c>
      <c r="D119" s="26" t="s">
        <v>1821</v>
      </c>
      <c r="E119" s="26" t="s">
        <v>337</v>
      </c>
      <c r="F119" s="1" t="s">
        <v>337</v>
      </c>
      <c r="G119" s="8">
        <v>1</v>
      </c>
      <c r="H119" s="8"/>
      <c r="I119" s="115">
        <f>Table223[[#This Row],[Qty]]-Table223[[#This Row],[Issue Qty]]</f>
        <v>1</v>
      </c>
      <c r="J119" s="5">
        <v>31780</v>
      </c>
      <c r="K119" s="5">
        <f t="shared" si="3"/>
        <v>31780</v>
      </c>
      <c r="L119" s="11">
        <v>0.18</v>
      </c>
      <c r="M119" s="9">
        <f t="shared" si="4"/>
        <v>5720.4</v>
      </c>
      <c r="N119" s="5">
        <v>100</v>
      </c>
      <c r="O119" s="5"/>
      <c r="P119" s="5">
        <f t="shared" si="5"/>
        <v>37600.400000000001</v>
      </c>
      <c r="Q119" s="1" t="s">
        <v>20</v>
      </c>
      <c r="R119" s="1" t="s">
        <v>1822</v>
      </c>
      <c r="S119" s="1" t="s">
        <v>338</v>
      </c>
      <c r="T119" s="1" t="s">
        <v>1823</v>
      </c>
      <c r="U119" s="1"/>
      <c r="V119" s="1"/>
      <c r="W119" s="8" t="s">
        <v>339</v>
      </c>
      <c r="X119" s="8"/>
      <c r="Y119" s="8"/>
      <c r="Z119" s="22"/>
      <c r="AA119" s="1"/>
      <c r="AB119" s="23"/>
      <c r="AC119" s="1"/>
      <c r="AD119" s="2"/>
    </row>
    <row r="120" spans="1:30" s="24" customFormat="1" x14ac:dyDescent="0.25">
      <c r="A120" s="4"/>
      <c r="B120" s="4">
        <v>45281</v>
      </c>
      <c r="C120" s="6" t="s">
        <v>1693</v>
      </c>
      <c r="D120" s="26" t="s">
        <v>1824</v>
      </c>
      <c r="E120" s="26" t="s">
        <v>340</v>
      </c>
      <c r="F120" s="1" t="s">
        <v>340</v>
      </c>
      <c r="G120" s="8">
        <v>4</v>
      </c>
      <c r="H120" s="8"/>
      <c r="I120" s="115">
        <f>Table223[[#This Row],[Qty]]-Table223[[#This Row],[Issue Qty]]</f>
        <v>4</v>
      </c>
      <c r="J120" s="5">
        <v>190</v>
      </c>
      <c r="K120" s="5">
        <f t="shared" si="3"/>
        <v>760</v>
      </c>
      <c r="L120" s="11"/>
      <c r="M120" s="9">
        <f t="shared" si="4"/>
        <v>0</v>
      </c>
      <c r="N120" s="5"/>
      <c r="O120" s="5"/>
      <c r="P120" s="5">
        <f t="shared" si="5"/>
        <v>760</v>
      </c>
      <c r="Q120" s="1" t="s">
        <v>20</v>
      </c>
      <c r="R120" s="1" t="s">
        <v>307</v>
      </c>
      <c r="S120" s="1" t="s">
        <v>341</v>
      </c>
      <c r="T120" s="1"/>
      <c r="U120" s="1"/>
      <c r="V120" s="1"/>
      <c r="W120" s="8" t="s">
        <v>89</v>
      </c>
      <c r="X120" s="8" t="s">
        <v>342</v>
      </c>
      <c r="Y120" s="8"/>
      <c r="Z120" s="22"/>
      <c r="AA120" s="1"/>
      <c r="AB120" s="23"/>
      <c r="AC120" s="1"/>
      <c r="AD120" s="2"/>
    </row>
    <row r="121" spans="1:30" s="24" customFormat="1" x14ac:dyDescent="0.25">
      <c r="A121" s="4"/>
      <c r="B121" s="4">
        <v>45289</v>
      </c>
      <c r="C121" s="6" t="s">
        <v>1693</v>
      </c>
      <c r="D121" s="26" t="s">
        <v>1824</v>
      </c>
      <c r="E121" s="26" t="s">
        <v>340</v>
      </c>
      <c r="F121" s="1" t="s">
        <v>340</v>
      </c>
      <c r="G121" s="8">
        <v>4</v>
      </c>
      <c r="H121" s="8"/>
      <c r="I121" s="115">
        <f>Table223[[#This Row],[Qty]]-Table223[[#This Row],[Issue Qty]]</f>
        <v>4</v>
      </c>
      <c r="J121" s="5">
        <v>190</v>
      </c>
      <c r="K121" s="5">
        <f t="shared" si="3"/>
        <v>760</v>
      </c>
      <c r="L121" s="11">
        <v>0.18</v>
      </c>
      <c r="M121" s="9">
        <f t="shared" si="4"/>
        <v>136.79999999999998</v>
      </c>
      <c r="N121" s="5">
        <v>250</v>
      </c>
      <c r="O121" s="5"/>
      <c r="P121" s="5">
        <f t="shared" si="5"/>
        <v>1146.8</v>
      </c>
      <c r="Q121" s="1" t="s">
        <v>20</v>
      </c>
      <c r="R121" s="1" t="s">
        <v>307</v>
      </c>
      <c r="S121" s="1" t="s">
        <v>343</v>
      </c>
      <c r="T121" s="1" t="s">
        <v>1825</v>
      </c>
      <c r="U121" s="1"/>
      <c r="V121" s="1"/>
      <c r="W121" s="8" t="s">
        <v>89</v>
      </c>
      <c r="X121" s="8" t="s">
        <v>342</v>
      </c>
      <c r="Y121" s="8"/>
      <c r="Z121" s="22"/>
      <c r="AA121" s="1"/>
      <c r="AB121" s="23"/>
      <c r="AC121" s="1"/>
      <c r="AD121" s="2"/>
    </row>
    <row r="122" spans="1:30" s="24" customFormat="1" ht="30" x14ac:dyDescent="0.25">
      <c r="A122" s="4"/>
      <c r="B122" s="4">
        <v>45293</v>
      </c>
      <c r="C122" s="6" t="s">
        <v>1683</v>
      </c>
      <c r="D122" s="6" t="s">
        <v>1826</v>
      </c>
      <c r="E122" s="6" t="s">
        <v>344</v>
      </c>
      <c r="F122" s="1" t="s">
        <v>345</v>
      </c>
      <c r="G122" s="8">
        <v>2</v>
      </c>
      <c r="H122" s="8">
        <v>0</v>
      </c>
      <c r="I122" s="115">
        <f>Table223[[#This Row],[Qty]]-Table223[[#This Row],[Issue Qty]]</f>
        <v>2</v>
      </c>
      <c r="J122" s="5">
        <v>93.22</v>
      </c>
      <c r="K122" s="5">
        <f t="shared" si="3"/>
        <v>186.44</v>
      </c>
      <c r="L122" s="11"/>
      <c r="M122" s="9">
        <f t="shared" si="4"/>
        <v>0</v>
      </c>
      <c r="N122" s="48"/>
      <c r="O122" s="48"/>
      <c r="P122" s="5">
        <f t="shared" si="5"/>
        <v>186.44</v>
      </c>
      <c r="Q122" s="1" t="s">
        <v>346</v>
      </c>
      <c r="R122" s="1" t="s">
        <v>307</v>
      </c>
      <c r="S122" s="1" t="s">
        <v>347</v>
      </c>
      <c r="T122" s="2"/>
      <c r="U122" s="2"/>
      <c r="V122" s="2"/>
      <c r="W122" s="21" t="s">
        <v>89</v>
      </c>
      <c r="X122" s="21"/>
      <c r="Y122" s="21">
        <v>2</v>
      </c>
      <c r="Z122" s="12" t="s">
        <v>348</v>
      </c>
      <c r="AA122" s="2"/>
      <c r="AB122" s="23" t="s">
        <v>349</v>
      </c>
      <c r="AC122" s="2"/>
      <c r="AD122" s="2"/>
    </row>
    <row r="123" spans="1:30" s="24" customFormat="1" x14ac:dyDescent="0.25">
      <c r="A123" s="4"/>
      <c r="B123" s="4">
        <v>45293</v>
      </c>
      <c r="C123" s="6" t="s">
        <v>1693</v>
      </c>
      <c r="D123" s="26" t="s">
        <v>1807</v>
      </c>
      <c r="E123" s="26" t="s">
        <v>310</v>
      </c>
      <c r="F123" s="1" t="s">
        <v>311</v>
      </c>
      <c r="G123" s="8">
        <v>2</v>
      </c>
      <c r="H123" s="8"/>
      <c r="I123" s="115">
        <f>Table223[[#This Row],[Qty]]-Table223[[#This Row],[Issue Qty]]</f>
        <v>2</v>
      </c>
      <c r="J123" s="5">
        <v>34847</v>
      </c>
      <c r="K123" s="5">
        <f t="shared" si="3"/>
        <v>69694</v>
      </c>
      <c r="L123" s="11">
        <v>0.18043045312365499</v>
      </c>
      <c r="M123" s="9">
        <f t="shared" si="4"/>
        <v>12574.920000000011</v>
      </c>
      <c r="N123" s="5">
        <v>250</v>
      </c>
      <c r="O123" s="5"/>
      <c r="P123" s="5">
        <f t="shared" si="5"/>
        <v>82518.920000000013</v>
      </c>
      <c r="Q123" s="1" t="s">
        <v>307</v>
      </c>
      <c r="R123" s="1" t="s">
        <v>307</v>
      </c>
      <c r="S123" s="1" t="s">
        <v>312</v>
      </c>
      <c r="T123" s="1" t="s">
        <v>350</v>
      </c>
      <c r="U123" s="1"/>
      <c r="V123" s="1"/>
      <c r="W123" s="8" t="s">
        <v>313</v>
      </c>
      <c r="X123" s="8"/>
      <c r="Y123" s="8"/>
      <c r="Z123" s="22"/>
      <c r="AA123" s="1"/>
      <c r="AB123" s="23"/>
      <c r="AC123" s="1"/>
      <c r="AD123" s="2"/>
    </row>
    <row r="124" spans="1:30" s="24" customFormat="1" x14ac:dyDescent="0.25">
      <c r="A124" s="4"/>
      <c r="B124" s="4">
        <v>45293</v>
      </c>
      <c r="C124" s="6" t="s">
        <v>1693</v>
      </c>
      <c r="D124" s="26" t="s">
        <v>1807</v>
      </c>
      <c r="E124" s="26" t="s">
        <v>310</v>
      </c>
      <c r="F124" s="1" t="s">
        <v>311</v>
      </c>
      <c r="G124" s="8">
        <v>1</v>
      </c>
      <c r="H124" s="8"/>
      <c r="I124" s="115">
        <f>Table223[[#This Row],[Qty]]-Table223[[#This Row],[Issue Qty]]</f>
        <v>1</v>
      </c>
      <c r="J124" s="5">
        <v>34847</v>
      </c>
      <c r="K124" s="5">
        <f t="shared" si="3"/>
        <v>34847</v>
      </c>
      <c r="L124" s="11"/>
      <c r="M124" s="9">
        <f t="shared" si="4"/>
        <v>0</v>
      </c>
      <c r="N124" s="5"/>
      <c r="O124" s="5"/>
      <c r="P124" s="5">
        <f t="shared" si="5"/>
        <v>34847</v>
      </c>
      <c r="Q124" s="1" t="s">
        <v>307</v>
      </c>
      <c r="R124" s="1" t="s">
        <v>307</v>
      </c>
      <c r="S124" s="1" t="s">
        <v>350</v>
      </c>
      <c r="T124" s="1"/>
      <c r="U124" s="1"/>
      <c r="V124" s="1"/>
      <c r="W124" s="8" t="s">
        <v>313</v>
      </c>
      <c r="X124" s="8"/>
      <c r="Y124" s="8"/>
      <c r="Z124" s="22"/>
      <c r="AA124" s="1"/>
      <c r="AB124" s="23"/>
      <c r="AC124" s="1"/>
      <c r="AD124" s="2"/>
    </row>
    <row r="125" spans="1:30" s="24" customFormat="1" x14ac:dyDescent="0.25">
      <c r="A125" s="4"/>
      <c r="B125" s="4">
        <v>45293</v>
      </c>
      <c r="C125" s="6" t="s">
        <v>1683</v>
      </c>
      <c r="D125" s="26" t="s">
        <v>1827</v>
      </c>
      <c r="E125" s="26" t="s">
        <v>351</v>
      </c>
      <c r="F125" s="1" t="s">
        <v>351</v>
      </c>
      <c r="G125" s="8">
        <v>2</v>
      </c>
      <c r="H125" s="8"/>
      <c r="I125" s="115">
        <f>Table223[[#This Row],[Qty]]-Table223[[#This Row],[Issue Qty]]</f>
        <v>2</v>
      </c>
      <c r="J125" s="5">
        <v>2010.17</v>
      </c>
      <c r="K125" s="5">
        <f t="shared" si="3"/>
        <v>4020.34</v>
      </c>
      <c r="L125" s="11"/>
      <c r="M125" s="9">
        <f t="shared" si="4"/>
        <v>0</v>
      </c>
      <c r="N125" s="5"/>
      <c r="O125" s="5"/>
      <c r="P125" s="5">
        <f t="shared" si="5"/>
        <v>4020.34</v>
      </c>
      <c r="Q125" s="1" t="s">
        <v>346</v>
      </c>
      <c r="R125" s="1" t="s">
        <v>307</v>
      </c>
      <c r="S125" s="1" t="s">
        <v>347</v>
      </c>
      <c r="T125" s="1"/>
      <c r="U125" s="1"/>
      <c r="V125" s="1"/>
      <c r="W125" s="8" t="s">
        <v>72</v>
      </c>
      <c r="X125" s="8" t="s">
        <v>352</v>
      </c>
      <c r="Y125" s="8"/>
      <c r="Z125" s="22"/>
      <c r="AA125" s="1"/>
      <c r="AB125" s="23" t="s">
        <v>353</v>
      </c>
      <c r="AC125" s="1"/>
      <c r="AD125" s="2"/>
    </row>
    <row r="126" spans="1:30" s="24" customFormat="1" x14ac:dyDescent="0.25">
      <c r="A126" s="4"/>
      <c r="B126" s="4">
        <v>45293</v>
      </c>
      <c r="C126" s="6" t="s">
        <v>1693</v>
      </c>
      <c r="D126" s="26" t="s">
        <v>1828</v>
      </c>
      <c r="E126" s="26" t="s">
        <v>354</v>
      </c>
      <c r="F126" s="1" t="s">
        <v>354</v>
      </c>
      <c r="G126" s="8">
        <v>1</v>
      </c>
      <c r="H126" s="8"/>
      <c r="I126" s="115">
        <f>Table223[[#This Row],[Qty]]-Table223[[#This Row],[Issue Qty]]</f>
        <v>1</v>
      </c>
      <c r="J126" s="5">
        <v>9522.86</v>
      </c>
      <c r="K126" s="5">
        <f t="shared" si="3"/>
        <v>9522.86</v>
      </c>
      <c r="L126" s="11"/>
      <c r="M126" s="9">
        <f t="shared" si="4"/>
        <v>0</v>
      </c>
      <c r="N126" s="5"/>
      <c r="O126" s="5"/>
      <c r="P126" s="5">
        <f t="shared" si="5"/>
        <v>9522.86</v>
      </c>
      <c r="Q126" s="1" t="s">
        <v>346</v>
      </c>
      <c r="R126" s="1" t="s">
        <v>307</v>
      </c>
      <c r="S126" s="1" t="s">
        <v>347</v>
      </c>
      <c r="T126" s="1"/>
      <c r="U126" s="1"/>
      <c r="V126" s="1"/>
      <c r="W126" s="8" t="s">
        <v>244</v>
      </c>
      <c r="X126" s="8" t="s">
        <v>355</v>
      </c>
      <c r="Y126" s="8"/>
      <c r="Z126" s="22"/>
      <c r="AA126" s="1"/>
      <c r="AB126" s="23"/>
      <c r="AC126" s="1"/>
      <c r="AD126" s="2"/>
    </row>
    <row r="127" spans="1:30" s="24" customFormat="1" x14ac:dyDescent="0.25">
      <c r="A127" s="4"/>
      <c r="B127" s="4">
        <v>45294</v>
      </c>
      <c r="C127" s="6" t="s">
        <v>54</v>
      </c>
      <c r="D127" s="26" t="s">
        <v>1829</v>
      </c>
      <c r="E127" s="26" t="s">
        <v>356</v>
      </c>
      <c r="F127" s="1" t="s">
        <v>357</v>
      </c>
      <c r="G127" s="8">
        <v>1</v>
      </c>
      <c r="H127" s="8"/>
      <c r="I127" s="115">
        <f>Table223[[#This Row],[Qty]]-Table223[[#This Row],[Issue Qty]]</f>
        <v>1</v>
      </c>
      <c r="J127" s="5">
        <v>216.51</v>
      </c>
      <c r="K127" s="5">
        <f t="shared" si="3"/>
        <v>216.51</v>
      </c>
      <c r="L127" s="11">
        <v>0.18</v>
      </c>
      <c r="M127" s="9">
        <f t="shared" si="4"/>
        <v>38.971799999999995</v>
      </c>
      <c r="N127" s="5">
        <v>0</v>
      </c>
      <c r="O127" s="5"/>
      <c r="P127" s="5">
        <f t="shared" si="5"/>
        <v>255.48179999999999</v>
      </c>
      <c r="Q127" s="1" t="s">
        <v>346</v>
      </c>
      <c r="R127" s="1" t="s">
        <v>307</v>
      </c>
      <c r="S127" s="1" t="s">
        <v>358</v>
      </c>
      <c r="T127" s="1" t="s">
        <v>359</v>
      </c>
      <c r="U127" s="1"/>
      <c r="V127" s="1"/>
      <c r="W127" s="8" t="s">
        <v>360</v>
      </c>
      <c r="X127" s="8" t="s">
        <v>361</v>
      </c>
      <c r="Y127" s="8"/>
      <c r="Z127" s="22"/>
      <c r="AA127" s="1"/>
      <c r="AB127" s="23"/>
      <c r="AC127" s="1"/>
      <c r="AD127" s="2"/>
    </row>
    <row r="128" spans="1:30" s="24" customFormat="1" x14ac:dyDescent="0.25">
      <c r="A128" s="4"/>
      <c r="B128" s="4">
        <v>45294</v>
      </c>
      <c r="C128" s="6" t="s">
        <v>1693</v>
      </c>
      <c r="D128" s="6" t="s">
        <v>1809</v>
      </c>
      <c r="E128" s="6" t="s">
        <v>314</v>
      </c>
      <c r="F128" s="1" t="s">
        <v>362</v>
      </c>
      <c r="G128" s="8">
        <v>2</v>
      </c>
      <c r="H128" s="8">
        <v>2</v>
      </c>
      <c r="I128" s="115">
        <f>Table223[[#This Row],[Qty]]-Table223[[#This Row],[Issue Qty]]</f>
        <v>0</v>
      </c>
      <c r="J128" s="5">
        <v>135812</v>
      </c>
      <c r="K128" s="5">
        <f t="shared" si="3"/>
        <v>271624</v>
      </c>
      <c r="L128" s="11">
        <v>0.18</v>
      </c>
      <c r="M128" s="9">
        <f t="shared" si="4"/>
        <v>48892.32</v>
      </c>
      <c r="N128" s="48">
        <v>0</v>
      </c>
      <c r="O128" s="48"/>
      <c r="P128" s="5">
        <f t="shared" si="5"/>
        <v>320516.32</v>
      </c>
      <c r="Q128" s="1" t="s">
        <v>307</v>
      </c>
      <c r="R128" s="1" t="s">
        <v>307</v>
      </c>
      <c r="S128" s="1" t="s">
        <v>312</v>
      </c>
      <c r="T128" s="2" t="s">
        <v>363</v>
      </c>
      <c r="U128" s="2"/>
      <c r="V128" s="2"/>
      <c r="W128" s="8" t="s">
        <v>313</v>
      </c>
      <c r="X128" s="21"/>
      <c r="Y128" s="21">
        <v>2</v>
      </c>
      <c r="Z128" s="12"/>
      <c r="AA128" s="2" t="s">
        <v>3408</v>
      </c>
      <c r="AB128" s="23"/>
      <c r="AC128" s="2"/>
      <c r="AD128" s="2"/>
    </row>
    <row r="129" spans="1:30" s="24" customFormat="1" x14ac:dyDescent="0.25">
      <c r="A129" s="4"/>
      <c r="B129" s="4">
        <v>45294</v>
      </c>
      <c r="C129" s="6" t="s">
        <v>1693</v>
      </c>
      <c r="D129" s="26" t="s">
        <v>1809</v>
      </c>
      <c r="E129" s="26" t="s">
        <v>314</v>
      </c>
      <c r="F129" s="1" t="s">
        <v>362</v>
      </c>
      <c r="G129" s="8">
        <v>1</v>
      </c>
      <c r="H129" s="8">
        <v>1</v>
      </c>
      <c r="I129" s="115">
        <f>Table223[[#This Row],[Qty]]-Table223[[#This Row],[Issue Qty]]</f>
        <v>0</v>
      </c>
      <c r="J129" s="5">
        <v>135812</v>
      </c>
      <c r="K129" s="5">
        <f t="shared" si="3"/>
        <v>135812</v>
      </c>
      <c r="L129" s="11"/>
      <c r="M129" s="9">
        <f t="shared" si="4"/>
        <v>0</v>
      </c>
      <c r="N129" s="5"/>
      <c r="O129" s="5"/>
      <c r="P129" s="5">
        <f t="shared" si="5"/>
        <v>135812</v>
      </c>
      <c r="Q129" s="1" t="s">
        <v>307</v>
      </c>
      <c r="R129" s="1" t="s">
        <v>307</v>
      </c>
      <c r="S129" s="1" t="s">
        <v>363</v>
      </c>
      <c r="T129" s="1"/>
      <c r="U129" s="1"/>
      <c r="V129" s="1"/>
      <c r="W129" s="8" t="s">
        <v>313</v>
      </c>
      <c r="X129" s="8"/>
      <c r="Y129" s="8">
        <v>1</v>
      </c>
      <c r="Z129" s="22"/>
      <c r="AA129" s="2" t="s">
        <v>3408</v>
      </c>
      <c r="AB129" s="23"/>
      <c r="AC129" s="1"/>
      <c r="AD129" s="2"/>
    </row>
    <row r="130" spans="1:30" s="24" customFormat="1" x14ac:dyDescent="0.25">
      <c r="A130" s="4"/>
      <c r="B130" s="4">
        <v>45294</v>
      </c>
      <c r="C130" s="6" t="s">
        <v>54</v>
      </c>
      <c r="D130" s="6" t="s">
        <v>37</v>
      </c>
      <c r="E130" s="1" t="s">
        <v>364</v>
      </c>
      <c r="F130" s="1" t="s">
        <v>364</v>
      </c>
      <c r="G130" s="8">
        <v>1</v>
      </c>
      <c r="H130" s="8">
        <v>1</v>
      </c>
      <c r="I130" s="115">
        <f>Table223[[#This Row],[Qty]]-Table223[[#This Row],[Issue Qty]]</f>
        <v>0</v>
      </c>
      <c r="J130" s="5">
        <v>7250.88</v>
      </c>
      <c r="K130" s="5">
        <f t="shared" si="3"/>
        <v>7250.88</v>
      </c>
      <c r="L130" s="11"/>
      <c r="M130" s="9">
        <f t="shared" si="4"/>
        <v>0</v>
      </c>
      <c r="N130" s="48"/>
      <c r="O130" s="48"/>
      <c r="P130" s="5">
        <f t="shared" si="5"/>
        <v>7250.88</v>
      </c>
      <c r="Q130" s="1" t="s">
        <v>346</v>
      </c>
      <c r="R130" s="1" t="s">
        <v>307</v>
      </c>
      <c r="S130" s="1" t="s">
        <v>359</v>
      </c>
      <c r="T130" s="2"/>
      <c r="U130" s="2"/>
      <c r="V130" s="2"/>
      <c r="W130" s="21"/>
      <c r="X130" s="21"/>
      <c r="Y130" s="21">
        <v>1</v>
      </c>
      <c r="Z130" s="12" t="s">
        <v>365</v>
      </c>
      <c r="AA130" s="2"/>
      <c r="AB130" s="23"/>
      <c r="AC130" s="2"/>
      <c r="AD130" s="2"/>
    </row>
    <row r="131" spans="1:30" s="24" customFormat="1" x14ac:dyDescent="0.25">
      <c r="A131" s="4"/>
      <c r="B131" s="4">
        <v>45294</v>
      </c>
      <c r="C131" s="6" t="s">
        <v>54</v>
      </c>
      <c r="D131" s="6" t="s">
        <v>37</v>
      </c>
      <c r="E131" s="1" t="s">
        <v>366</v>
      </c>
      <c r="F131" s="1" t="s">
        <v>366</v>
      </c>
      <c r="G131" s="8">
        <v>1</v>
      </c>
      <c r="H131" s="8">
        <v>1</v>
      </c>
      <c r="I131" s="115">
        <f>Table223[[#This Row],[Qty]]-Table223[[#This Row],[Issue Qty]]</f>
        <v>0</v>
      </c>
      <c r="J131" s="5">
        <v>6752.51</v>
      </c>
      <c r="K131" s="5">
        <f t="shared" ref="K131:K194" si="6">G131*J131</f>
        <v>6752.51</v>
      </c>
      <c r="L131" s="11"/>
      <c r="M131" s="9">
        <f t="shared" ref="M131:M194" si="7">K131*L131</f>
        <v>0</v>
      </c>
      <c r="N131" s="48"/>
      <c r="O131" s="48"/>
      <c r="P131" s="5">
        <f t="shared" ref="P131:P194" si="8">K131+M131+N131+O131</f>
        <v>6752.51</v>
      </c>
      <c r="Q131" s="1" t="s">
        <v>346</v>
      </c>
      <c r="R131" s="1" t="s">
        <v>307</v>
      </c>
      <c r="S131" s="1" t="s">
        <v>359</v>
      </c>
      <c r="T131" s="2"/>
      <c r="U131" s="2"/>
      <c r="V131" s="2"/>
      <c r="W131" s="21"/>
      <c r="X131" s="21"/>
      <c r="Y131" s="21">
        <v>1</v>
      </c>
      <c r="Z131" s="12" t="s">
        <v>365</v>
      </c>
      <c r="AA131" s="2"/>
      <c r="AB131" s="23"/>
      <c r="AC131" s="2"/>
      <c r="AD131" s="2"/>
    </row>
    <row r="132" spans="1:30" s="24" customFormat="1" x14ac:dyDescent="0.25">
      <c r="A132" s="4"/>
      <c r="B132" s="4">
        <v>45294</v>
      </c>
      <c r="C132" s="6" t="s">
        <v>54</v>
      </c>
      <c r="D132" s="6" t="s">
        <v>37</v>
      </c>
      <c r="E132" s="1" t="s">
        <v>367</v>
      </c>
      <c r="F132" s="1" t="s">
        <v>367</v>
      </c>
      <c r="G132" s="8">
        <v>1</v>
      </c>
      <c r="H132" s="8">
        <v>1</v>
      </c>
      <c r="I132" s="115">
        <f>Table223[[#This Row],[Qty]]-Table223[[#This Row],[Issue Qty]]</f>
        <v>0</v>
      </c>
      <c r="J132" s="5">
        <v>1638.09</v>
      </c>
      <c r="K132" s="5">
        <f t="shared" si="6"/>
        <v>1638.09</v>
      </c>
      <c r="L132" s="11"/>
      <c r="M132" s="9">
        <f t="shared" si="7"/>
        <v>0</v>
      </c>
      <c r="N132" s="48"/>
      <c r="O132" s="48"/>
      <c r="P132" s="5">
        <f t="shared" si="8"/>
        <v>1638.09</v>
      </c>
      <c r="Q132" s="1" t="s">
        <v>346</v>
      </c>
      <c r="R132" s="1" t="s">
        <v>307</v>
      </c>
      <c r="S132" s="1" t="s">
        <v>359</v>
      </c>
      <c r="T132" s="2"/>
      <c r="U132" s="2"/>
      <c r="V132" s="2"/>
      <c r="W132" s="21"/>
      <c r="X132" s="21"/>
      <c r="Y132" s="21">
        <v>1</v>
      </c>
      <c r="Z132" s="12" t="s">
        <v>365</v>
      </c>
      <c r="AA132" s="2"/>
      <c r="AB132" s="23"/>
      <c r="AC132" s="2"/>
      <c r="AD132" s="2"/>
    </row>
    <row r="133" spans="1:30" s="24" customFormat="1" x14ac:dyDescent="0.25">
      <c r="A133" s="4"/>
      <c r="B133" s="4">
        <v>45295</v>
      </c>
      <c r="C133" s="6" t="s">
        <v>1693</v>
      </c>
      <c r="D133" s="6" t="s">
        <v>37</v>
      </c>
      <c r="E133" s="169" t="s">
        <v>368</v>
      </c>
      <c r="F133" s="1" t="s">
        <v>368</v>
      </c>
      <c r="G133" s="8">
        <v>1</v>
      </c>
      <c r="H133" s="8">
        <v>1</v>
      </c>
      <c r="I133" s="115">
        <f>Table223[[#This Row],[Qty]]-Table223[[#This Row],[Issue Qty]]</f>
        <v>0</v>
      </c>
      <c r="J133" s="5">
        <v>3229.44</v>
      </c>
      <c r="K133" s="5">
        <f t="shared" si="6"/>
        <v>3229.44</v>
      </c>
      <c r="L133" s="11"/>
      <c r="M133" s="9">
        <f t="shared" si="7"/>
        <v>0</v>
      </c>
      <c r="N133" s="48"/>
      <c r="O133" s="48"/>
      <c r="P133" s="5">
        <f t="shared" si="8"/>
        <v>3229.44</v>
      </c>
      <c r="Q133" s="1" t="s">
        <v>346</v>
      </c>
      <c r="R133" s="1" t="s">
        <v>307</v>
      </c>
      <c r="S133" s="1">
        <v>9986</v>
      </c>
      <c r="T133" s="2"/>
      <c r="U133" s="2"/>
      <c r="V133" s="2"/>
      <c r="W133" s="21" t="s">
        <v>650</v>
      </c>
      <c r="X133" s="21" t="s">
        <v>3343</v>
      </c>
      <c r="Y133" s="21">
        <v>1</v>
      </c>
      <c r="Z133" s="12" t="s">
        <v>3344</v>
      </c>
      <c r="AA133" s="2"/>
      <c r="AB133" s="23"/>
      <c r="AC133" s="2"/>
      <c r="AD133" s="2"/>
    </row>
    <row r="134" spans="1:30" s="24" customFormat="1" x14ac:dyDescent="0.25">
      <c r="A134" s="4"/>
      <c r="B134" s="4">
        <v>45299</v>
      </c>
      <c r="C134" s="6" t="s">
        <v>54</v>
      </c>
      <c r="D134" s="6" t="s">
        <v>37</v>
      </c>
      <c r="E134" s="1" t="s">
        <v>369</v>
      </c>
      <c r="F134" s="1" t="s">
        <v>369</v>
      </c>
      <c r="G134" s="8">
        <v>1</v>
      </c>
      <c r="H134" s="8">
        <v>1</v>
      </c>
      <c r="I134" s="115">
        <f>Table223[[#This Row],[Qty]]-Table223[[#This Row],[Issue Qty]]</f>
        <v>0</v>
      </c>
      <c r="J134" s="5">
        <v>22000</v>
      </c>
      <c r="K134" s="5">
        <f t="shared" si="6"/>
        <v>22000</v>
      </c>
      <c r="L134" s="11"/>
      <c r="M134" s="9">
        <f t="shared" si="7"/>
        <v>0</v>
      </c>
      <c r="N134" s="48"/>
      <c r="O134" s="48"/>
      <c r="P134" s="5">
        <f t="shared" si="8"/>
        <v>22000</v>
      </c>
      <c r="Q134" s="1" t="s">
        <v>20</v>
      </c>
      <c r="R134" s="1" t="s">
        <v>20</v>
      </c>
      <c r="S134" s="1">
        <v>322</v>
      </c>
      <c r="T134" s="2"/>
      <c r="U134" s="2"/>
      <c r="V134" s="2"/>
      <c r="W134" s="21"/>
      <c r="X134" s="21"/>
      <c r="Y134" s="21">
        <v>1</v>
      </c>
      <c r="Z134" s="12" t="s">
        <v>365</v>
      </c>
      <c r="AA134" s="2"/>
      <c r="AB134" s="23"/>
      <c r="AC134" s="2"/>
      <c r="AD134" s="2"/>
    </row>
    <row r="135" spans="1:30" s="24" customFormat="1" x14ac:dyDescent="0.25">
      <c r="A135" s="4"/>
      <c r="B135" s="4">
        <v>45299</v>
      </c>
      <c r="C135" s="6" t="s">
        <v>54</v>
      </c>
      <c r="D135" s="6" t="s">
        <v>37</v>
      </c>
      <c r="E135" s="1" t="s">
        <v>370</v>
      </c>
      <c r="F135" s="1" t="s">
        <v>370</v>
      </c>
      <c r="G135" s="8">
        <v>1</v>
      </c>
      <c r="H135" s="8">
        <v>1</v>
      </c>
      <c r="I135" s="115">
        <f>Table223[[#This Row],[Qty]]-Table223[[#This Row],[Issue Qty]]</f>
        <v>0</v>
      </c>
      <c r="J135" s="5">
        <v>19900</v>
      </c>
      <c r="K135" s="5">
        <f t="shared" si="6"/>
        <v>19900</v>
      </c>
      <c r="L135" s="11"/>
      <c r="M135" s="9">
        <f t="shared" si="7"/>
        <v>0</v>
      </c>
      <c r="N135" s="48"/>
      <c r="O135" s="48"/>
      <c r="P135" s="5">
        <f t="shared" si="8"/>
        <v>19900</v>
      </c>
      <c r="Q135" s="1" t="s">
        <v>20</v>
      </c>
      <c r="R135" s="1" t="s">
        <v>20</v>
      </c>
      <c r="S135" s="1">
        <v>322</v>
      </c>
      <c r="T135" s="2"/>
      <c r="U135" s="2"/>
      <c r="V135" s="2"/>
      <c r="W135" s="21"/>
      <c r="X135" s="21"/>
      <c r="Y135" s="21">
        <v>1</v>
      </c>
      <c r="Z135" s="12" t="s">
        <v>365</v>
      </c>
      <c r="AA135" s="2"/>
      <c r="AB135" s="23"/>
      <c r="AC135" s="2"/>
      <c r="AD135" s="2"/>
    </row>
    <row r="136" spans="1:30" s="24" customFormat="1" x14ac:dyDescent="0.25">
      <c r="A136" s="4"/>
      <c r="B136" s="4">
        <v>45299</v>
      </c>
      <c r="C136" s="6" t="s">
        <v>54</v>
      </c>
      <c r="D136" s="6" t="s">
        <v>37</v>
      </c>
      <c r="E136" s="1" t="s">
        <v>371</v>
      </c>
      <c r="F136" s="1" t="s">
        <v>371</v>
      </c>
      <c r="G136" s="8">
        <v>4</v>
      </c>
      <c r="H136" s="8">
        <v>4</v>
      </c>
      <c r="I136" s="115">
        <f>Table223[[#This Row],[Qty]]-Table223[[#This Row],[Issue Qty]]</f>
        <v>0</v>
      </c>
      <c r="J136" s="5">
        <v>900</v>
      </c>
      <c r="K136" s="5">
        <f t="shared" si="6"/>
        <v>3600</v>
      </c>
      <c r="L136" s="11"/>
      <c r="M136" s="9">
        <f t="shared" si="7"/>
        <v>0</v>
      </c>
      <c r="N136" s="48"/>
      <c r="O136" s="48"/>
      <c r="P136" s="5">
        <f t="shared" si="8"/>
        <v>3600</v>
      </c>
      <c r="Q136" s="1" t="s">
        <v>20</v>
      </c>
      <c r="R136" s="1" t="s">
        <v>20</v>
      </c>
      <c r="S136" s="1">
        <v>322</v>
      </c>
      <c r="T136" s="2"/>
      <c r="U136" s="2"/>
      <c r="V136" s="2"/>
      <c r="W136" s="21"/>
      <c r="X136" s="21"/>
      <c r="Y136" s="21">
        <v>4</v>
      </c>
      <c r="Z136" s="12" t="s">
        <v>365</v>
      </c>
      <c r="AA136" s="2"/>
      <c r="AB136" s="23"/>
      <c r="AC136" s="2"/>
      <c r="AD136" s="2"/>
    </row>
    <row r="137" spans="1:30" s="24" customFormat="1" x14ac:dyDescent="0.25">
      <c r="A137" s="4"/>
      <c r="B137" s="4">
        <v>45300</v>
      </c>
      <c r="C137" s="6" t="s">
        <v>54</v>
      </c>
      <c r="D137" s="6" t="s">
        <v>1830</v>
      </c>
      <c r="E137" s="6" t="s">
        <v>372</v>
      </c>
      <c r="F137" s="1" t="s">
        <v>373</v>
      </c>
      <c r="G137" s="8">
        <v>1</v>
      </c>
      <c r="H137" s="8"/>
      <c r="I137" s="115">
        <f>Table223[[#This Row],[Qty]]-Table223[[#This Row],[Issue Qty]]</f>
        <v>1</v>
      </c>
      <c r="J137" s="5">
        <v>40000</v>
      </c>
      <c r="K137" s="5">
        <f t="shared" si="6"/>
        <v>40000</v>
      </c>
      <c r="L137" s="11">
        <v>0.18</v>
      </c>
      <c r="M137" s="9">
        <f t="shared" si="7"/>
        <v>7200</v>
      </c>
      <c r="N137" s="5">
        <v>0</v>
      </c>
      <c r="O137" s="5"/>
      <c r="P137" s="5">
        <f t="shared" si="8"/>
        <v>47200</v>
      </c>
      <c r="Q137" s="1" t="s">
        <v>307</v>
      </c>
      <c r="R137" s="1" t="s">
        <v>307</v>
      </c>
      <c r="S137" s="1" t="s">
        <v>374</v>
      </c>
      <c r="T137" s="1" t="s">
        <v>375</v>
      </c>
      <c r="U137" s="1"/>
      <c r="V137" s="1"/>
      <c r="W137" s="8" t="s">
        <v>3179</v>
      </c>
      <c r="X137" s="8"/>
      <c r="Y137" s="8"/>
      <c r="Z137" s="22"/>
      <c r="AA137" s="1"/>
      <c r="AB137" s="23" t="s">
        <v>376</v>
      </c>
      <c r="AC137" s="1"/>
      <c r="AD137" s="2"/>
    </row>
    <row r="138" spans="1:30" s="24" customFormat="1" x14ac:dyDescent="0.25">
      <c r="A138" s="4"/>
      <c r="B138" s="4">
        <v>45300</v>
      </c>
      <c r="C138" s="6" t="s">
        <v>54</v>
      </c>
      <c r="D138" s="6" t="s">
        <v>37</v>
      </c>
      <c r="E138" s="1" t="s">
        <v>377</v>
      </c>
      <c r="F138" s="1" t="s">
        <v>377</v>
      </c>
      <c r="G138" s="8">
        <v>1</v>
      </c>
      <c r="H138" s="8">
        <v>1</v>
      </c>
      <c r="I138" s="115">
        <f>Table223[[#This Row],[Qty]]-Table223[[#This Row],[Issue Qty]]</f>
        <v>0</v>
      </c>
      <c r="J138" s="5">
        <v>9000</v>
      </c>
      <c r="K138" s="5">
        <f t="shared" si="6"/>
        <v>9000</v>
      </c>
      <c r="L138" s="11"/>
      <c r="M138" s="9">
        <f t="shared" si="7"/>
        <v>0</v>
      </c>
      <c r="N138" s="48"/>
      <c r="O138" s="48"/>
      <c r="P138" s="5">
        <f t="shared" si="8"/>
        <v>9000</v>
      </c>
      <c r="Q138" s="1" t="s">
        <v>307</v>
      </c>
      <c r="R138" s="1" t="s">
        <v>307</v>
      </c>
      <c r="S138" s="1" t="s">
        <v>375</v>
      </c>
      <c r="T138" s="2"/>
      <c r="U138" s="2"/>
      <c r="V138" s="2"/>
      <c r="W138" s="21"/>
      <c r="X138" s="21"/>
      <c r="Y138" s="21">
        <v>1</v>
      </c>
      <c r="Z138" s="12" t="s">
        <v>378</v>
      </c>
      <c r="AA138" s="2"/>
      <c r="AB138" s="23"/>
      <c r="AC138" s="2"/>
      <c r="AD138" s="2"/>
    </row>
    <row r="139" spans="1:30" s="24" customFormat="1" x14ac:dyDescent="0.25">
      <c r="A139" s="4"/>
      <c r="B139" s="4">
        <v>45303</v>
      </c>
      <c r="C139" s="6" t="s">
        <v>1693</v>
      </c>
      <c r="D139" s="6" t="s">
        <v>1831</v>
      </c>
      <c r="E139" s="6" t="s">
        <v>379</v>
      </c>
      <c r="F139" s="1" t="s">
        <v>380</v>
      </c>
      <c r="G139" s="8">
        <v>2</v>
      </c>
      <c r="H139" s="8">
        <v>2</v>
      </c>
      <c r="I139" s="115">
        <f>Table223[[#This Row],[Qty]]-Table223[[#This Row],[Issue Qty]]</f>
        <v>0</v>
      </c>
      <c r="J139" s="5">
        <v>590.47</v>
      </c>
      <c r="K139" s="5">
        <f t="shared" si="6"/>
        <v>1180.94</v>
      </c>
      <c r="L139" s="11">
        <v>0.05</v>
      </c>
      <c r="M139" s="9">
        <f t="shared" si="7"/>
        <v>59.047000000000004</v>
      </c>
      <c r="N139" s="5">
        <v>0</v>
      </c>
      <c r="O139" s="5"/>
      <c r="P139" s="5">
        <f t="shared" si="8"/>
        <v>1239.9870000000001</v>
      </c>
      <c r="Q139" s="1" t="s">
        <v>307</v>
      </c>
      <c r="R139" s="1" t="s">
        <v>307</v>
      </c>
      <c r="S139" s="1" t="s">
        <v>243</v>
      </c>
      <c r="T139" s="1" t="s">
        <v>1832</v>
      </c>
      <c r="U139" s="1"/>
      <c r="V139" s="2"/>
      <c r="W139" s="21" t="s">
        <v>72</v>
      </c>
      <c r="X139" s="21" t="s">
        <v>262</v>
      </c>
      <c r="Y139" s="21">
        <v>2</v>
      </c>
      <c r="Z139" s="12" t="s">
        <v>381</v>
      </c>
      <c r="AA139" s="2"/>
      <c r="AB139" s="23" t="s">
        <v>382</v>
      </c>
      <c r="AC139" s="2"/>
      <c r="AD139" s="2"/>
    </row>
    <row r="140" spans="1:30" s="24" customFormat="1" x14ac:dyDescent="0.25">
      <c r="A140" s="4"/>
      <c r="B140" s="4">
        <v>45303</v>
      </c>
      <c r="C140" s="6" t="s">
        <v>1730</v>
      </c>
      <c r="D140" s="6" t="s">
        <v>37</v>
      </c>
      <c r="E140" s="1" t="s">
        <v>383</v>
      </c>
      <c r="F140" s="1" t="s">
        <v>383</v>
      </c>
      <c r="G140" s="8">
        <v>1</v>
      </c>
      <c r="H140" s="8"/>
      <c r="I140" s="115">
        <f>Table223[[#This Row],[Qty]]-Table223[[#This Row],[Issue Qty]]</f>
        <v>1</v>
      </c>
      <c r="J140" s="5">
        <v>3219.49</v>
      </c>
      <c r="K140" s="5">
        <f t="shared" si="6"/>
        <v>3219.49</v>
      </c>
      <c r="L140" s="11">
        <v>0.18</v>
      </c>
      <c r="M140" s="9">
        <f t="shared" si="7"/>
        <v>579.50819999999999</v>
      </c>
      <c r="N140" s="5">
        <v>0</v>
      </c>
      <c r="O140" s="5"/>
      <c r="P140" s="5">
        <f t="shared" si="8"/>
        <v>3798.9982</v>
      </c>
      <c r="Q140" s="1" t="s">
        <v>307</v>
      </c>
      <c r="R140" s="1" t="s">
        <v>307</v>
      </c>
      <c r="S140" s="1" t="s">
        <v>384</v>
      </c>
      <c r="T140" s="1" t="s">
        <v>1833</v>
      </c>
      <c r="U140" s="1"/>
      <c r="V140" s="2"/>
      <c r="W140" s="21" t="s">
        <v>833</v>
      </c>
      <c r="X140" s="21"/>
      <c r="Y140" s="21"/>
      <c r="Z140" s="12" t="s">
        <v>381</v>
      </c>
      <c r="AA140" s="2"/>
      <c r="AB140" s="23"/>
      <c r="AC140" s="2"/>
      <c r="AD140" s="2"/>
    </row>
    <row r="141" spans="1:30" s="24" customFormat="1" ht="30" x14ac:dyDescent="0.25">
      <c r="A141" s="4"/>
      <c r="B141" s="4">
        <v>45308</v>
      </c>
      <c r="C141" s="6" t="s">
        <v>1695</v>
      </c>
      <c r="D141" s="6" t="s">
        <v>1834</v>
      </c>
      <c r="E141" s="6" t="s">
        <v>385</v>
      </c>
      <c r="F141" s="1" t="s">
        <v>386</v>
      </c>
      <c r="G141" s="8">
        <v>1</v>
      </c>
      <c r="H141" s="8">
        <v>1</v>
      </c>
      <c r="I141" s="115">
        <f>Table223[[#This Row],[Qty]]-Table223[[#This Row],[Issue Qty]]</f>
        <v>0</v>
      </c>
      <c r="J141" s="5">
        <v>25150</v>
      </c>
      <c r="K141" s="5">
        <f t="shared" si="6"/>
        <v>25150</v>
      </c>
      <c r="L141" s="11">
        <v>0</v>
      </c>
      <c r="M141" s="9">
        <f t="shared" si="7"/>
        <v>0</v>
      </c>
      <c r="N141" s="5">
        <v>0</v>
      </c>
      <c r="O141" s="5"/>
      <c r="P141" s="5">
        <f t="shared" si="8"/>
        <v>25150</v>
      </c>
      <c r="Q141" s="1" t="s">
        <v>20</v>
      </c>
      <c r="R141" s="1" t="s">
        <v>20</v>
      </c>
      <c r="S141" s="1" t="s">
        <v>387</v>
      </c>
      <c r="T141" s="1"/>
      <c r="U141" s="1"/>
      <c r="V141" s="1"/>
      <c r="W141" s="8"/>
      <c r="X141" s="8"/>
      <c r="Y141" s="8">
        <v>1</v>
      </c>
      <c r="Z141" s="22" t="s">
        <v>226</v>
      </c>
      <c r="AA141" s="1"/>
      <c r="AB141" s="23"/>
      <c r="AC141" s="1"/>
      <c r="AD141" s="2"/>
    </row>
    <row r="142" spans="1:30" s="24" customFormat="1" x14ac:dyDescent="0.25">
      <c r="A142" s="4"/>
      <c r="B142" s="4">
        <v>45308</v>
      </c>
      <c r="C142" s="6" t="s">
        <v>54</v>
      </c>
      <c r="D142" s="6" t="s">
        <v>37</v>
      </c>
      <c r="E142" s="1" t="s">
        <v>389</v>
      </c>
      <c r="F142" s="1" t="s">
        <v>389</v>
      </c>
      <c r="G142" s="8">
        <v>1</v>
      </c>
      <c r="H142" s="8"/>
      <c r="I142" s="115">
        <f>Table223[[#This Row],[Qty]]-Table223[[#This Row],[Issue Qty]]</f>
        <v>1</v>
      </c>
      <c r="J142" s="5">
        <v>94.6</v>
      </c>
      <c r="K142" s="5">
        <f t="shared" si="6"/>
        <v>94.6</v>
      </c>
      <c r="L142" s="11">
        <v>0.18</v>
      </c>
      <c r="M142" s="9">
        <f t="shared" si="7"/>
        <v>17.027999999999999</v>
      </c>
      <c r="N142" s="5">
        <v>0</v>
      </c>
      <c r="O142" s="5"/>
      <c r="P142" s="5">
        <f t="shared" si="8"/>
        <v>111.62799999999999</v>
      </c>
      <c r="Q142" s="1" t="s">
        <v>307</v>
      </c>
      <c r="R142" s="1" t="s">
        <v>307</v>
      </c>
      <c r="S142" s="1" t="s">
        <v>358</v>
      </c>
      <c r="T142" s="1" t="s">
        <v>1835</v>
      </c>
      <c r="U142" s="1"/>
      <c r="V142" s="2"/>
      <c r="W142" s="21"/>
      <c r="X142" s="21"/>
      <c r="Y142" s="21"/>
      <c r="Z142" s="12" t="s">
        <v>381</v>
      </c>
      <c r="AA142" s="2"/>
      <c r="AB142" s="23"/>
      <c r="AC142" s="2"/>
      <c r="AD142" s="2"/>
    </row>
    <row r="143" spans="1:30" s="24" customFormat="1" x14ac:dyDescent="0.25">
      <c r="A143" s="4"/>
      <c r="B143" s="4">
        <v>45308</v>
      </c>
      <c r="C143" s="6" t="s">
        <v>54</v>
      </c>
      <c r="D143" s="6" t="s">
        <v>1836</v>
      </c>
      <c r="E143" s="6" t="s">
        <v>390</v>
      </c>
      <c r="F143" s="1" t="s">
        <v>390</v>
      </c>
      <c r="G143" s="8">
        <v>1</v>
      </c>
      <c r="H143" s="8"/>
      <c r="I143" s="115">
        <f>Table223[[#This Row],[Qty]]-Table223[[#This Row],[Issue Qty]]</f>
        <v>1</v>
      </c>
      <c r="J143" s="5">
        <v>5233.1000000000004</v>
      </c>
      <c r="K143" s="5">
        <f t="shared" si="6"/>
        <v>5233.1000000000004</v>
      </c>
      <c r="L143" s="11">
        <v>0.18</v>
      </c>
      <c r="M143" s="9">
        <f t="shared" si="7"/>
        <v>941.95800000000008</v>
      </c>
      <c r="N143" s="5">
        <v>0</v>
      </c>
      <c r="O143" s="5"/>
      <c r="P143" s="5">
        <f t="shared" si="8"/>
        <v>6175.0580000000009</v>
      </c>
      <c r="Q143" s="1" t="s">
        <v>307</v>
      </c>
      <c r="R143" s="1" t="s">
        <v>307</v>
      </c>
      <c r="S143" s="1" t="s">
        <v>358</v>
      </c>
      <c r="T143" s="1" t="s">
        <v>1835</v>
      </c>
      <c r="U143" s="1"/>
      <c r="V143" s="2"/>
      <c r="W143" s="21"/>
      <c r="X143" s="21"/>
      <c r="Y143" s="21"/>
      <c r="Z143" s="12" t="s">
        <v>381</v>
      </c>
      <c r="AA143" s="2"/>
      <c r="AB143" s="23"/>
      <c r="AC143" s="2"/>
      <c r="AD143" s="2"/>
    </row>
    <row r="144" spans="1:30" s="24" customFormat="1" x14ac:dyDescent="0.25">
      <c r="A144" s="4"/>
      <c r="B144" s="4">
        <v>45308</v>
      </c>
      <c r="C144" s="6" t="s">
        <v>54</v>
      </c>
      <c r="D144" s="6" t="s">
        <v>37</v>
      </c>
      <c r="E144" s="1" t="s">
        <v>391</v>
      </c>
      <c r="F144" s="1" t="s">
        <v>391</v>
      </c>
      <c r="G144" s="8">
        <v>1</v>
      </c>
      <c r="H144" s="8"/>
      <c r="I144" s="115">
        <f>Table223[[#This Row],[Qty]]-Table223[[#This Row],[Issue Qty]]</f>
        <v>1</v>
      </c>
      <c r="J144" s="5">
        <v>5160</v>
      </c>
      <c r="K144" s="5">
        <f t="shared" si="6"/>
        <v>5160</v>
      </c>
      <c r="L144" s="11">
        <v>0.18</v>
      </c>
      <c r="M144" s="9">
        <f t="shared" si="7"/>
        <v>928.8</v>
      </c>
      <c r="N144" s="5">
        <v>0</v>
      </c>
      <c r="O144" s="5"/>
      <c r="P144" s="5">
        <f t="shared" si="8"/>
        <v>6088.8</v>
      </c>
      <c r="Q144" s="1" t="s">
        <v>307</v>
      </c>
      <c r="R144" s="1" t="s">
        <v>307</v>
      </c>
      <c r="S144" s="1" t="s">
        <v>358</v>
      </c>
      <c r="T144" s="1" t="s">
        <v>1835</v>
      </c>
      <c r="U144" s="1"/>
      <c r="V144" s="2"/>
      <c r="W144" s="21"/>
      <c r="X144" s="21"/>
      <c r="Y144" s="21"/>
      <c r="Z144" s="12" t="s">
        <v>381</v>
      </c>
      <c r="AA144" s="2"/>
      <c r="AB144" s="23"/>
      <c r="AC144" s="2"/>
      <c r="AD144" s="2"/>
    </row>
    <row r="145" spans="1:30" s="24" customFormat="1" ht="30" x14ac:dyDescent="0.25">
      <c r="A145" s="4"/>
      <c r="B145" s="4">
        <v>45310</v>
      </c>
      <c r="C145" s="6" t="s">
        <v>1683</v>
      </c>
      <c r="D145" s="6" t="s">
        <v>1837</v>
      </c>
      <c r="E145" s="6" t="s">
        <v>392</v>
      </c>
      <c r="F145" s="1" t="s">
        <v>393</v>
      </c>
      <c r="G145" s="8">
        <v>2</v>
      </c>
      <c r="H145" s="8"/>
      <c r="I145" s="115">
        <f>Table223[[#This Row],[Qty]]-Table223[[#This Row],[Issue Qty]]</f>
        <v>2</v>
      </c>
      <c r="J145" s="5">
        <v>2795.76</v>
      </c>
      <c r="K145" s="5">
        <f t="shared" si="6"/>
        <v>5591.52</v>
      </c>
      <c r="L145" s="11">
        <v>0.18</v>
      </c>
      <c r="M145" s="9">
        <f t="shared" si="7"/>
        <v>1006.4736</v>
      </c>
      <c r="N145" s="5">
        <v>100</v>
      </c>
      <c r="O145" s="5"/>
      <c r="P145" s="5">
        <f t="shared" si="8"/>
        <v>6697.9936000000007</v>
      </c>
      <c r="Q145" s="1" t="s">
        <v>307</v>
      </c>
      <c r="R145" s="1" t="s">
        <v>307</v>
      </c>
      <c r="S145" s="1" t="s">
        <v>394</v>
      </c>
      <c r="T145" s="1" t="s">
        <v>1838</v>
      </c>
      <c r="U145" s="1"/>
      <c r="V145" s="1"/>
      <c r="W145" s="21" t="s">
        <v>72</v>
      </c>
      <c r="X145" s="21" t="s">
        <v>352</v>
      </c>
      <c r="Y145" s="8"/>
      <c r="Z145" s="22"/>
      <c r="AA145" s="1"/>
      <c r="AB145" s="23" t="s">
        <v>353</v>
      </c>
      <c r="AC145" s="1"/>
      <c r="AD145" s="2"/>
    </row>
    <row r="146" spans="1:30" s="24" customFormat="1" x14ac:dyDescent="0.25">
      <c r="A146" s="4"/>
      <c r="B146" s="4">
        <v>45311</v>
      </c>
      <c r="C146" s="6" t="s">
        <v>1683</v>
      </c>
      <c r="D146" s="6" t="s">
        <v>1839</v>
      </c>
      <c r="E146" s="6" t="s">
        <v>395</v>
      </c>
      <c r="F146" s="1" t="s">
        <v>396</v>
      </c>
      <c r="G146" s="8">
        <v>4</v>
      </c>
      <c r="H146" s="8"/>
      <c r="I146" s="115">
        <f>Table223[[#This Row],[Qty]]-Table223[[#This Row],[Issue Qty]]</f>
        <v>4</v>
      </c>
      <c r="J146" s="5">
        <v>22500</v>
      </c>
      <c r="K146" s="5">
        <f t="shared" si="6"/>
        <v>90000</v>
      </c>
      <c r="L146" s="11">
        <v>0.18049999999999999</v>
      </c>
      <c r="M146" s="9">
        <f t="shared" si="7"/>
        <v>16245</v>
      </c>
      <c r="N146" s="5">
        <v>250</v>
      </c>
      <c r="O146" s="5"/>
      <c r="P146" s="5">
        <f t="shared" si="8"/>
        <v>106495</v>
      </c>
      <c r="Q146" s="1" t="s">
        <v>331</v>
      </c>
      <c r="R146" s="1" t="s">
        <v>331</v>
      </c>
      <c r="S146" s="1" t="s">
        <v>397</v>
      </c>
      <c r="T146" s="1" t="s">
        <v>1840</v>
      </c>
      <c r="U146" s="1"/>
      <c r="V146" s="2"/>
      <c r="W146" s="8" t="s">
        <v>398</v>
      </c>
      <c r="X146" s="21"/>
      <c r="Y146" s="21"/>
      <c r="Z146" s="12"/>
      <c r="AA146" s="2"/>
      <c r="AB146" s="23" t="s">
        <v>399</v>
      </c>
      <c r="AC146" s="2"/>
      <c r="AD146" s="2"/>
    </row>
    <row r="147" spans="1:30" s="24" customFormat="1" x14ac:dyDescent="0.25">
      <c r="A147" s="4"/>
      <c r="B147" s="4">
        <v>45313</v>
      </c>
      <c r="C147" s="6" t="s">
        <v>54</v>
      </c>
      <c r="D147" s="6" t="s">
        <v>1841</v>
      </c>
      <c r="E147" s="6" t="s">
        <v>400</v>
      </c>
      <c r="F147" s="1" t="s">
        <v>401</v>
      </c>
      <c r="G147" s="8">
        <v>1</v>
      </c>
      <c r="H147" s="8"/>
      <c r="I147" s="115">
        <f>Table223[[#This Row],[Qty]]-Table223[[#This Row],[Issue Qty]]</f>
        <v>1</v>
      </c>
      <c r="J147" s="5">
        <v>18200</v>
      </c>
      <c r="K147" s="5">
        <f t="shared" si="6"/>
        <v>18200</v>
      </c>
      <c r="L147" s="11">
        <v>0.18</v>
      </c>
      <c r="M147" s="9">
        <f t="shared" si="7"/>
        <v>3276</v>
      </c>
      <c r="N147" s="5">
        <v>0</v>
      </c>
      <c r="O147" s="5"/>
      <c r="P147" s="5">
        <f t="shared" si="8"/>
        <v>21476</v>
      </c>
      <c r="Q147" s="1" t="s">
        <v>307</v>
      </c>
      <c r="R147" s="1" t="s">
        <v>307</v>
      </c>
      <c r="S147" s="1" t="s">
        <v>374</v>
      </c>
      <c r="T147" s="1" t="s">
        <v>1842</v>
      </c>
      <c r="U147" s="1"/>
      <c r="V147" s="1"/>
      <c r="W147" s="8" t="s">
        <v>3179</v>
      </c>
      <c r="X147" s="8"/>
      <c r="Y147" s="8"/>
      <c r="Z147" s="22"/>
      <c r="AA147" s="1"/>
      <c r="AB147" s="23" t="s">
        <v>402</v>
      </c>
      <c r="AC147" s="1"/>
      <c r="AD147" s="2"/>
    </row>
    <row r="148" spans="1:30" s="24" customFormat="1" ht="30" x14ac:dyDescent="0.25">
      <c r="A148" s="4"/>
      <c r="B148" s="4">
        <v>45313</v>
      </c>
      <c r="C148" s="6" t="s">
        <v>1693</v>
      </c>
      <c r="D148" s="6" t="s">
        <v>1843</v>
      </c>
      <c r="E148" s="6" t="s">
        <v>403</v>
      </c>
      <c r="F148" s="1" t="s">
        <v>404</v>
      </c>
      <c r="G148" s="8">
        <v>2</v>
      </c>
      <c r="H148" s="8"/>
      <c r="I148" s="115">
        <f>Table223[[#This Row],[Qty]]-Table223[[#This Row],[Issue Qty]]</f>
        <v>2</v>
      </c>
      <c r="J148" s="5">
        <v>2149</v>
      </c>
      <c r="K148" s="5">
        <f t="shared" si="6"/>
        <v>4298</v>
      </c>
      <c r="L148" s="11">
        <v>0.18</v>
      </c>
      <c r="M148" s="9">
        <f t="shared" si="7"/>
        <v>773.64</v>
      </c>
      <c r="N148" s="5">
        <v>150</v>
      </c>
      <c r="O148" s="5"/>
      <c r="P148" s="5">
        <f t="shared" si="8"/>
        <v>5221.6400000000003</v>
      </c>
      <c r="Q148" s="1" t="s">
        <v>307</v>
      </c>
      <c r="R148" s="1" t="s">
        <v>307</v>
      </c>
      <c r="S148" s="1" t="s">
        <v>405</v>
      </c>
      <c r="T148" s="1" t="s">
        <v>1844</v>
      </c>
      <c r="U148" s="1"/>
      <c r="V148" s="2"/>
      <c r="W148" s="21" t="s">
        <v>72</v>
      </c>
      <c r="X148" s="21" t="s">
        <v>406</v>
      </c>
      <c r="Y148" s="21">
        <v>1</v>
      </c>
      <c r="Z148" s="12" t="s">
        <v>407</v>
      </c>
      <c r="AA148" s="2"/>
      <c r="AB148" s="23"/>
      <c r="AC148" s="2"/>
      <c r="AD148" s="2"/>
    </row>
    <row r="149" spans="1:30" s="24" customFormat="1" ht="30" x14ac:dyDescent="0.25">
      <c r="A149" s="4"/>
      <c r="B149" s="4">
        <v>45321</v>
      </c>
      <c r="C149" s="6" t="s">
        <v>1693</v>
      </c>
      <c r="D149" s="26" t="s">
        <v>1845</v>
      </c>
      <c r="E149" s="26" t="s">
        <v>408</v>
      </c>
      <c r="F149" s="1" t="s">
        <v>408</v>
      </c>
      <c r="G149" s="8">
        <v>1</v>
      </c>
      <c r="H149" s="8"/>
      <c r="I149" s="115">
        <f>Table223[[#This Row],[Qty]]-Table223[[#This Row],[Issue Qty]]</f>
        <v>1</v>
      </c>
      <c r="J149" s="5">
        <v>14364.39</v>
      </c>
      <c r="K149" s="5">
        <f t="shared" si="6"/>
        <v>14364.39</v>
      </c>
      <c r="L149" s="11">
        <v>0.18</v>
      </c>
      <c r="M149" s="9">
        <f t="shared" si="7"/>
        <v>2585.5901999999996</v>
      </c>
      <c r="N149" s="5">
        <v>0</v>
      </c>
      <c r="O149" s="5"/>
      <c r="P149" s="5">
        <f t="shared" si="8"/>
        <v>16949.980199999998</v>
      </c>
      <c r="Q149" s="1" t="s">
        <v>307</v>
      </c>
      <c r="R149" s="1" t="s">
        <v>307</v>
      </c>
      <c r="S149" s="1" t="s">
        <v>409</v>
      </c>
      <c r="T149" s="1" t="s">
        <v>1846</v>
      </c>
      <c r="U149" s="1"/>
      <c r="V149" s="1"/>
      <c r="W149" s="21" t="s">
        <v>327</v>
      </c>
      <c r="X149" s="21" t="s">
        <v>328</v>
      </c>
      <c r="Y149" s="8"/>
      <c r="Z149" s="22"/>
      <c r="AA149" s="1"/>
      <c r="AB149" s="23"/>
      <c r="AC149" s="1"/>
      <c r="AD149" s="2"/>
    </row>
    <row r="150" spans="1:30" s="24" customFormat="1" x14ac:dyDescent="0.25">
      <c r="A150" s="4"/>
      <c r="B150" s="4">
        <v>45339</v>
      </c>
      <c r="C150" s="6" t="s">
        <v>1695</v>
      </c>
      <c r="D150" s="6" t="s">
        <v>1805</v>
      </c>
      <c r="E150" s="6" t="s">
        <v>305</v>
      </c>
      <c r="F150" s="1" t="s">
        <v>410</v>
      </c>
      <c r="G150" s="8">
        <v>1</v>
      </c>
      <c r="H150" s="8"/>
      <c r="I150" s="115">
        <f>Table223[[#This Row],[Qty]]-Table223[[#This Row],[Issue Qty]]</f>
        <v>1</v>
      </c>
      <c r="J150" s="5">
        <v>1335079.58</v>
      </c>
      <c r="K150" s="5">
        <f t="shared" si="6"/>
        <v>1335079.58</v>
      </c>
      <c r="L150" s="11">
        <v>0</v>
      </c>
      <c r="M150" s="9">
        <f t="shared" si="7"/>
        <v>0</v>
      </c>
      <c r="N150" s="5">
        <f>252388.43</f>
        <v>252388.43</v>
      </c>
      <c r="O150" s="5"/>
      <c r="P150" s="5">
        <f t="shared" si="8"/>
        <v>1587468.01</v>
      </c>
      <c r="Q150" s="49" t="s">
        <v>307</v>
      </c>
      <c r="R150" s="1" t="s">
        <v>307</v>
      </c>
      <c r="S150" s="1" t="s">
        <v>411</v>
      </c>
      <c r="T150" s="1"/>
      <c r="U150" s="1"/>
      <c r="V150" s="1"/>
      <c r="W150" s="8" t="s">
        <v>133</v>
      </c>
      <c r="X150" s="8"/>
      <c r="Y150" s="8"/>
      <c r="Z150" s="22"/>
      <c r="AA150" s="1"/>
      <c r="AB150" s="23"/>
      <c r="AC150" s="1"/>
      <c r="AD150" s="2"/>
    </row>
    <row r="151" spans="1:30" s="24" customFormat="1" x14ac:dyDescent="0.25">
      <c r="A151" s="4"/>
      <c r="B151" s="4">
        <v>45339</v>
      </c>
      <c r="C151" s="6" t="s">
        <v>1695</v>
      </c>
      <c r="D151" s="6" t="s">
        <v>1847</v>
      </c>
      <c r="E151" s="6" t="s">
        <v>412</v>
      </c>
      <c r="F151" s="1" t="s">
        <v>413</v>
      </c>
      <c r="G151" s="8">
        <v>1</v>
      </c>
      <c r="H151" s="8"/>
      <c r="I151" s="115">
        <f>Table223[[#This Row],[Qty]]-Table223[[#This Row],[Issue Qty]]</f>
        <v>1</v>
      </c>
      <c r="J151" s="5">
        <v>220664.46</v>
      </c>
      <c r="K151" s="5">
        <f t="shared" si="6"/>
        <v>220664.46</v>
      </c>
      <c r="L151" s="11">
        <v>0</v>
      </c>
      <c r="M151" s="9">
        <f t="shared" si="7"/>
        <v>0</v>
      </c>
      <c r="N151" s="5">
        <f>252388.43</f>
        <v>252388.43</v>
      </c>
      <c r="O151" s="5"/>
      <c r="P151" s="5">
        <f t="shared" si="8"/>
        <v>473052.89</v>
      </c>
      <c r="Q151" s="49" t="s">
        <v>307</v>
      </c>
      <c r="R151" s="1" t="s">
        <v>307</v>
      </c>
      <c r="S151" s="1" t="s">
        <v>411</v>
      </c>
      <c r="T151" s="1"/>
      <c r="U151" s="1"/>
      <c r="V151" s="1"/>
      <c r="W151" s="8" t="s">
        <v>133</v>
      </c>
      <c r="X151" s="8"/>
      <c r="Y151" s="8"/>
      <c r="Z151" s="22"/>
      <c r="AA151" s="1"/>
      <c r="AB151" s="23" t="s">
        <v>414</v>
      </c>
      <c r="AC151" s="1"/>
      <c r="AD151" s="2"/>
    </row>
    <row r="152" spans="1:30" s="24" customFormat="1" x14ac:dyDescent="0.25">
      <c r="A152" s="4"/>
      <c r="B152" s="4">
        <v>45341</v>
      </c>
      <c r="C152" s="6" t="s">
        <v>1693</v>
      </c>
      <c r="D152" s="26" t="s">
        <v>1848</v>
      </c>
      <c r="E152" s="26" t="s">
        <v>415</v>
      </c>
      <c r="F152" s="1" t="s">
        <v>415</v>
      </c>
      <c r="G152" s="8">
        <v>1</v>
      </c>
      <c r="H152" s="8"/>
      <c r="I152" s="115">
        <f>Table223[[#This Row],[Qty]]-Table223[[#This Row],[Issue Qty]]</f>
        <v>1</v>
      </c>
      <c r="J152" s="5">
        <v>45238.1</v>
      </c>
      <c r="K152" s="5">
        <f t="shared" si="6"/>
        <v>45238.1</v>
      </c>
      <c r="L152" s="11">
        <v>5.1671268245129701E-2</v>
      </c>
      <c r="M152" s="9">
        <f t="shared" si="7"/>
        <v>2337.510000000002</v>
      </c>
      <c r="N152" s="5">
        <v>420</v>
      </c>
      <c r="O152" s="5"/>
      <c r="P152" s="5">
        <f t="shared" si="8"/>
        <v>47995.61</v>
      </c>
      <c r="Q152" s="1" t="s">
        <v>416</v>
      </c>
      <c r="R152" s="1" t="s">
        <v>1849</v>
      </c>
      <c r="S152" s="1" t="s">
        <v>417</v>
      </c>
      <c r="T152" s="1" t="s">
        <v>1850</v>
      </c>
      <c r="U152" s="1"/>
      <c r="V152" s="1"/>
      <c r="W152" s="8" t="s">
        <v>388</v>
      </c>
      <c r="X152" s="8"/>
      <c r="Y152" s="8"/>
      <c r="Z152" s="22"/>
      <c r="AA152" s="1"/>
      <c r="AB152" s="23"/>
      <c r="AC152" s="1"/>
      <c r="AD152" s="2"/>
    </row>
    <row r="153" spans="1:30" s="24" customFormat="1" x14ac:dyDescent="0.25">
      <c r="A153" s="4"/>
      <c r="B153" s="4">
        <v>45341</v>
      </c>
      <c r="C153" s="6" t="s">
        <v>1693</v>
      </c>
      <c r="D153" s="26" t="s">
        <v>1851</v>
      </c>
      <c r="E153" s="26" t="s">
        <v>418</v>
      </c>
      <c r="F153" s="1" t="s">
        <v>419</v>
      </c>
      <c r="G153" s="8">
        <v>1</v>
      </c>
      <c r="H153" s="8"/>
      <c r="I153" s="115">
        <f>Table223[[#This Row],[Qty]]-Table223[[#This Row],[Issue Qty]]</f>
        <v>1</v>
      </c>
      <c r="J153" s="5">
        <v>1798.1</v>
      </c>
      <c r="K153" s="5">
        <f t="shared" si="6"/>
        <v>1798.1</v>
      </c>
      <c r="L153" s="11">
        <v>0.05</v>
      </c>
      <c r="M153" s="9">
        <f t="shared" si="7"/>
        <v>89.905000000000001</v>
      </c>
      <c r="N153" s="5">
        <v>0</v>
      </c>
      <c r="O153" s="5"/>
      <c r="P153" s="5">
        <f t="shared" si="8"/>
        <v>1888.0049999999999</v>
      </c>
      <c r="Q153" s="1" t="s">
        <v>416</v>
      </c>
      <c r="R153" s="1" t="s">
        <v>1742</v>
      </c>
      <c r="S153" s="1" t="s">
        <v>243</v>
      </c>
      <c r="T153" s="1" t="s">
        <v>1852</v>
      </c>
      <c r="U153" s="1"/>
      <c r="V153" s="1"/>
      <c r="W153" s="21" t="s">
        <v>420</v>
      </c>
      <c r="X153" s="21" t="s">
        <v>421</v>
      </c>
      <c r="Y153" s="8"/>
      <c r="Z153" s="22"/>
      <c r="AA153" s="1"/>
      <c r="AB153" s="23"/>
      <c r="AC153" s="1"/>
      <c r="AD153" s="2"/>
    </row>
    <row r="154" spans="1:30" s="24" customFormat="1" x14ac:dyDescent="0.25">
      <c r="A154" s="4"/>
      <c r="B154" s="4">
        <v>45342</v>
      </c>
      <c r="C154" s="6" t="s">
        <v>54</v>
      </c>
      <c r="D154" s="6" t="s">
        <v>37</v>
      </c>
      <c r="E154" s="169" t="s">
        <v>422</v>
      </c>
      <c r="F154" s="1" t="s">
        <v>422</v>
      </c>
      <c r="G154" s="8">
        <v>1</v>
      </c>
      <c r="H154" s="8">
        <v>1</v>
      </c>
      <c r="I154" s="115">
        <f>Table223[[#This Row],[Qty]]-Table223[[#This Row],[Issue Qty]]</f>
        <v>0</v>
      </c>
      <c r="J154" s="5">
        <v>410204.89</v>
      </c>
      <c r="K154" s="5">
        <f t="shared" si="6"/>
        <v>410204.89</v>
      </c>
      <c r="L154" s="11">
        <v>0</v>
      </c>
      <c r="M154" s="9">
        <f t="shared" si="7"/>
        <v>0</v>
      </c>
      <c r="N154" s="5">
        <v>198224</v>
      </c>
      <c r="O154" s="5"/>
      <c r="P154" s="5">
        <f t="shared" si="8"/>
        <v>608428.89</v>
      </c>
      <c r="Q154" s="1" t="s">
        <v>331</v>
      </c>
      <c r="R154" s="1" t="s">
        <v>331</v>
      </c>
      <c r="S154" s="1" t="s">
        <v>56</v>
      </c>
      <c r="T154" s="1"/>
      <c r="U154" s="1"/>
      <c r="V154" s="2"/>
      <c r="W154" s="21"/>
      <c r="X154" s="21"/>
      <c r="Y154" s="21"/>
      <c r="Z154" s="12" t="s">
        <v>423</v>
      </c>
      <c r="AA154" s="2"/>
      <c r="AB154" s="23"/>
      <c r="AC154" s="2"/>
      <c r="AD154" s="2"/>
    </row>
    <row r="155" spans="1:30" s="24" customFormat="1" x14ac:dyDescent="0.25">
      <c r="A155" s="4"/>
      <c r="B155" s="4">
        <v>45355</v>
      </c>
      <c r="C155" s="6" t="s">
        <v>1693</v>
      </c>
      <c r="D155" s="26" t="s">
        <v>1824</v>
      </c>
      <c r="E155" s="26" t="s">
        <v>340</v>
      </c>
      <c r="F155" s="1" t="s">
        <v>340</v>
      </c>
      <c r="G155" s="8">
        <v>4</v>
      </c>
      <c r="H155" s="8"/>
      <c r="I155" s="115">
        <f>Table223[[#This Row],[Qty]]-Table223[[#This Row],[Issue Qty]]</f>
        <v>4</v>
      </c>
      <c r="J155" s="5">
        <v>215</v>
      </c>
      <c r="K155" s="5">
        <f t="shared" si="6"/>
        <v>860</v>
      </c>
      <c r="L155" s="11">
        <v>0.18</v>
      </c>
      <c r="M155" s="9">
        <f t="shared" si="7"/>
        <v>154.79999999999998</v>
      </c>
      <c r="N155" s="5">
        <v>120</v>
      </c>
      <c r="O155" s="5"/>
      <c r="P155" s="5">
        <f t="shared" si="8"/>
        <v>1134.8</v>
      </c>
      <c r="Q155" s="1" t="s">
        <v>307</v>
      </c>
      <c r="R155" s="1" t="s">
        <v>307</v>
      </c>
      <c r="S155" s="1" t="s">
        <v>343</v>
      </c>
      <c r="T155" s="1" t="s">
        <v>1853</v>
      </c>
      <c r="U155" s="1"/>
      <c r="V155" s="1"/>
      <c r="W155" s="8" t="s">
        <v>89</v>
      </c>
      <c r="X155" s="21" t="s">
        <v>342</v>
      </c>
      <c r="Y155" s="8"/>
      <c r="Z155" s="22"/>
      <c r="AA155" s="1"/>
      <c r="AB155" s="23"/>
      <c r="AC155" s="1"/>
      <c r="AD155" s="2"/>
    </row>
    <row r="156" spans="1:30" s="24" customFormat="1" x14ac:dyDescent="0.25">
      <c r="A156" s="4"/>
      <c r="B156" s="4">
        <v>45355</v>
      </c>
      <c r="C156" s="6" t="s">
        <v>1693</v>
      </c>
      <c r="D156" s="26" t="s">
        <v>1854</v>
      </c>
      <c r="E156" s="26" t="s">
        <v>424</v>
      </c>
      <c r="F156" s="1" t="s">
        <v>425</v>
      </c>
      <c r="G156" s="8">
        <v>7</v>
      </c>
      <c r="H156" s="8"/>
      <c r="I156" s="115">
        <f>Table223[[#This Row],[Qty]]-Table223[[#This Row],[Issue Qty]]</f>
        <v>7</v>
      </c>
      <c r="J156" s="5">
        <v>3800</v>
      </c>
      <c r="K156" s="5">
        <f t="shared" si="6"/>
        <v>26600</v>
      </c>
      <c r="L156" s="11">
        <v>0.05</v>
      </c>
      <c r="M156" s="9">
        <f t="shared" si="7"/>
        <v>1330</v>
      </c>
      <c r="N156" s="5">
        <v>0</v>
      </c>
      <c r="O156" s="5"/>
      <c r="P156" s="5">
        <f t="shared" si="8"/>
        <v>27930</v>
      </c>
      <c r="Q156" s="1" t="s">
        <v>20</v>
      </c>
      <c r="R156" s="1" t="s">
        <v>1742</v>
      </c>
      <c r="S156" s="1" t="s">
        <v>290</v>
      </c>
      <c r="T156" s="1" t="s">
        <v>1855</v>
      </c>
      <c r="U156" s="1"/>
      <c r="V156" s="1"/>
      <c r="W156" s="21" t="s">
        <v>22</v>
      </c>
      <c r="X156" s="21" t="s">
        <v>426</v>
      </c>
      <c r="Y156" s="8"/>
      <c r="Z156" s="22"/>
      <c r="AA156" s="1"/>
      <c r="AB156" s="23"/>
      <c r="AC156" s="1"/>
      <c r="AD156" s="2"/>
    </row>
    <row r="157" spans="1:30" s="24" customFormat="1" x14ac:dyDescent="0.25">
      <c r="A157" s="4"/>
      <c r="B157" s="4">
        <v>45356</v>
      </c>
      <c r="C157" s="6" t="s">
        <v>1683</v>
      </c>
      <c r="D157" s="26" t="s">
        <v>1856</v>
      </c>
      <c r="E157" s="26" t="s">
        <v>427</v>
      </c>
      <c r="F157" s="1" t="s">
        <v>428</v>
      </c>
      <c r="G157" s="8">
        <v>2</v>
      </c>
      <c r="H157" s="8"/>
      <c r="I157" s="115">
        <f>Table223[[#This Row],[Qty]]-Table223[[#This Row],[Issue Qty]]</f>
        <v>2</v>
      </c>
      <c r="J157" s="5">
        <v>557.96199999999999</v>
      </c>
      <c r="K157" s="5">
        <f t="shared" si="6"/>
        <v>1115.924</v>
      </c>
      <c r="L157" s="11">
        <v>0.05</v>
      </c>
      <c r="M157" s="9">
        <f t="shared" si="7"/>
        <v>55.796199999999999</v>
      </c>
      <c r="N157" s="5">
        <f>250/14</f>
        <v>17.857142857142858</v>
      </c>
      <c r="O157" s="5"/>
      <c r="P157" s="5">
        <f t="shared" si="8"/>
        <v>1189.5773428571429</v>
      </c>
      <c r="Q157" s="1" t="s">
        <v>20</v>
      </c>
      <c r="R157" s="1" t="s">
        <v>1857</v>
      </c>
      <c r="S157" s="1" t="s">
        <v>243</v>
      </c>
      <c r="T157" s="1" t="s">
        <v>1858</v>
      </c>
      <c r="U157" s="1"/>
      <c r="V157" s="1"/>
      <c r="W157" s="21" t="s">
        <v>25</v>
      </c>
      <c r="X157" s="21" t="s">
        <v>26</v>
      </c>
      <c r="Y157" s="8"/>
      <c r="Z157" s="22"/>
      <c r="AA157" s="1"/>
      <c r="AB157" s="23"/>
      <c r="AC157" s="1"/>
      <c r="AD157" s="2"/>
    </row>
    <row r="158" spans="1:30" s="24" customFormat="1" x14ac:dyDescent="0.25">
      <c r="A158" s="4"/>
      <c r="B158" s="4">
        <v>45356</v>
      </c>
      <c r="C158" s="6" t="s">
        <v>1683</v>
      </c>
      <c r="D158" s="26" t="s">
        <v>1859</v>
      </c>
      <c r="E158" s="26" t="s">
        <v>429</v>
      </c>
      <c r="F158" s="1" t="s">
        <v>430</v>
      </c>
      <c r="G158" s="8">
        <v>2</v>
      </c>
      <c r="H158" s="8"/>
      <c r="I158" s="115">
        <f>Table223[[#This Row],[Qty]]-Table223[[#This Row],[Issue Qty]]</f>
        <v>2</v>
      </c>
      <c r="J158" s="5">
        <v>2852.7139999999999</v>
      </c>
      <c r="K158" s="5">
        <f t="shared" si="6"/>
        <v>5705.4279999999999</v>
      </c>
      <c r="L158" s="11">
        <v>0.05</v>
      </c>
      <c r="M158" s="9">
        <f t="shared" si="7"/>
        <v>285.27140000000003</v>
      </c>
      <c r="N158" s="5">
        <f>250/14</f>
        <v>17.857142857142858</v>
      </c>
      <c r="O158" s="5"/>
      <c r="P158" s="5">
        <f t="shared" si="8"/>
        <v>6008.5565428571426</v>
      </c>
      <c r="Q158" s="1" t="s">
        <v>20</v>
      </c>
      <c r="R158" s="1" t="s">
        <v>1857</v>
      </c>
      <c r="S158" s="1" t="s">
        <v>243</v>
      </c>
      <c r="T158" s="1" t="s">
        <v>1858</v>
      </c>
      <c r="U158" s="1"/>
      <c r="V158" s="1"/>
      <c r="W158" s="21" t="s">
        <v>22</v>
      </c>
      <c r="X158" s="21" t="s">
        <v>431</v>
      </c>
      <c r="Y158" s="8"/>
      <c r="Z158" s="22"/>
      <c r="AA158" s="1"/>
      <c r="AB158" s="23"/>
      <c r="AC158" s="1"/>
      <c r="AD158" s="2"/>
    </row>
    <row r="159" spans="1:30" s="24" customFormat="1" x14ac:dyDescent="0.25">
      <c r="A159" s="4"/>
      <c r="B159" s="4">
        <v>45356</v>
      </c>
      <c r="C159" s="6" t="s">
        <v>1683</v>
      </c>
      <c r="D159" s="6" t="s">
        <v>1860</v>
      </c>
      <c r="E159" s="1" t="s">
        <v>432</v>
      </c>
      <c r="F159" s="1" t="s">
        <v>433</v>
      </c>
      <c r="G159" s="8">
        <v>17</v>
      </c>
      <c r="H159" s="8"/>
      <c r="I159" s="115">
        <f>Table223[[#This Row],[Qty]]-Table223[[#This Row],[Issue Qty]]</f>
        <v>17</v>
      </c>
      <c r="J159" s="5">
        <v>264.3811</v>
      </c>
      <c r="K159" s="5">
        <f t="shared" si="6"/>
        <v>4494.4786999999997</v>
      </c>
      <c r="L159" s="11">
        <v>0.05</v>
      </c>
      <c r="M159" s="9">
        <f t="shared" si="7"/>
        <v>224.72393499999998</v>
      </c>
      <c r="N159" s="5">
        <f>250/14</f>
        <v>17.857142857142858</v>
      </c>
      <c r="O159" s="5"/>
      <c r="P159" s="5">
        <f t="shared" si="8"/>
        <v>4737.0597778571428</v>
      </c>
      <c r="Q159" s="1" t="s">
        <v>20</v>
      </c>
      <c r="R159" s="1" t="s">
        <v>1857</v>
      </c>
      <c r="S159" s="1" t="s">
        <v>243</v>
      </c>
      <c r="T159" s="1" t="s">
        <v>1858</v>
      </c>
      <c r="U159" s="1"/>
      <c r="V159" s="2"/>
      <c r="W159" s="21" t="s">
        <v>156</v>
      </c>
      <c r="X159" s="21" t="s">
        <v>434</v>
      </c>
      <c r="Y159" s="21"/>
      <c r="Z159" s="12"/>
      <c r="AA159" s="2"/>
      <c r="AB159" s="23"/>
      <c r="AC159" s="1"/>
      <c r="AD159" s="2"/>
    </row>
    <row r="160" spans="1:30" s="24" customFormat="1" x14ac:dyDescent="0.25">
      <c r="A160" s="4"/>
      <c r="B160" s="4">
        <v>45357</v>
      </c>
      <c r="C160" s="6" t="s">
        <v>1683</v>
      </c>
      <c r="D160" s="26" t="s">
        <v>1861</v>
      </c>
      <c r="E160" s="26" t="s">
        <v>435</v>
      </c>
      <c r="F160" s="1" t="s">
        <v>436</v>
      </c>
      <c r="G160" s="8">
        <v>2</v>
      </c>
      <c r="H160" s="8">
        <v>2</v>
      </c>
      <c r="I160" s="115">
        <f>Table223[[#This Row],[Qty]]-Table223[[#This Row],[Issue Qty]]</f>
        <v>0</v>
      </c>
      <c r="J160" s="5">
        <v>200</v>
      </c>
      <c r="K160" s="5">
        <f t="shared" si="6"/>
        <v>400</v>
      </c>
      <c r="L160" s="11">
        <v>0.18</v>
      </c>
      <c r="M160" s="9">
        <f t="shared" si="7"/>
        <v>72</v>
      </c>
      <c r="N160" s="5">
        <v>62</v>
      </c>
      <c r="O160" s="5"/>
      <c r="P160" s="5">
        <f t="shared" si="8"/>
        <v>534</v>
      </c>
      <c r="Q160" s="1" t="s">
        <v>437</v>
      </c>
      <c r="R160" s="1" t="s">
        <v>20</v>
      </c>
      <c r="S160" s="1" t="s">
        <v>243</v>
      </c>
      <c r="T160" s="1" t="s">
        <v>1862</v>
      </c>
      <c r="U160" s="1"/>
      <c r="V160" s="2"/>
      <c r="W160" s="8" t="s">
        <v>72</v>
      </c>
      <c r="X160" s="8" t="s">
        <v>117</v>
      </c>
      <c r="Y160" s="21">
        <v>2</v>
      </c>
      <c r="Z160" s="12" t="s">
        <v>438</v>
      </c>
      <c r="AA160" s="2"/>
      <c r="AB160" s="23"/>
      <c r="AC160" s="2"/>
      <c r="AD160" s="2"/>
    </row>
    <row r="161" spans="1:30" s="24" customFormat="1" ht="60" x14ac:dyDescent="0.25">
      <c r="A161" s="4"/>
      <c r="B161" s="4">
        <v>45383</v>
      </c>
      <c r="C161" s="6" t="s">
        <v>54</v>
      </c>
      <c r="D161" s="26" t="s">
        <v>1863</v>
      </c>
      <c r="E161" s="26" t="s">
        <v>439</v>
      </c>
      <c r="F161" s="1" t="s">
        <v>439</v>
      </c>
      <c r="G161" s="8">
        <v>30</v>
      </c>
      <c r="H161" s="8"/>
      <c r="I161" s="115">
        <f>Table223[[#This Row],[Qty]]-Table223[[#This Row],[Issue Qty]]</f>
        <v>30</v>
      </c>
      <c r="J161" s="5">
        <v>1530</v>
      </c>
      <c r="K161" s="5">
        <f t="shared" si="6"/>
        <v>45900</v>
      </c>
      <c r="L161" s="11">
        <v>0.18</v>
      </c>
      <c r="M161" s="9">
        <f t="shared" si="7"/>
        <v>8262</v>
      </c>
      <c r="N161" s="5"/>
      <c r="O161" s="5"/>
      <c r="P161" s="5">
        <f t="shared" si="8"/>
        <v>54162</v>
      </c>
      <c r="Q161" s="1" t="s">
        <v>20</v>
      </c>
      <c r="R161" s="1" t="s">
        <v>1857</v>
      </c>
      <c r="S161" s="1" t="s">
        <v>440</v>
      </c>
      <c r="T161" s="1" t="s">
        <v>1864</v>
      </c>
      <c r="U161" s="1">
        <v>42021990</v>
      </c>
      <c r="V161" s="1" t="s">
        <v>1865</v>
      </c>
      <c r="W161" s="21" t="s">
        <v>156</v>
      </c>
      <c r="X161" s="21" t="s">
        <v>441</v>
      </c>
      <c r="Y161" s="8"/>
      <c r="Z161" s="22"/>
      <c r="AA161" s="1"/>
      <c r="AB161" s="23"/>
      <c r="AC161" s="1"/>
      <c r="AD161" s="2"/>
    </row>
    <row r="162" spans="1:30" s="24" customFormat="1" ht="30" x14ac:dyDescent="0.25">
      <c r="A162" s="4"/>
      <c r="B162" s="4">
        <v>45408</v>
      </c>
      <c r="C162" s="6" t="s">
        <v>54</v>
      </c>
      <c r="D162" s="26" t="s">
        <v>1866</v>
      </c>
      <c r="E162" s="26" t="s">
        <v>442</v>
      </c>
      <c r="F162" s="1" t="s">
        <v>443</v>
      </c>
      <c r="G162" s="8">
        <v>5</v>
      </c>
      <c r="H162" s="8"/>
      <c r="I162" s="115">
        <f>Table223[[#This Row],[Qty]]-Table223[[#This Row],[Issue Qty]]</f>
        <v>5</v>
      </c>
      <c r="J162" s="5">
        <v>2690</v>
      </c>
      <c r="K162" s="5">
        <f t="shared" si="6"/>
        <v>13450</v>
      </c>
      <c r="L162" s="11">
        <v>0.05</v>
      </c>
      <c r="M162" s="9">
        <f t="shared" si="7"/>
        <v>672.5</v>
      </c>
      <c r="N162" s="5">
        <v>0</v>
      </c>
      <c r="O162" s="5"/>
      <c r="P162" s="5">
        <f t="shared" si="8"/>
        <v>14122.5</v>
      </c>
      <c r="Q162" s="1" t="s">
        <v>42</v>
      </c>
      <c r="R162" s="1" t="s">
        <v>1867</v>
      </c>
      <c r="S162" s="1" t="s">
        <v>444</v>
      </c>
      <c r="T162" s="1" t="s">
        <v>1868</v>
      </c>
      <c r="U162" s="1"/>
      <c r="V162" s="1"/>
      <c r="W162" s="21" t="s">
        <v>445</v>
      </c>
      <c r="X162" s="21" t="s">
        <v>446</v>
      </c>
      <c r="Y162" s="8"/>
      <c r="Z162" s="22"/>
      <c r="AA162" s="1"/>
      <c r="AB162" s="23"/>
      <c r="AC162" s="1"/>
      <c r="AD162" s="2"/>
    </row>
    <row r="163" spans="1:30" s="24" customFormat="1" ht="30" x14ac:dyDescent="0.25">
      <c r="A163" s="4"/>
      <c r="B163" s="4">
        <v>45408</v>
      </c>
      <c r="C163" s="6" t="s">
        <v>54</v>
      </c>
      <c r="D163" s="26" t="s">
        <v>1866</v>
      </c>
      <c r="E163" s="26" t="s">
        <v>442</v>
      </c>
      <c r="F163" s="1" t="s">
        <v>443</v>
      </c>
      <c r="G163" s="8">
        <v>6</v>
      </c>
      <c r="H163" s="8"/>
      <c r="I163" s="115">
        <f>Table223[[#This Row],[Qty]]-Table223[[#This Row],[Issue Qty]]</f>
        <v>6</v>
      </c>
      <c r="J163" s="5">
        <v>2690</v>
      </c>
      <c r="K163" s="5">
        <f t="shared" si="6"/>
        <v>16140</v>
      </c>
      <c r="L163" s="11">
        <v>0.05</v>
      </c>
      <c r="M163" s="9">
        <f t="shared" si="7"/>
        <v>807</v>
      </c>
      <c r="N163" s="5">
        <v>0</v>
      </c>
      <c r="O163" s="5"/>
      <c r="P163" s="5">
        <f t="shared" si="8"/>
        <v>16947</v>
      </c>
      <c r="Q163" s="1" t="s">
        <v>42</v>
      </c>
      <c r="R163" s="1" t="s">
        <v>1867</v>
      </c>
      <c r="S163" s="1" t="s">
        <v>444</v>
      </c>
      <c r="T163" s="1" t="s">
        <v>1868</v>
      </c>
      <c r="U163" s="1"/>
      <c r="V163" s="1"/>
      <c r="W163" s="21" t="s">
        <v>445</v>
      </c>
      <c r="X163" s="21" t="s">
        <v>446</v>
      </c>
      <c r="Y163" s="8"/>
      <c r="Z163" s="22"/>
      <c r="AA163" s="1"/>
      <c r="AB163" s="23"/>
      <c r="AC163" s="1"/>
      <c r="AD163" s="2"/>
    </row>
    <row r="164" spans="1:30" s="24" customFormat="1" x14ac:dyDescent="0.25">
      <c r="A164" s="4"/>
      <c r="B164" s="4">
        <v>45408</v>
      </c>
      <c r="C164" s="6" t="s">
        <v>54</v>
      </c>
      <c r="D164" s="26" t="s">
        <v>1869</v>
      </c>
      <c r="E164" s="26" t="s">
        <v>447</v>
      </c>
      <c r="F164" s="1" t="s">
        <v>448</v>
      </c>
      <c r="G164" s="8">
        <v>12</v>
      </c>
      <c r="H164" s="8"/>
      <c r="I164" s="115">
        <f>Table223[[#This Row],[Qty]]-Table223[[#This Row],[Issue Qty]]</f>
        <v>12</v>
      </c>
      <c r="J164" s="5">
        <v>500</v>
      </c>
      <c r="K164" s="5">
        <f t="shared" si="6"/>
        <v>6000</v>
      </c>
      <c r="L164" s="11">
        <v>0.05</v>
      </c>
      <c r="M164" s="9">
        <f t="shared" si="7"/>
        <v>300</v>
      </c>
      <c r="N164" s="5">
        <v>0</v>
      </c>
      <c r="O164" s="5"/>
      <c r="P164" s="5">
        <f t="shared" si="8"/>
        <v>6300</v>
      </c>
      <c r="Q164" s="1" t="s">
        <v>42</v>
      </c>
      <c r="R164" s="1" t="s">
        <v>1867</v>
      </c>
      <c r="S164" s="1" t="s">
        <v>444</v>
      </c>
      <c r="T164" s="1" t="s">
        <v>1868</v>
      </c>
      <c r="U164" s="1"/>
      <c r="V164" s="1"/>
      <c r="W164" s="21" t="s">
        <v>445</v>
      </c>
      <c r="X164" s="21" t="s">
        <v>446</v>
      </c>
      <c r="Y164" s="8"/>
      <c r="Z164" s="22"/>
      <c r="AA164" s="1"/>
      <c r="AB164" s="23" t="s">
        <v>449</v>
      </c>
      <c r="AC164" s="1"/>
      <c r="AD164" s="2"/>
    </row>
    <row r="165" spans="1:30" s="24" customFormat="1" x14ac:dyDescent="0.25">
      <c r="A165" s="4"/>
      <c r="B165" s="4">
        <v>45408</v>
      </c>
      <c r="C165" s="6" t="s">
        <v>54</v>
      </c>
      <c r="D165" s="26" t="s">
        <v>1870</v>
      </c>
      <c r="E165" s="26" t="s">
        <v>450</v>
      </c>
      <c r="F165" s="1" t="s">
        <v>451</v>
      </c>
      <c r="G165" s="8">
        <v>4</v>
      </c>
      <c r="H165" s="8"/>
      <c r="I165" s="115">
        <f>Table223[[#This Row],[Qty]]-Table223[[#This Row],[Issue Qty]]</f>
        <v>4</v>
      </c>
      <c r="J165" s="5">
        <v>2350</v>
      </c>
      <c r="K165" s="5">
        <f t="shared" si="6"/>
        <v>9400</v>
      </c>
      <c r="L165" s="11">
        <v>0.05</v>
      </c>
      <c r="M165" s="9">
        <f t="shared" si="7"/>
        <v>470</v>
      </c>
      <c r="N165" s="5">
        <v>0</v>
      </c>
      <c r="O165" s="5"/>
      <c r="P165" s="5">
        <f t="shared" si="8"/>
        <v>9870</v>
      </c>
      <c r="Q165" s="1" t="s">
        <v>42</v>
      </c>
      <c r="R165" s="1" t="s">
        <v>1867</v>
      </c>
      <c r="S165" s="1" t="s">
        <v>444</v>
      </c>
      <c r="T165" s="1" t="s">
        <v>1868</v>
      </c>
      <c r="U165" s="1"/>
      <c r="V165" s="1"/>
      <c r="W165" s="21" t="s">
        <v>445</v>
      </c>
      <c r="X165" s="21" t="s">
        <v>446</v>
      </c>
      <c r="Y165" s="8"/>
      <c r="Z165" s="22"/>
      <c r="AA165" s="1"/>
      <c r="AB165" s="23"/>
      <c r="AC165" s="1"/>
      <c r="AD165" s="2"/>
    </row>
    <row r="166" spans="1:30" s="24" customFormat="1" x14ac:dyDescent="0.25">
      <c r="A166" s="4"/>
      <c r="B166" s="4">
        <v>45408</v>
      </c>
      <c r="C166" s="6" t="s">
        <v>54</v>
      </c>
      <c r="D166" s="26" t="s">
        <v>1870</v>
      </c>
      <c r="E166" s="26" t="s">
        <v>450</v>
      </c>
      <c r="F166" s="1" t="s">
        <v>451</v>
      </c>
      <c r="G166" s="8">
        <v>6</v>
      </c>
      <c r="H166" s="8"/>
      <c r="I166" s="115">
        <f>Table223[[#This Row],[Qty]]-Table223[[#This Row],[Issue Qty]]</f>
        <v>6</v>
      </c>
      <c r="J166" s="5">
        <v>2350</v>
      </c>
      <c r="K166" s="5">
        <f t="shared" si="6"/>
        <v>14100</v>
      </c>
      <c r="L166" s="11">
        <v>0.05</v>
      </c>
      <c r="M166" s="9">
        <f t="shared" si="7"/>
        <v>705</v>
      </c>
      <c r="N166" s="5">
        <v>0</v>
      </c>
      <c r="O166" s="5"/>
      <c r="P166" s="5">
        <f t="shared" si="8"/>
        <v>14805</v>
      </c>
      <c r="Q166" s="1" t="s">
        <v>42</v>
      </c>
      <c r="R166" s="1" t="s">
        <v>1867</v>
      </c>
      <c r="S166" s="1" t="s">
        <v>444</v>
      </c>
      <c r="T166" s="1" t="s">
        <v>1868</v>
      </c>
      <c r="U166" s="1"/>
      <c r="V166" s="1"/>
      <c r="W166" s="21" t="s">
        <v>445</v>
      </c>
      <c r="X166" s="21" t="s">
        <v>446</v>
      </c>
      <c r="Y166" s="8"/>
      <c r="Z166" s="22"/>
      <c r="AA166" s="1"/>
      <c r="AB166" s="23"/>
      <c r="AC166" s="1"/>
      <c r="AD166" s="2"/>
    </row>
    <row r="167" spans="1:30" s="24" customFormat="1" x14ac:dyDescent="0.25">
      <c r="A167" s="4"/>
      <c r="B167" s="4">
        <v>45408</v>
      </c>
      <c r="C167" s="6" t="s">
        <v>54</v>
      </c>
      <c r="D167" s="6" t="s">
        <v>1871</v>
      </c>
      <c r="E167" s="6" t="s">
        <v>452</v>
      </c>
      <c r="F167" s="1" t="s">
        <v>453</v>
      </c>
      <c r="G167" s="8">
        <v>8</v>
      </c>
      <c r="H167" s="8">
        <v>4</v>
      </c>
      <c r="I167" s="115">
        <f>Table223[[#This Row],[Qty]]-Table223[[#This Row],[Issue Qty]]</f>
        <v>4</v>
      </c>
      <c r="J167" s="5">
        <v>925</v>
      </c>
      <c r="K167" s="5">
        <f t="shared" si="6"/>
        <v>7400</v>
      </c>
      <c r="L167" s="11">
        <v>0.05</v>
      </c>
      <c r="M167" s="9">
        <f t="shared" si="7"/>
        <v>370</v>
      </c>
      <c r="N167" s="5">
        <v>0</v>
      </c>
      <c r="O167" s="5"/>
      <c r="P167" s="5">
        <f t="shared" si="8"/>
        <v>7770</v>
      </c>
      <c r="Q167" s="1" t="s">
        <v>42</v>
      </c>
      <c r="R167" s="1" t="s">
        <v>1867</v>
      </c>
      <c r="S167" s="1" t="s">
        <v>444</v>
      </c>
      <c r="T167" s="1" t="s">
        <v>1868</v>
      </c>
      <c r="U167" s="1"/>
      <c r="V167" s="1"/>
      <c r="W167" s="21" t="s">
        <v>445</v>
      </c>
      <c r="X167" s="21" t="s">
        <v>446</v>
      </c>
      <c r="Y167" s="8">
        <v>4</v>
      </c>
      <c r="Z167" s="22" t="s">
        <v>2917</v>
      </c>
      <c r="AA167" s="1"/>
      <c r="AB167" s="23" t="s">
        <v>454</v>
      </c>
      <c r="AC167" s="1"/>
      <c r="AD167" s="2"/>
    </row>
    <row r="168" spans="1:30" s="24" customFormat="1" x14ac:dyDescent="0.25">
      <c r="A168" s="4"/>
      <c r="B168" s="4">
        <v>45408</v>
      </c>
      <c r="C168" s="6" t="s">
        <v>1693</v>
      </c>
      <c r="D168" s="26" t="s">
        <v>1872</v>
      </c>
      <c r="E168" s="26" t="s">
        <v>455</v>
      </c>
      <c r="F168" s="1" t="s">
        <v>456</v>
      </c>
      <c r="G168" s="8">
        <v>1</v>
      </c>
      <c r="H168" s="8"/>
      <c r="I168" s="115">
        <f>Table223[[#This Row],[Qty]]-Table223[[#This Row],[Issue Qty]]</f>
        <v>1</v>
      </c>
      <c r="J168" s="5">
        <v>3000</v>
      </c>
      <c r="K168" s="5">
        <f t="shared" si="6"/>
        <v>3000</v>
      </c>
      <c r="L168" s="11">
        <v>0.05</v>
      </c>
      <c r="M168" s="9">
        <f t="shared" si="7"/>
        <v>150</v>
      </c>
      <c r="N168" s="5">
        <v>0</v>
      </c>
      <c r="O168" s="5"/>
      <c r="P168" s="5">
        <f t="shared" si="8"/>
        <v>3150</v>
      </c>
      <c r="Q168" s="1" t="s">
        <v>42</v>
      </c>
      <c r="R168" s="1" t="s">
        <v>1867</v>
      </c>
      <c r="S168" s="1" t="s">
        <v>444</v>
      </c>
      <c r="T168" s="1" t="s">
        <v>1868</v>
      </c>
      <c r="U168" s="1"/>
      <c r="V168" s="1"/>
      <c r="W168" s="8" t="s">
        <v>2940</v>
      </c>
      <c r="X168" s="8" t="s">
        <v>2939</v>
      </c>
      <c r="Y168" s="8">
        <v>1</v>
      </c>
      <c r="Z168" s="22" t="s">
        <v>2941</v>
      </c>
      <c r="AA168" s="1"/>
      <c r="AB168" s="23"/>
      <c r="AC168" s="1"/>
      <c r="AD168" s="2"/>
    </row>
    <row r="169" spans="1:30" s="24" customFormat="1" x14ac:dyDescent="0.25">
      <c r="A169" s="4"/>
      <c r="B169" s="4">
        <v>45408</v>
      </c>
      <c r="C169" s="6" t="s">
        <v>1683</v>
      </c>
      <c r="D169" s="26" t="s">
        <v>1873</v>
      </c>
      <c r="E169" s="168" t="s">
        <v>458</v>
      </c>
      <c r="F169" s="1" t="s">
        <v>459</v>
      </c>
      <c r="G169" s="8">
        <v>5</v>
      </c>
      <c r="H169" s="8">
        <v>5</v>
      </c>
      <c r="I169" s="115">
        <f>Table223[[#This Row],[Qty]]-Table223[[#This Row],[Issue Qty]]</f>
        <v>0</v>
      </c>
      <c r="J169" s="5">
        <f>17900/2</f>
        <v>8950</v>
      </c>
      <c r="K169" s="5">
        <f t="shared" si="6"/>
        <v>44750</v>
      </c>
      <c r="L169" s="11">
        <v>0.18</v>
      </c>
      <c r="M169" s="9">
        <f t="shared" si="7"/>
        <v>8055</v>
      </c>
      <c r="N169" s="5">
        <v>0</v>
      </c>
      <c r="O169" s="5"/>
      <c r="P169" s="5">
        <f t="shared" si="8"/>
        <v>52805</v>
      </c>
      <c r="Q169" s="1" t="s">
        <v>42</v>
      </c>
      <c r="R169" s="1" t="s">
        <v>1867</v>
      </c>
      <c r="S169" s="1" t="s">
        <v>444</v>
      </c>
      <c r="T169" s="1" t="s">
        <v>1868</v>
      </c>
      <c r="U169" s="1"/>
      <c r="V169" s="1"/>
      <c r="W169" s="21" t="s">
        <v>3353</v>
      </c>
      <c r="X169" s="21"/>
      <c r="Y169" s="8">
        <v>5</v>
      </c>
      <c r="Z169" s="22" t="s">
        <v>2895</v>
      </c>
      <c r="AA169" s="1"/>
      <c r="AB169" s="23"/>
      <c r="AC169" s="1"/>
      <c r="AD169" s="2"/>
    </row>
    <row r="170" spans="1:30" s="24" customFormat="1" x14ac:dyDescent="0.25">
      <c r="A170" s="4"/>
      <c r="B170" s="4">
        <v>45408</v>
      </c>
      <c r="C170" s="6" t="s">
        <v>1683</v>
      </c>
      <c r="D170" s="26" t="s">
        <v>1874</v>
      </c>
      <c r="E170" s="168" t="s">
        <v>461</v>
      </c>
      <c r="F170" s="1" t="s">
        <v>462</v>
      </c>
      <c r="G170" s="8">
        <v>2</v>
      </c>
      <c r="H170" s="8">
        <v>2</v>
      </c>
      <c r="I170" s="115">
        <f>Table223[[#This Row],[Qty]]-Table223[[#This Row],[Issue Qty]]</f>
        <v>0</v>
      </c>
      <c r="J170" s="5">
        <f>17900/2</f>
        <v>8950</v>
      </c>
      <c r="K170" s="5">
        <f t="shared" si="6"/>
        <v>17900</v>
      </c>
      <c r="L170" s="11">
        <v>0.18</v>
      </c>
      <c r="M170" s="9">
        <f t="shared" si="7"/>
        <v>3222</v>
      </c>
      <c r="N170" s="5">
        <v>0</v>
      </c>
      <c r="O170" s="5"/>
      <c r="P170" s="5">
        <f t="shared" si="8"/>
        <v>21122</v>
      </c>
      <c r="Q170" s="1" t="s">
        <v>42</v>
      </c>
      <c r="R170" s="1" t="s">
        <v>1867</v>
      </c>
      <c r="S170" s="1" t="s">
        <v>444</v>
      </c>
      <c r="T170" s="1" t="s">
        <v>1868</v>
      </c>
      <c r="U170" s="1"/>
      <c r="V170" s="1"/>
      <c r="W170" s="21" t="s">
        <v>3353</v>
      </c>
      <c r="X170" s="21"/>
      <c r="Y170" s="8">
        <v>2</v>
      </c>
      <c r="Z170" s="22" t="s">
        <v>2895</v>
      </c>
      <c r="AA170" s="1"/>
      <c r="AB170" s="23"/>
      <c r="AC170" s="1"/>
      <c r="AD170" s="2"/>
    </row>
    <row r="171" spans="1:30" s="24" customFormat="1" x14ac:dyDescent="0.25">
      <c r="A171" s="4"/>
      <c r="B171" s="4">
        <v>45408</v>
      </c>
      <c r="C171" s="6" t="s">
        <v>1683</v>
      </c>
      <c r="D171" s="1" t="s">
        <v>1875</v>
      </c>
      <c r="E171" s="1" t="s">
        <v>463</v>
      </c>
      <c r="F171" s="1" t="s">
        <v>463</v>
      </c>
      <c r="G171" s="8">
        <v>6</v>
      </c>
      <c r="H171" s="8"/>
      <c r="I171" s="115">
        <f>Table223[[#This Row],[Qty]]-Table223[[#This Row],[Issue Qty]]</f>
        <v>6</v>
      </c>
      <c r="J171" s="5">
        <v>16000</v>
      </c>
      <c r="K171" s="5">
        <f t="shared" si="6"/>
        <v>96000</v>
      </c>
      <c r="L171" s="11">
        <v>0.18</v>
      </c>
      <c r="M171" s="9">
        <f t="shared" si="7"/>
        <v>17280</v>
      </c>
      <c r="N171" s="5">
        <v>0</v>
      </c>
      <c r="O171" s="5"/>
      <c r="P171" s="5">
        <f t="shared" si="8"/>
        <v>113280</v>
      </c>
      <c r="Q171" s="1" t="s">
        <v>42</v>
      </c>
      <c r="R171" s="1" t="s">
        <v>1867</v>
      </c>
      <c r="S171" s="1" t="s">
        <v>444</v>
      </c>
      <c r="T171" s="1" t="s">
        <v>1868</v>
      </c>
      <c r="U171" s="1"/>
      <c r="V171" s="2"/>
      <c r="W171" s="8" t="s">
        <v>398</v>
      </c>
      <c r="X171" s="21"/>
      <c r="Y171" s="21"/>
      <c r="Z171" s="12"/>
      <c r="AA171" s="2"/>
      <c r="AB171" s="23"/>
      <c r="AC171" s="2"/>
      <c r="AD171" s="2"/>
    </row>
    <row r="172" spans="1:30" s="24" customFormat="1" x14ac:dyDescent="0.25">
      <c r="A172" s="4"/>
      <c r="B172" s="4">
        <v>45408</v>
      </c>
      <c r="C172" s="6" t="s">
        <v>54</v>
      </c>
      <c r="D172" s="6" t="s">
        <v>37</v>
      </c>
      <c r="E172" s="169" t="s">
        <v>464</v>
      </c>
      <c r="F172" s="1" t="s">
        <v>464</v>
      </c>
      <c r="G172" s="8">
        <v>8</v>
      </c>
      <c r="H172" s="8">
        <v>8</v>
      </c>
      <c r="I172" s="115">
        <f>Table223[[#This Row],[Qty]]-Table223[[#This Row],[Issue Qty]]</f>
        <v>0</v>
      </c>
      <c r="J172" s="5">
        <v>65</v>
      </c>
      <c r="K172" s="5">
        <f t="shared" si="6"/>
        <v>520</v>
      </c>
      <c r="L172" s="11">
        <v>0.05</v>
      </c>
      <c r="M172" s="9">
        <f t="shared" si="7"/>
        <v>26</v>
      </c>
      <c r="N172" s="5">
        <v>0</v>
      </c>
      <c r="O172" s="5"/>
      <c r="P172" s="5">
        <f t="shared" si="8"/>
        <v>546</v>
      </c>
      <c r="Q172" s="1" t="s">
        <v>42</v>
      </c>
      <c r="R172" s="1" t="s">
        <v>1867</v>
      </c>
      <c r="S172" s="1" t="s">
        <v>444</v>
      </c>
      <c r="T172" s="1" t="s">
        <v>1868</v>
      </c>
      <c r="U172" s="1"/>
      <c r="V172" s="2"/>
      <c r="W172" s="21" t="s">
        <v>465</v>
      </c>
      <c r="X172" s="21"/>
      <c r="Y172" s="21">
        <v>8</v>
      </c>
      <c r="Z172" s="12" t="s">
        <v>474</v>
      </c>
      <c r="AA172" s="2"/>
      <c r="AB172" s="23"/>
      <c r="AC172" s="2"/>
      <c r="AD172" s="2"/>
    </row>
    <row r="173" spans="1:30" s="24" customFormat="1" x14ac:dyDescent="0.25">
      <c r="A173" s="4"/>
      <c r="B173" s="4">
        <v>45408</v>
      </c>
      <c r="C173" s="6" t="s">
        <v>54</v>
      </c>
      <c r="D173" s="6" t="s">
        <v>37</v>
      </c>
      <c r="E173" s="169" t="s">
        <v>466</v>
      </c>
      <c r="F173" s="1" t="s">
        <v>466</v>
      </c>
      <c r="G173" s="8">
        <v>8</v>
      </c>
      <c r="H173" s="8">
        <v>8</v>
      </c>
      <c r="I173" s="115">
        <f>Table223[[#This Row],[Qty]]-Table223[[#This Row],[Issue Qty]]</f>
        <v>0</v>
      </c>
      <c r="J173" s="5">
        <v>84</v>
      </c>
      <c r="K173" s="5">
        <f t="shared" si="6"/>
        <v>672</v>
      </c>
      <c r="L173" s="11">
        <v>0.05</v>
      </c>
      <c r="M173" s="9">
        <f t="shared" si="7"/>
        <v>33.6</v>
      </c>
      <c r="N173" s="5">
        <v>0</v>
      </c>
      <c r="O173" s="5"/>
      <c r="P173" s="5">
        <f t="shared" si="8"/>
        <v>705.6</v>
      </c>
      <c r="Q173" s="1" t="s">
        <v>42</v>
      </c>
      <c r="R173" s="1" t="s">
        <v>1867</v>
      </c>
      <c r="S173" s="1" t="s">
        <v>444</v>
      </c>
      <c r="T173" s="1" t="s">
        <v>1868</v>
      </c>
      <c r="U173" s="1"/>
      <c r="V173" s="2"/>
      <c r="W173" s="21" t="s">
        <v>465</v>
      </c>
      <c r="X173" s="21"/>
      <c r="Y173" s="21">
        <v>8</v>
      </c>
      <c r="Z173" s="12" t="s">
        <v>474</v>
      </c>
      <c r="AA173" s="2"/>
      <c r="AB173" s="23"/>
      <c r="AC173" s="2"/>
      <c r="AD173" s="2"/>
    </row>
    <row r="174" spans="1:30" s="24" customFormat="1" x14ac:dyDescent="0.25">
      <c r="A174" s="4"/>
      <c r="B174" s="4">
        <v>45408</v>
      </c>
      <c r="C174" s="6" t="s">
        <v>54</v>
      </c>
      <c r="D174" s="6" t="s">
        <v>37</v>
      </c>
      <c r="E174" s="1" t="s">
        <v>467</v>
      </c>
      <c r="F174" s="1" t="s">
        <v>467</v>
      </c>
      <c r="G174" s="8">
        <v>1</v>
      </c>
      <c r="H174" s="8"/>
      <c r="I174" s="115">
        <f>Table223[[#This Row],[Qty]]-Table223[[#This Row],[Issue Qty]]</f>
        <v>1</v>
      </c>
      <c r="J174" s="5">
        <v>6860</v>
      </c>
      <c r="K174" s="5">
        <f t="shared" si="6"/>
        <v>6860</v>
      </c>
      <c r="L174" s="11">
        <v>0.05</v>
      </c>
      <c r="M174" s="9">
        <f t="shared" si="7"/>
        <v>343</v>
      </c>
      <c r="N174" s="5">
        <v>0</v>
      </c>
      <c r="O174" s="5"/>
      <c r="P174" s="5">
        <f t="shared" si="8"/>
        <v>7203</v>
      </c>
      <c r="Q174" s="1" t="s">
        <v>42</v>
      </c>
      <c r="R174" s="1" t="s">
        <v>1867</v>
      </c>
      <c r="S174" s="1" t="s">
        <v>444</v>
      </c>
      <c r="T174" s="1" t="s">
        <v>1868</v>
      </c>
      <c r="U174" s="1"/>
      <c r="V174" s="2"/>
      <c r="W174" s="8"/>
      <c r="X174" s="21"/>
      <c r="Y174" s="21"/>
      <c r="Z174" s="12"/>
      <c r="AA174" s="2"/>
      <c r="AB174" s="23"/>
      <c r="AC174" s="2"/>
      <c r="AD174" s="2"/>
    </row>
    <row r="175" spans="1:30" s="24" customFormat="1" x14ac:dyDescent="0.25">
      <c r="A175" s="4"/>
      <c r="B175" s="4">
        <v>45408</v>
      </c>
      <c r="C175" s="6" t="s">
        <v>54</v>
      </c>
      <c r="D175" s="6" t="s">
        <v>37</v>
      </c>
      <c r="E175" s="169" t="s">
        <v>468</v>
      </c>
      <c r="F175" s="1" t="s">
        <v>468</v>
      </c>
      <c r="G175" s="8">
        <v>8</v>
      </c>
      <c r="H175" s="8">
        <v>8</v>
      </c>
      <c r="I175" s="115">
        <f>Table223[[#This Row],[Qty]]-Table223[[#This Row],[Issue Qty]]</f>
        <v>0</v>
      </c>
      <c r="J175" s="5">
        <v>84</v>
      </c>
      <c r="K175" s="5">
        <f t="shared" si="6"/>
        <v>672</v>
      </c>
      <c r="L175" s="11">
        <v>0.05</v>
      </c>
      <c r="M175" s="9">
        <f t="shared" si="7"/>
        <v>33.6</v>
      </c>
      <c r="N175" s="5">
        <v>0</v>
      </c>
      <c r="O175" s="5"/>
      <c r="P175" s="5">
        <f t="shared" si="8"/>
        <v>705.6</v>
      </c>
      <c r="Q175" s="1" t="s">
        <v>42</v>
      </c>
      <c r="R175" s="1" t="s">
        <v>1867</v>
      </c>
      <c r="S175" s="1" t="s">
        <v>444</v>
      </c>
      <c r="T175" s="1" t="s">
        <v>1868</v>
      </c>
      <c r="U175" s="1"/>
      <c r="V175" s="2"/>
      <c r="W175" s="21" t="s">
        <v>465</v>
      </c>
      <c r="X175" s="21"/>
      <c r="Y175" s="21"/>
      <c r="Z175" s="12"/>
      <c r="AA175" s="2"/>
      <c r="AB175" s="23"/>
      <c r="AC175" s="2"/>
      <c r="AD175" s="2"/>
    </row>
    <row r="176" spans="1:30" s="24" customFormat="1" x14ac:dyDescent="0.25">
      <c r="A176" s="4"/>
      <c r="B176" s="4">
        <v>45408</v>
      </c>
      <c r="C176" s="6" t="s">
        <v>54</v>
      </c>
      <c r="D176" s="26" t="s">
        <v>1876</v>
      </c>
      <c r="E176" s="26" t="s">
        <v>469</v>
      </c>
      <c r="F176" s="1" t="s">
        <v>470</v>
      </c>
      <c r="G176" s="8">
        <v>2</v>
      </c>
      <c r="H176" s="8">
        <f>1+1</f>
        <v>2</v>
      </c>
      <c r="I176" s="115">
        <f>Table223[[#This Row],[Qty]]-Table223[[#This Row],[Issue Qty]]</f>
        <v>0</v>
      </c>
      <c r="J176" s="5">
        <v>10600</v>
      </c>
      <c r="K176" s="5">
        <f t="shared" si="6"/>
        <v>21200</v>
      </c>
      <c r="L176" s="11">
        <v>0.05</v>
      </c>
      <c r="M176" s="9">
        <f t="shared" si="7"/>
        <v>1060</v>
      </c>
      <c r="N176" s="5">
        <v>0</v>
      </c>
      <c r="O176" s="5"/>
      <c r="P176" s="5">
        <f t="shared" si="8"/>
        <v>22260</v>
      </c>
      <c r="Q176" s="1" t="s">
        <v>42</v>
      </c>
      <c r="R176" s="1" t="s">
        <v>1867</v>
      </c>
      <c r="S176" s="1" t="s">
        <v>444</v>
      </c>
      <c r="T176" s="1" t="s">
        <v>1868</v>
      </c>
      <c r="U176" s="1"/>
      <c r="V176" s="1"/>
      <c r="W176" s="21" t="s">
        <v>44</v>
      </c>
      <c r="X176" s="21"/>
      <c r="Y176" s="8">
        <v>1</v>
      </c>
      <c r="Z176" s="22" t="s">
        <v>2918</v>
      </c>
      <c r="AA176" s="1"/>
      <c r="AB176" s="23"/>
      <c r="AC176" s="1"/>
      <c r="AD176" s="2"/>
    </row>
    <row r="177" spans="1:30" s="24" customFormat="1" x14ac:dyDescent="0.25">
      <c r="A177" s="4"/>
      <c r="B177" s="4">
        <v>45412</v>
      </c>
      <c r="C177" s="6" t="s">
        <v>54</v>
      </c>
      <c r="D177" s="6" t="s">
        <v>37</v>
      </c>
      <c r="E177" s="1" t="s">
        <v>471</v>
      </c>
      <c r="F177" s="1" t="s">
        <v>471</v>
      </c>
      <c r="G177" s="8">
        <v>2</v>
      </c>
      <c r="H177" s="8"/>
      <c r="I177" s="115">
        <f>Table223[[#This Row],[Qty]]-Table223[[#This Row],[Issue Qty]]</f>
        <v>2</v>
      </c>
      <c r="J177" s="5">
        <v>360</v>
      </c>
      <c r="K177" s="5">
        <f t="shared" si="6"/>
        <v>720</v>
      </c>
      <c r="L177" s="11">
        <v>0.05</v>
      </c>
      <c r="M177" s="9">
        <f t="shared" si="7"/>
        <v>36</v>
      </c>
      <c r="N177" s="5">
        <v>0</v>
      </c>
      <c r="O177" s="5"/>
      <c r="P177" s="5">
        <f t="shared" si="8"/>
        <v>756</v>
      </c>
      <c r="Q177" s="1" t="s">
        <v>42</v>
      </c>
      <c r="R177" s="1" t="s">
        <v>1867</v>
      </c>
      <c r="S177" s="1" t="s">
        <v>444</v>
      </c>
      <c r="T177" s="1" t="s">
        <v>1877</v>
      </c>
      <c r="U177" s="1"/>
      <c r="V177" s="2"/>
      <c r="W177" s="21" t="s">
        <v>465</v>
      </c>
      <c r="X177" s="21"/>
      <c r="Y177" s="21"/>
      <c r="Z177" s="12"/>
      <c r="AA177" s="2"/>
      <c r="AB177" s="23"/>
      <c r="AC177" s="2"/>
      <c r="AD177" s="2"/>
    </row>
    <row r="178" spans="1:30" s="24" customFormat="1" x14ac:dyDescent="0.25">
      <c r="A178" s="4"/>
      <c r="B178" s="4">
        <v>45416</v>
      </c>
      <c r="C178" s="6" t="s">
        <v>1683</v>
      </c>
      <c r="D178" s="6" t="s">
        <v>37</v>
      </c>
      <c r="E178" s="3" t="s">
        <v>472</v>
      </c>
      <c r="F178" s="3" t="s">
        <v>472</v>
      </c>
      <c r="G178" s="8">
        <v>2</v>
      </c>
      <c r="H178" s="8"/>
      <c r="I178" s="115">
        <f>Table223[[#This Row],[Qty]]-Table223[[#This Row],[Issue Qty]]</f>
        <v>2</v>
      </c>
      <c r="J178" s="5">
        <v>217</v>
      </c>
      <c r="K178" s="5">
        <f t="shared" si="6"/>
        <v>434</v>
      </c>
      <c r="L178" s="11">
        <v>0</v>
      </c>
      <c r="M178" s="9">
        <f t="shared" si="7"/>
        <v>0</v>
      </c>
      <c r="N178" s="5">
        <v>100</v>
      </c>
      <c r="O178" s="5"/>
      <c r="P178" s="5">
        <f t="shared" si="8"/>
        <v>534</v>
      </c>
      <c r="Q178" s="1" t="s">
        <v>473</v>
      </c>
      <c r="R178" s="1" t="s">
        <v>1742</v>
      </c>
      <c r="S178" s="1" t="s">
        <v>394</v>
      </c>
      <c r="T178" s="1"/>
      <c r="U178" s="1"/>
      <c r="V178" s="2"/>
      <c r="W178" s="21"/>
      <c r="X178" s="21"/>
      <c r="Y178" s="21">
        <v>1</v>
      </c>
      <c r="Z178" s="12" t="s">
        <v>474</v>
      </c>
      <c r="AA178" s="2"/>
      <c r="AB178" s="23"/>
      <c r="AC178" s="2"/>
      <c r="AD178" s="2"/>
    </row>
    <row r="179" spans="1:30" s="24" customFormat="1" x14ac:dyDescent="0.25">
      <c r="A179" s="4"/>
      <c r="B179" s="4">
        <v>45418</v>
      </c>
      <c r="C179" s="6" t="s">
        <v>1693</v>
      </c>
      <c r="D179" s="6" t="s">
        <v>1760</v>
      </c>
      <c r="E179" s="6" t="s">
        <v>214</v>
      </c>
      <c r="F179" s="1" t="s">
        <v>475</v>
      </c>
      <c r="G179" s="8">
        <v>1</v>
      </c>
      <c r="H179" s="8"/>
      <c r="I179" s="115">
        <f>Table223[[#This Row],[Qty]]-Table223[[#This Row],[Issue Qty]]</f>
        <v>1</v>
      </c>
      <c r="J179" s="5">
        <v>22415.25</v>
      </c>
      <c r="K179" s="5">
        <f t="shared" si="6"/>
        <v>22415.25</v>
      </c>
      <c r="L179" s="11">
        <v>0.18</v>
      </c>
      <c r="M179" s="9">
        <f t="shared" si="7"/>
        <v>4034.7449999999999</v>
      </c>
      <c r="N179" s="5">
        <v>20.84</v>
      </c>
      <c r="O179" s="5"/>
      <c r="P179" s="5">
        <f t="shared" si="8"/>
        <v>26470.834999999999</v>
      </c>
      <c r="Q179" s="1" t="s">
        <v>42</v>
      </c>
      <c r="R179" s="1" t="s">
        <v>1878</v>
      </c>
      <c r="S179" s="1" t="s">
        <v>243</v>
      </c>
      <c r="T179" s="1" t="s">
        <v>1879</v>
      </c>
      <c r="U179" s="1"/>
      <c r="V179" s="1"/>
      <c r="W179" s="8" t="s">
        <v>89</v>
      </c>
      <c r="X179" s="8" t="s">
        <v>217</v>
      </c>
      <c r="Y179" s="8"/>
      <c r="Z179" s="22"/>
      <c r="AA179" s="1"/>
      <c r="AB179" s="23" t="s">
        <v>476</v>
      </c>
      <c r="AC179" s="1"/>
      <c r="AD179" s="2"/>
    </row>
    <row r="180" spans="1:30" s="24" customFormat="1" x14ac:dyDescent="0.25">
      <c r="A180" s="4"/>
      <c r="B180" s="4">
        <v>45443</v>
      </c>
      <c r="C180" s="6" t="s">
        <v>1693</v>
      </c>
      <c r="D180" s="6" t="s">
        <v>1880</v>
      </c>
      <c r="E180" s="6" t="s">
        <v>477</v>
      </c>
      <c r="F180" s="1" t="s">
        <v>477</v>
      </c>
      <c r="G180" s="8">
        <v>1</v>
      </c>
      <c r="H180" s="8"/>
      <c r="I180" s="115">
        <f>Table223[[#This Row],[Qty]]-Table223[[#This Row],[Issue Qty]]</f>
        <v>1</v>
      </c>
      <c r="J180" s="5">
        <v>38000</v>
      </c>
      <c r="K180" s="5">
        <f t="shared" si="6"/>
        <v>38000</v>
      </c>
      <c r="L180" s="11">
        <v>0.18</v>
      </c>
      <c r="M180" s="9">
        <f t="shared" si="7"/>
        <v>6840</v>
      </c>
      <c r="N180" s="5">
        <v>0</v>
      </c>
      <c r="O180" s="5"/>
      <c r="P180" s="5">
        <f t="shared" si="8"/>
        <v>44840</v>
      </c>
      <c r="Q180" s="1" t="s">
        <v>42</v>
      </c>
      <c r="R180" s="1" t="s">
        <v>1878</v>
      </c>
      <c r="S180" s="1" t="s">
        <v>478</v>
      </c>
      <c r="T180" s="1" t="s">
        <v>1881</v>
      </c>
      <c r="U180" s="1"/>
      <c r="V180" s="1"/>
      <c r="W180" s="8" t="s">
        <v>388</v>
      </c>
      <c r="X180" s="8" t="s">
        <v>479</v>
      </c>
      <c r="Y180" s="8"/>
      <c r="Z180" s="22"/>
      <c r="AA180" s="1"/>
      <c r="AB180" s="23"/>
      <c r="AC180" s="1"/>
      <c r="AD180" s="2"/>
    </row>
    <row r="181" spans="1:30" s="24" customFormat="1" x14ac:dyDescent="0.25">
      <c r="A181" s="4"/>
      <c r="B181" s="4">
        <v>45447</v>
      </c>
      <c r="C181" s="6" t="s">
        <v>54</v>
      </c>
      <c r="D181" s="6" t="s">
        <v>1882</v>
      </c>
      <c r="E181" s="170" t="s">
        <v>480</v>
      </c>
      <c r="F181" s="1" t="s">
        <v>467</v>
      </c>
      <c r="G181" s="8">
        <v>1</v>
      </c>
      <c r="H181" s="8">
        <v>1</v>
      </c>
      <c r="I181" s="115">
        <f>Table223[[#This Row],[Qty]]-Table223[[#This Row],[Issue Qty]]</f>
        <v>0</v>
      </c>
      <c r="J181" s="5">
        <v>6860</v>
      </c>
      <c r="K181" s="5">
        <f t="shared" si="6"/>
        <v>6860</v>
      </c>
      <c r="L181" s="11">
        <v>0.05</v>
      </c>
      <c r="M181" s="9">
        <f t="shared" si="7"/>
        <v>343</v>
      </c>
      <c r="N181" s="5">
        <v>0</v>
      </c>
      <c r="O181" s="5"/>
      <c r="P181" s="5">
        <f t="shared" si="8"/>
        <v>7203</v>
      </c>
      <c r="Q181" s="1" t="s">
        <v>42</v>
      </c>
      <c r="R181" s="1" t="s">
        <v>1878</v>
      </c>
      <c r="S181" s="1" t="s">
        <v>444</v>
      </c>
      <c r="T181" s="1" t="s">
        <v>1883</v>
      </c>
      <c r="U181" s="1"/>
      <c r="V181" s="2"/>
      <c r="W181" s="21" t="s">
        <v>3185</v>
      </c>
      <c r="X181" s="21"/>
      <c r="Y181" s="21">
        <v>1</v>
      </c>
      <c r="Z181" s="12" t="s">
        <v>481</v>
      </c>
      <c r="AA181" s="2"/>
      <c r="AB181" s="23"/>
      <c r="AC181" s="2"/>
      <c r="AD181" s="2"/>
    </row>
    <row r="182" spans="1:30" s="24" customFormat="1" ht="30" x14ac:dyDescent="0.25">
      <c r="A182" s="4"/>
      <c r="B182" s="4">
        <v>45448</v>
      </c>
      <c r="C182" s="6" t="s">
        <v>1693</v>
      </c>
      <c r="D182" s="26" t="s">
        <v>1884</v>
      </c>
      <c r="E182" s="26" t="s">
        <v>482</v>
      </c>
      <c r="F182" s="1" t="s">
        <v>483</v>
      </c>
      <c r="G182" s="8">
        <v>1</v>
      </c>
      <c r="H182" s="8"/>
      <c r="I182" s="115">
        <f>Table223[[#This Row],[Qty]]-Table223[[#This Row],[Issue Qty]]</f>
        <v>1</v>
      </c>
      <c r="J182" s="5">
        <v>1100.8499999999999</v>
      </c>
      <c r="K182" s="5">
        <f t="shared" si="6"/>
        <v>1100.8499999999999</v>
      </c>
      <c r="L182" s="11">
        <v>0.18</v>
      </c>
      <c r="M182" s="9">
        <f t="shared" si="7"/>
        <v>198.15299999999996</v>
      </c>
      <c r="N182" s="5">
        <v>0</v>
      </c>
      <c r="O182" s="5"/>
      <c r="P182" s="5">
        <f t="shared" si="8"/>
        <v>1299.0029999999999</v>
      </c>
      <c r="Q182" s="1" t="s">
        <v>42</v>
      </c>
      <c r="R182" s="1" t="s">
        <v>1878</v>
      </c>
      <c r="S182" s="1" t="s">
        <v>243</v>
      </c>
      <c r="T182" s="1" t="s">
        <v>1885</v>
      </c>
      <c r="U182" s="1"/>
      <c r="V182" s="1"/>
      <c r="W182" s="21" t="s">
        <v>72</v>
      </c>
      <c r="X182" s="21" t="s">
        <v>406</v>
      </c>
      <c r="Y182" s="8"/>
      <c r="Z182" s="22"/>
      <c r="AA182" s="1"/>
      <c r="AB182" s="23"/>
      <c r="AC182" s="1"/>
      <c r="AD182" s="2"/>
    </row>
    <row r="183" spans="1:30" s="24" customFormat="1" x14ac:dyDescent="0.25">
      <c r="A183" s="4"/>
      <c r="B183" s="4">
        <v>45467</v>
      </c>
      <c r="C183" s="6" t="s">
        <v>54</v>
      </c>
      <c r="D183" s="26" t="s">
        <v>37</v>
      </c>
      <c r="E183" s="26" t="s">
        <v>484</v>
      </c>
      <c r="F183" s="1" t="s">
        <v>485</v>
      </c>
      <c r="G183" s="8">
        <v>4</v>
      </c>
      <c r="H183" s="8"/>
      <c r="I183" s="115">
        <f>Table223[[#This Row],[Qty]]-Table223[[#This Row],[Issue Qty]]</f>
        <v>4</v>
      </c>
      <c r="J183" s="5">
        <v>57.372500000000002</v>
      </c>
      <c r="K183" s="5">
        <f t="shared" si="6"/>
        <v>229.49</v>
      </c>
      <c r="L183" s="11">
        <v>0.18</v>
      </c>
      <c r="M183" s="9">
        <f t="shared" si="7"/>
        <v>41.308199999999999</v>
      </c>
      <c r="N183" s="5">
        <v>31.36</v>
      </c>
      <c r="O183" s="5"/>
      <c r="P183" s="5">
        <f t="shared" si="8"/>
        <v>302.15820000000002</v>
      </c>
      <c r="Q183" s="1" t="s">
        <v>486</v>
      </c>
      <c r="R183" s="1" t="s">
        <v>1878</v>
      </c>
      <c r="S183" s="1" t="s">
        <v>243</v>
      </c>
      <c r="T183" s="1" t="s">
        <v>1886</v>
      </c>
      <c r="U183" s="1"/>
      <c r="V183" s="1"/>
      <c r="W183" s="21" t="s">
        <v>78</v>
      </c>
      <c r="X183" s="21" t="s">
        <v>487</v>
      </c>
      <c r="Y183" s="8"/>
      <c r="Z183" s="22"/>
      <c r="AA183" s="1"/>
      <c r="AB183" s="23" t="s">
        <v>488</v>
      </c>
      <c r="AC183" s="1"/>
      <c r="AD183" s="2"/>
    </row>
    <row r="184" spans="1:30" s="24" customFormat="1" x14ac:dyDescent="0.25">
      <c r="A184" s="4"/>
      <c r="B184" s="4">
        <v>45467</v>
      </c>
      <c r="C184" s="6" t="s">
        <v>1683</v>
      </c>
      <c r="D184" s="26" t="s">
        <v>37</v>
      </c>
      <c r="E184" s="26" t="s">
        <v>484</v>
      </c>
      <c r="F184" s="1" t="s">
        <v>489</v>
      </c>
      <c r="G184" s="8">
        <v>2</v>
      </c>
      <c r="H184" s="8"/>
      <c r="I184" s="115">
        <f>Table223[[#This Row],[Qty]]-Table223[[#This Row],[Issue Qty]]</f>
        <v>2</v>
      </c>
      <c r="J184" s="5">
        <v>111.10250000000001</v>
      </c>
      <c r="K184" s="5">
        <f t="shared" si="6"/>
        <v>222.20500000000001</v>
      </c>
      <c r="L184" s="11">
        <v>0.18</v>
      </c>
      <c r="M184" s="9">
        <f t="shared" si="7"/>
        <v>39.996900000000004</v>
      </c>
      <c r="N184" s="5">
        <v>113</v>
      </c>
      <c r="O184" s="5"/>
      <c r="P184" s="5">
        <f t="shared" si="8"/>
        <v>375.20190000000002</v>
      </c>
      <c r="Q184" s="1" t="s">
        <v>42</v>
      </c>
      <c r="R184" s="1" t="s">
        <v>1878</v>
      </c>
      <c r="S184" s="1" t="s">
        <v>243</v>
      </c>
      <c r="T184" s="1" t="s">
        <v>1887</v>
      </c>
      <c r="U184" s="1"/>
      <c r="V184" s="1"/>
      <c r="W184" s="21" t="s">
        <v>78</v>
      </c>
      <c r="X184" s="21" t="s">
        <v>487</v>
      </c>
      <c r="Y184" s="8"/>
      <c r="Z184" s="22"/>
      <c r="AA184" s="1"/>
      <c r="AB184" s="23" t="s">
        <v>488</v>
      </c>
      <c r="AC184" s="1"/>
      <c r="AD184" s="2"/>
    </row>
    <row r="185" spans="1:30" s="24" customFormat="1" x14ac:dyDescent="0.25">
      <c r="A185" s="4"/>
      <c r="B185" s="4">
        <v>45467</v>
      </c>
      <c r="C185" s="6" t="s">
        <v>54</v>
      </c>
      <c r="D185" s="26" t="s">
        <v>37</v>
      </c>
      <c r="E185" s="26" t="s">
        <v>490</v>
      </c>
      <c r="F185" s="1" t="s">
        <v>491</v>
      </c>
      <c r="G185" s="8">
        <v>4</v>
      </c>
      <c r="H185" s="8"/>
      <c r="I185" s="115">
        <f>Table223[[#This Row],[Qty]]-Table223[[#This Row],[Issue Qty]]</f>
        <v>4</v>
      </c>
      <c r="J185" s="5">
        <v>57.372500000000002</v>
      </c>
      <c r="K185" s="5">
        <f t="shared" si="6"/>
        <v>229.49</v>
      </c>
      <c r="L185" s="11">
        <v>0.18</v>
      </c>
      <c r="M185" s="9">
        <f t="shared" si="7"/>
        <v>41.308199999999999</v>
      </c>
      <c r="N185" s="5">
        <v>31.36</v>
      </c>
      <c r="O185" s="5"/>
      <c r="P185" s="5">
        <f t="shared" si="8"/>
        <v>302.15820000000002</v>
      </c>
      <c r="Q185" s="1" t="s">
        <v>486</v>
      </c>
      <c r="R185" s="1" t="s">
        <v>1878</v>
      </c>
      <c r="S185" s="1" t="s">
        <v>243</v>
      </c>
      <c r="T185" s="1" t="s">
        <v>1886</v>
      </c>
      <c r="U185" s="1"/>
      <c r="V185" s="1"/>
      <c r="W185" s="21" t="s">
        <v>78</v>
      </c>
      <c r="X185" s="21"/>
      <c r="Y185" s="8"/>
      <c r="Z185" s="22"/>
      <c r="AA185" s="1"/>
      <c r="AB185" s="23" t="s">
        <v>492</v>
      </c>
      <c r="AC185" s="1"/>
      <c r="AD185" s="2"/>
    </row>
    <row r="186" spans="1:30" s="24" customFormat="1" x14ac:dyDescent="0.25">
      <c r="A186" s="4"/>
      <c r="B186" s="4">
        <v>45467</v>
      </c>
      <c r="C186" s="6" t="s">
        <v>1693</v>
      </c>
      <c r="D186" s="6" t="s">
        <v>1872</v>
      </c>
      <c r="E186" s="6" t="s">
        <v>455</v>
      </c>
      <c r="F186" s="1" t="s">
        <v>493</v>
      </c>
      <c r="G186" s="8">
        <v>1</v>
      </c>
      <c r="H186" s="8">
        <v>1</v>
      </c>
      <c r="I186" s="115">
        <f>Table223[[#This Row],[Qty]]-Table223[[#This Row],[Issue Qty]]</f>
        <v>0</v>
      </c>
      <c r="J186" s="5">
        <v>3000</v>
      </c>
      <c r="K186" s="5">
        <f t="shared" si="6"/>
        <v>3000</v>
      </c>
      <c r="L186" s="11">
        <v>0.05</v>
      </c>
      <c r="M186" s="9">
        <f t="shared" si="7"/>
        <v>150</v>
      </c>
      <c r="N186" s="5">
        <v>0</v>
      </c>
      <c r="O186" s="5"/>
      <c r="P186" s="5">
        <f t="shared" si="8"/>
        <v>3150</v>
      </c>
      <c r="Q186" s="1" t="s">
        <v>486</v>
      </c>
      <c r="R186" s="1" t="s">
        <v>1878</v>
      </c>
      <c r="S186" s="1" t="s">
        <v>444</v>
      </c>
      <c r="T186" s="1" t="s">
        <v>1888</v>
      </c>
      <c r="U186" s="1"/>
      <c r="V186" s="2"/>
      <c r="W186" s="21" t="s">
        <v>78</v>
      </c>
      <c r="X186" s="21" t="s">
        <v>457</v>
      </c>
      <c r="Y186" s="21">
        <v>1</v>
      </c>
      <c r="Z186" s="12" t="s">
        <v>1720</v>
      </c>
      <c r="AA186" s="2"/>
      <c r="AB186" s="23"/>
      <c r="AC186" s="2"/>
      <c r="AD186" s="2"/>
    </row>
    <row r="187" spans="1:30" ht="30" x14ac:dyDescent="0.25">
      <c r="A187" s="4"/>
      <c r="B187" s="4">
        <v>45467</v>
      </c>
      <c r="C187" s="6" t="s">
        <v>1683</v>
      </c>
      <c r="D187" s="6" t="s">
        <v>1889</v>
      </c>
      <c r="E187" s="170" t="s">
        <v>494</v>
      </c>
      <c r="F187" s="1" t="s">
        <v>495</v>
      </c>
      <c r="G187" s="8">
        <v>3</v>
      </c>
      <c r="H187" s="8">
        <f>1+2</f>
        <v>3</v>
      </c>
      <c r="I187" s="115">
        <f>Table223[[#This Row],[Qty]]-Table223[[#This Row],[Issue Qty]]</f>
        <v>0</v>
      </c>
      <c r="J187" s="5">
        <v>81.542000000000002</v>
      </c>
      <c r="K187" s="5">
        <f t="shared" si="6"/>
        <v>244.626</v>
      </c>
      <c r="L187" s="11">
        <v>0.18</v>
      </c>
      <c r="M187" s="9">
        <f t="shared" si="7"/>
        <v>44.032679999999999</v>
      </c>
      <c r="N187" s="5">
        <v>31.36</v>
      </c>
      <c r="O187" s="5"/>
      <c r="P187" s="5">
        <f t="shared" si="8"/>
        <v>320.01868000000002</v>
      </c>
      <c r="Q187" s="1" t="s">
        <v>486</v>
      </c>
      <c r="R187" s="1" t="s">
        <v>1878</v>
      </c>
      <c r="S187" s="1" t="s">
        <v>243</v>
      </c>
      <c r="T187" s="1" t="s">
        <v>1886</v>
      </c>
      <c r="U187" s="1"/>
      <c r="V187" s="2"/>
      <c r="W187" s="21" t="s">
        <v>107</v>
      </c>
      <c r="X187" s="21" t="s">
        <v>496</v>
      </c>
      <c r="Y187" s="21">
        <v>1</v>
      </c>
      <c r="Z187" s="12" t="s">
        <v>2910</v>
      </c>
      <c r="AA187" s="2"/>
      <c r="AB187" s="23" t="s">
        <v>497</v>
      </c>
      <c r="AC187" s="2"/>
      <c r="AD187" s="27"/>
    </row>
    <row r="188" spans="1:30" s="24" customFormat="1" x14ac:dyDescent="0.25">
      <c r="A188" s="4"/>
      <c r="B188" s="4">
        <v>45469</v>
      </c>
      <c r="C188" s="6" t="s">
        <v>1693</v>
      </c>
      <c r="D188" s="6" t="s">
        <v>1890</v>
      </c>
      <c r="E188" s="170" t="s">
        <v>498</v>
      </c>
      <c r="F188" s="1" t="s">
        <v>499</v>
      </c>
      <c r="G188" s="8">
        <v>1</v>
      </c>
      <c r="H188" s="8">
        <v>1</v>
      </c>
      <c r="I188" s="115">
        <f>Table223[[#This Row],[Qty]]-Table223[[#This Row],[Issue Qty]]</f>
        <v>0</v>
      </c>
      <c r="J188" s="5">
        <v>18750</v>
      </c>
      <c r="K188" s="5">
        <f t="shared" si="6"/>
        <v>18750</v>
      </c>
      <c r="L188" s="11">
        <v>0.05</v>
      </c>
      <c r="M188" s="9">
        <f t="shared" si="7"/>
        <v>937.5</v>
      </c>
      <c r="N188" s="5">
        <v>0</v>
      </c>
      <c r="O188" s="5"/>
      <c r="P188" s="5">
        <f t="shared" si="8"/>
        <v>19687.5</v>
      </c>
      <c r="Q188" s="1" t="s">
        <v>486</v>
      </c>
      <c r="R188" s="1" t="s">
        <v>1878</v>
      </c>
      <c r="S188" s="1" t="s">
        <v>290</v>
      </c>
      <c r="T188" s="1" t="s">
        <v>1891</v>
      </c>
      <c r="U188" s="1"/>
      <c r="V188" s="2"/>
      <c r="W188" s="21" t="s">
        <v>52</v>
      </c>
      <c r="X188" s="21"/>
      <c r="Y188" s="21">
        <v>1</v>
      </c>
      <c r="Z188" s="12" t="s">
        <v>500</v>
      </c>
      <c r="AA188" s="2"/>
      <c r="AB188" s="23"/>
      <c r="AC188" s="2"/>
      <c r="AD188" s="2"/>
    </row>
    <row r="189" spans="1:30" s="24" customFormat="1" x14ac:dyDescent="0.25">
      <c r="A189" s="4"/>
      <c r="B189" s="4">
        <v>45469</v>
      </c>
      <c r="C189" s="6" t="s">
        <v>1693</v>
      </c>
      <c r="D189" s="6" t="s">
        <v>1892</v>
      </c>
      <c r="E189" s="170" t="s">
        <v>501</v>
      </c>
      <c r="F189" s="1" t="s">
        <v>502</v>
      </c>
      <c r="G189" s="8">
        <v>1</v>
      </c>
      <c r="H189" s="8">
        <v>1</v>
      </c>
      <c r="I189" s="115">
        <f>Table223[[#This Row],[Qty]]-Table223[[#This Row],[Issue Qty]]</f>
        <v>0</v>
      </c>
      <c r="J189" s="5">
        <v>29000</v>
      </c>
      <c r="K189" s="5">
        <f t="shared" si="6"/>
        <v>29000</v>
      </c>
      <c r="L189" s="11">
        <v>0.05</v>
      </c>
      <c r="M189" s="9">
        <f t="shared" si="7"/>
        <v>1450</v>
      </c>
      <c r="N189" s="5">
        <v>0</v>
      </c>
      <c r="O189" s="5"/>
      <c r="P189" s="5">
        <f t="shared" si="8"/>
        <v>30450</v>
      </c>
      <c r="Q189" s="1" t="s">
        <v>486</v>
      </c>
      <c r="R189" s="1" t="s">
        <v>1878</v>
      </c>
      <c r="S189" s="1" t="s">
        <v>290</v>
      </c>
      <c r="T189" s="1" t="s">
        <v>1891</v>
      </c>
      <c r="U189" s="1"/>
      <c r="V189" s="2"/>
      <c r="W189" s="21" t="s">
        <v>244</v>
      </c>
      <c r="X189" s="21"/>
      <c r="Y189" s="21">
        <v>1</v>
      </c>
      <c r="Z189" s="12" t="s">
        <v>503</v>
      </c>
      <c r="AA189" s="2"/>
      <c r="AB189" s="23"/>
      <c r="AC189" s="2"/>
      <c r="AD189" s="2"/>
    </row>
    <row r="190" spans="1:30" s="24" customFormat="1" x14ac:dyDescent="0.25">
      <c r="A190" s="4"/>
      <c r="B190" s="4">
        <v>45483</v>
      </c>
      <c r="C190" s="6" t="s">
        <v>54</v>
      </c>
      <c r="D190" s="6" t="s">
        <v>37</v>
      </c>
      <c r="E190" s="1" t="s">
        <v>504</v>
      </c>
      <c r="F190" s="1" t="s">
        <v>504</v>
      </c>
      <c r="G190" s="8">
        <v>1</v>
      </c>
      <c r="H190" s="8"/>
      <c r="I190" s="115">
        <f>Table223[[#This Row],[Qty]]-Table223[[#This Row],[Issue Qty]]</f>
        <v>1</v>
      </c>
      <c r="J190" s="5">
        <v>17650</v>
      </c>
      <c r="K190" s="5">
        <f t="shared" si="6"/>
        <v>17650</v>
      </c>
      <c r="L190" s="11">
        <v>0.18</v>
      </c>
      <c r="M190" s="9">
        <f t="shared" si="7"/>
        <v>3177</v>
      </c>
      <c r="N190" s="5">
        <f>767/3</f>
        <v>255.66666666666666</v>
      </c>
      <c r="O190" s="5"/>
      <c r="P190" s="5">
        <f t="shared" si="8"/>
        <v>21082.666666666668</v>
      </c>
      <c r="Q190" s="1" t="s">
        <v>260</v>
      </c>
      <c r="R190" s="1" t="s">
        <v>260</v>
      </c>
      <c r="S190" s="1" t="s">
        <v>440</v>
      </c>
      <c r="T190" s="1" t="s">
        <v>1893</v>
      </c>
      <c r="U190" s="1"/>
      <c r="V190" s="2"/>
      <c r="W190" s="21" t="s">
        <v>505</v>
      </c>
      <c r="X190" s="21" t="s">
        <v>506</v>
      </c>
      <c r="Y190" s="21"/>
      <c r="Z190" s="12"/>
      <c r="AA190" s="2"/>
      <c r="AB190" s="23"/>
      <c r="AC190" s="2"/>
      <c r="AD190" s="2"/>
    </row>
    <row r="191" spans="1:30" x14ac:dyDescent="0.25">
      <c r="A191" s="4"/>
      <c r="B191" s="4">
        <v>45496</v>
      </c>
      <c r="C191" s="6" t="s">
        <v>54</v>
      </c>
      <c r="D191" s="6" t="s">
        <v>37</v>
      </c>
      <c r="E191" s="1" t="s">
        <v>507</v>
      </c>
      <c r="F191" s="1" t="s">
        <v>507</v>
      </c>
      <c r="G191" s="8">
        <v>1</v>
      </c>
      <c r="H191" s="8"/>
      <c r="I191" s="115">
        <f>Table223[[#This Row],[Qty]]-Table223[[#This Row],[Issue Qty]]</f>
        <v>1</v>
      </c>
      <c r="J191" s="5">
        <v>42855</v>
      </c>
      <c r="K191" s="5">
        <f t="shared" si="6"/>
        <v>42855</v>
      </c>
      <c r="L191" s="11">
        <v>0.05</v>
      </c>
      <c r="M191" s="9">
        <f t="shared" si="7"/>
        <v>2142.75</v>
      </c>
      <c r="N191" s="5">
        <v>0</v>
      </c>
      <c r="O191" s="5"/>
      <c r="P191" s="5">
        <f t="shared" si="8"/>
        <v>44997.75</v>
      </c>
      <c r="Q191" s="1" t="s">
        <v>508</v>
      </c>
      <c r="R191" s="1" t="s">
        <v>331</v>
      </c>
      <c r="S191" s="1" t="s">
        <v>444</v>
      </c>
      <c r="T191" s="1"/>
      <c r="U191" s="1"/>
      <c r="V191" s="2"/>
      <c r="W191" s="21"/>
      <c r="X191" s="21"/>
      <c r="Y191" s="21">
        <v>1</v>
      </c>
      <c r="Z191" s="12" t="s">
        <v>509</v>
      </c>
      <c r="AA191" s="2"/>
      <c r="AB191" s="23"/>
      <c r="AC191" s="2"/>
      <c r="AD191" s="27"/>
    </row>
    <row r="192" spans="1:30" s="24" customFormat="1" x14ac:dyDescent="0.25">
      <c r="A192" s="4"/>
      <c r="B192" s="4">
        <v>45499</v>
      </c>
      <c r="C192" s="6" t="s">
        <v>54</v>
      </c>
      <c r="D192" s="6" t="s">
        <v>1705</v>
      </c>
      <c r="E192" s="6" t="s">
        <v>510</v>
      </c>
      <c r="F192" s="1" t="s">
        <v>511</v>
      </c>
      <c r="G192" s="8">
        <v>1</v>
      </c>
      <c r="H192" s="8"/>
      <c r="I192" s="115">
        <f>Table223[[#This Row],[Qty]]-Table223[[#This Row],[Issue Qty]]</f>
        <v>1</v>
      </c>
      <c r="J192" s="5">
        <v>5761.87</v>
      </c>
      <c r="K192" s="5">
        <f t="shared" si="6"/>
        <v>5761.87</v>
      </c>
      <c r="L192" s="11">
        <v>0.18</v>
      </c>
      <c r="M192" s="9">
        <f t="shared" si="7"/>
        <v>1037.1366</v>
      </c>
      <c r="N192" s="5">
        <v>0</v>
      </c>
      <c r="O192" s="5"/>
      <c r="P192" s="5">
        <f t="shared" si="8"/>
        <v>6799.0065999999997</v>
      </c>
      <c r="Q192" s="1" t="s">
        <v>512</v>
      </c>
      <c r="R192" s="1" t="s">
        <v>512</v>
      </c>
      <c r="S192" s="1" t="s">
        <v>394</v>
      </c>
      <c r="T192" s="1" t="s">
        <v>1894</v>
      </c>
      <c r="U192" s="1"/>
      <c r="V192" s="1"/>
      <c r="W192" s="21" t="s">
        <v>72</v>
      </c>
      <c r="X192" s="21" t="s">
        <v>73</v>
      </c>
      <c r="Y192" s="8"/>
      <c r="Z192" s="22"/>
      <c r="AA192" s="1"/>
      <c r="AB192" s="23" t="s">
        <v>513</v>
      </c>
      <c r="AC192" s="1"/>
      <c r="AD192" s="2"/>
    </row>
    <row r="193" spans="1:30" x14ac:dyDescent="0.25">
      <c r="A193" s="4"/>
      <c r="B193" s="4">
        <v>45509</v>
      </c>
      <c r="C193" s="6" t="s">
        <v>1693</v>
      </c>
      <c r="D193" s="6" t="s">
        <v>1895</v>
      </c>
      <c r="E193" s="6" t="s">
        <v>514</v>
      </c>
      <c r="F193" s="1" t="s">
        <v>515</v>
      </c>
      <c r="G193" s="8">
        <v>1</v>
      </c>
      <c r="H193" s="8"/>
      <c r="I193" s="115">
        <f>Table223[[#This Row],[Qty]]-Table223[[#This Row],[Issue Qty]]</f>
        <v>1</v>
      </c>
      <c r="J193" s="5">
        <v>74000</v>
      </c>
      <c r="K193" s="5">
        <f t="shared" si="6"/>
        <v>74000</v>
      </c>
      <c r="L193" s="11">
        <v>0.18</v>
      </c>
      <c r="M193" s="9">
        <f t="shared" si="7"/>
        <v>13320</v>
      </c>
      <c r="N193" s="5">
        <v>0</v>
      </c>
      <c r="O193" s="5"/>
      <c r="P193" s="5">
        <f t="shared" si="8"/>
        <v>87320</v>
      </c>
      <c r="Q193" s="1" t="s">
        <v>508</v>
      </c>
      <c r="R193" s="1" t="s">
        <v>331</v>
      </c>
      <c r="S193" s="1" t="s">
        <v>478</v>
      </c>
      <c r="T193" s="1"/>
      <c r="U193" s="1"/>
      <c r="V193" s="1"/>
      <c r="W193" s="21" t="s">
        <v>388</v>
      </c>
      <c r="X193" s="21" t="s">
        <v>479</v>
      </c>
      <c r="Y193" s="8"/>
      <c r="Z193" s="22"/>
      <c r="AA193" s="1"/>
      <c r="AB193" s="23" t="s">
        <v>515</v>
      </c>
      <c r="AC193" s="1"/>
      <c r="AD193" s="27"/>
    </row>
    <row r="194" spans="1:30" ht="30" x14ac:dyDescent="0.25">
      <c r="A194" s="4"/>
      <c r="B194" s="4">
        <v>45513</v>
      </c>
      <c r="C194" s="6" t="s">
        <v>1693</v>
      </c>
      <c r="D194" s="6" t="s">
        <v>1884</v>
      </c>
      <c r="E194" s="6" t="s">
        <v>482</v>
      </c>
      <c r="F194" s="1" t="s">
        <v>483</v>
      </c>
      <c r="G194" s="8">
        <v>1</v>
      </c>
      <c r="H194" s="8"/>
      <c r="I194" s="115">
        <f>Table223[[#This Row],[Qty]]-Table223[[#This Row],[Issue Qty]]</f>
        <v>1</v>
      </c>
      <c r="J194" s="5">
        <v>3025.42</v>
      </c>
      <c r="K194" s="5">
        <f t="shared" si="6"/>
        <v>3025.42</v>
      </c>
      <c r="L194" s="11">
        <v>0.18</v>
      </c>
      <c r="M194" s="9">
        <f t="shared" si="7"/>
        <v>544.57560000000001</v>
      </c>
      <c r="N194" s="5">
        <v>0</v>
      </c>
      <c r="O194" s="5"/>
      <c r="P194" s="5">
        <f t="shared" si="8"/>
        <v>3569.9956000000002</v>
      </c>
      <c r="Q194" s="1" t="s">
        <v>516</v>
      </c>
      <c r="R194" s="1" t="s">
        <v>517</v>
      </c>
      <c r="S194" s="1" t="s">
        <v>384</v>
      </c>
      <c r="T194" s="1"/>
      <c r="U194" s="1"/>
      <c r="V194" s="1"/>
      <c r="W194" s="21" t="s">
        <v>72</v>
      </c>
      <c r="X194" s="21" t="s">
        <v>406</v>
      </c>
      <c r="Y194" s="8"/>
      <c r="Z194" s="22"/>
      <c r="AA194" s="1"/>
      <c r="AB194" s="23"/>
      <c r="AC194" s="1"/>
      <c r="AD194" s="27"/>
    </row>
    <row r="195" spans="1:30" x14ac:dyDescent="0.25">
      <c r="A195" s="4"/>
      <c r="B195" s="4">
        <v>45521</v>
      </c>
      <c r="C195" s="6" t="s">
        <v>1693</v>
      </c>
      <c r="D195" s="6" t="s">
        <v>1896</v>
      </c>
      <c r="E195" s="6" t="s">
        <v>518</v>
      </c>
      <c r="F195" s="1" t="s">
        <v>518</v>
      </c>
      <c r="G195" s="8">
        <v>1</v>
      </c>
      <c r="H195" s="8"/>
      <c r="I195" s="115">
        <f>Table223[[#This Row],[Qty]]-Table223[[#This Row],[Issue Qty]]</f>
        <v>1</v>
      </c>
      <c r="J195" s="5">
        <v>9487.81</v>
      </c>
      <c r="K195" s="5">
        <f t="shared" ref="K195:K239" si="9">G195*J195</f>
        <v>9487.81</v>
      </c>
      <c r="L195" s="11">
        <v>0.18</v>
      </c>
      <c r="M195" s="9">
        <f t="shared" ref="M195:M239" si="10">K195*L195</f>
        <v>1707.8057999999999</v>
      </c>
      <c r="N195" s="5">
        <v>0</v>
      </c>
      <c r="O195" s="5"/>
      <c r="P195" s="5">
        <f t="shared" ref="P195:P239" si="11">K195+M195+N195+O195</f>
        <v>11195.6158</v>
      </c>
      <c r="Q195" s="1" t="s">
        <v>508</v>
      </c>
      <c r="R195" s="1" t="s">
        <v>331</v>
      </c>
      <c r="S195" s="1" t="s">
        <v>384</v>
      </c>
      <c r="T195" s="1"/>
      <c r="U195" s="1"/>
      <c r="V195" s="1"/>
      <c r="W195" s="21" t="s">
        <v>38</v>
      </c>
      <c r="X195" s="8" t="s">
        <v>3342</v>
      </c>
      <c r="Y195" s="8"/>
      <c r="Z195" s="22"/>
      <c r="AA195" s="1"/>
      <c r="AB195" s="23" t="s">
        <v>519</v>
      </c>
      <c r="AC195" s="1"/>
      <c r="AD195" s="27"/>
    </row>
    <row r="196" spans="1:30" x14ac:dyDescent="0.25">
      <c r="A196" s="4"/>
      <c r="B196" s="4">
        <v>45523</v>
      </c>
      <c r="C196" s="6" t="s">
        <v>1683</v>
      </c>
      <c r="D196" s="6" t="s">
        <v>1827</v>
      </c>
      <c r="E196" s="6" t="s">
        <v>351</v>
      </c>
      <c r="F196" s="1" t="s">
        <v>520</v>
      </c>
      <c r="G196" s="8">
        <v>2</v>
      </c>
      <c r="H196" s="8"/>
      <c r="I196" s="115">
        <f>Table223[[#This Row],[Qty]]-Table223[[#This Row],[Issue Qty]]</f>
        <v>2</v>
      </c>
      <c r="J196" s="5">
        <v>1471.1849999999999</v>
      </c>
      <c r="K196" s="5">
        <f t="shared" si="9"/>
        <v>2942.37</v>
      </c>
      <c r="L196" s="11">
        <v>0.18</v>
      </c>
      <c r="M196" s="9">
        <f t="shared" si="10"/>
        <v>529.62659999999994</v>
      </c>
      <c r="N196" s="5">
        <f>49/3</f>
        <v>16.333333333333332</v>
      </c>
      <c r="O196" s="5"/>
      <c r="P196" s="5">
        <f t="shared" si="11"/>
        <v>3488.3299333333334</v>
      </c>
      <c r="Q196" s="1" t="s">
        <v>508</v>
      </c>
      <c r="R196" s="1" t="s">
        <v>331</v>
      </c>
      <c r="S196" s="1" t="s">
        <v>243</v>
      </c>
      <c r="T196" s="1"/>
      <c r="U196" s="1"/>
      <c r="V196" s="1"/>
      <c r="W196" s="21" t="s">
        <v>72</v>
      </c>
      <c r="X196" s="21" t="s">
        <v>352</v>
      </c>
      <c r="Y196" s="8"/>
      <c r="Z196" s="22"/>
      <c r="AA196" s="1"/>
      <c r="AB196" s="23" t="s">
        <v>353</v>
      </c>
      <c r="AC196" s="1"/>
      <c r="AD196" s="27"/>
    </row>
    <row r="197" spans="1:30" x14ac:dyDescent="0.25">
      <c r="A197" s="4"/>
      <c r="B197" s="4">
        <v>45524</v>
      </c>
      <c r="C197" s="6" t="s">
        <v>1683</v>
      </c>
      <c r="D197" s="6" t="s">
        <v>1897</v>
      </c>
      <c r="E197" s="6" t="s">
        <v>521</v>
      </c>
      <c r="F197" s="1" t="s">
        <v>522</v>
      </c>
      <c r="G197" s="8">
        <v>4</v>
      </c>
      <c r="H197" s="8"/>
      <c r="I197" s="115">
        <f>Table223[[#This Row],[Qty]]-Table223[[#This Row],[Issue Qty]]</f>
        <v>4</v>
      </c>
      <c r="J197" s="5">
        <v>12100</v>
      </c>
      <c r="K197" s="5">
        <f t="shared" si="9"/>
        <v>48400</v>
      </c>
      <c r="L197" s="11">
        <v>0.18</v>
      </c>
      <c r="M197" s="9">
        <f t="shared" si="10"/>
        <v>8712</v>
      </c>
      <c r="N197" s="5">
        <v>0</v>
      </c>
      <c r="O197" s="5"/>
      <c r="P197" s="5">
        <f t="shared" si="11"/>
        <v>57112</v>
      </c>
      <c r="Q197" s="1" t="s">
        <v>508</v>
      </c>
      <c r="R197" s="1" t="s">
        <v>331</v>
      </c>
      <c r="S197" s="1" t="s">
        <v>387</v>
      </c>
      <c r="T197" s="1"/>
      <c r="U197" s="1"/>
      <c r="V197" s="2"/>
      <c r="W197" s="21" t="s">
        <v>64</v>
      </c>
      <c r="X197" s="21" t="s">
        <v>523</v>
      </c>
      <c r="Y197" s="21">
        <v>3</v>
      </c>
      <c r="Z197" s="12" t="s">
        <v>509</v>
      </c>
      <c r="AA197" s="2"/>
      <c r="AB197" s="23"/>
      <c r="AC197" s="2"/>
      <c r="AD197" s="27"/>
    </row>
    <row r="198" spans="1:30" x14ac:dyDescent="0.25">
      <c r="A198" s="4"/>
      <c r="B198" s="4">
        <v>45524</v>
      </c>
      <c r="C198" s="6" t="s">
        <v>1683</v>
      </c>
      <c r="D198" s="6" t="s">
        <v>1898</v>
      </c>
      <c r="E198" s="6" t="s">
        <v>524</v>
      </c>
      <c r="F198" s="1" t="s">
        <v>522</v>
      </c>
      <c r="G198" s="8">
        <v>4</v>
      </c>
      <c r="H198" s="8"/>
      <c r="I198" s="115">
        <f>Table223[[#This Row],[Qty]]-Table223[[#This Row],[Issue Qty]]</f>
        <v>4</v>
      </c>
      <c r="J198" s="5">
        <v>12100</v>
      </c>
      <c r="K198" s="5">
        <f t="shared" si="9"/>
        <v>48400</v>
      </c>
      <c r="L198" s="11">
        <v>0.18</v>
      </c>
      <c r="M198" s="9">
        <f t="shared" si="10"/>
        <v>8712</v>
      </c>
      <c r="N198" s="5">
        <v>0</v>
      </c>
      <c r="O198" s="5"/>
      <c r="P198" s="5">
        <f t="shared" si="11"/>
        <v>57112</v>
      </c>
      <c r="Q198" s="1" t="s">
        <v>508</v>
      </c>
      <c r="R198" s="1" t="s">
        <v>331</v>
      </c>
      <c r="S198" s="1" t="s">
        <v>387</v>
      </c>
      <c r="T198" s="1"/>
      <c r="U198" s="1"/>
      <c r="V198" s="2"/>
      <c r="W198" s="21" t="s">
        <v>64</v>
      </c>
      <c r="X198" s="21" t="s">
        <v>523</v>
      </c>
      <c r="Y198" s="21">
        <v>3</v>
      </c>
      <c r="Z198" s="12" t="s">
        <v>509</v>
      </c>
      <c r="AA198" s="2"/>
      <c r="AB198" s="23"/>
      <c r="AC198" s="2"/>
      <c r="AD198" s="27"/>
    </row>
    <row r="199" spans="1:30" x14ac:dyDescent="0.25">
      <c r="A199" s="4"/>
      <c r="B199" s="4">
        <v>45525</v>
      </c>
      <c r="C199" s="6" t="s">
        <v>1683</v>
      </c>
      <c r="D199" s="6" t="s">
        <v>1779</v>
      </c>
      <c r="E199" s="6" t="s">
        <v>264</v>
      </c>
      <c r="F199" s="1" t="s">
        <v>525</v>
      </c>
      <c r="G199" s="8">
        <v>1</v>
      </c>
      <c r="H199" s="8"/>
      <c r="I199" s="115">
        <f>Table223[[#This Row],[Qty]]-Table223[[#This Row],[Issue Qty]]</f>
        <v>1</v>
      </c>
      <c r="J199" s="5">
        <v>237.29</v>
      </c>
      <c r="K199" s="5">
        <f t="shared" si="9"/>
        <v>237.29</v>
      </c>
      <c r="L199" s="11">
        <v>0.18</v>
      </c>
      <c r="M199" s="9">
        <f t="shared" si="10"/>
        <v>42.712199999999996</v>
      </c>
      <c r="N199" s="5">
        <v>12.8</v>
      </c>
      <c r="O199" s="5"/>
      <c r="P199" s="5">
        <f t="shared" si="11"/>
        <v>292.80220000000003</v>
      </c>
      <c r="Q199" s="1" t="s">
        <v>508</v>
      </c>
      <c r="R199" s="1" t="s">
        <v>331</v>
      </c>
      <c r="S199" s="1" t="s">
        <v>243</v>
      </c>
      <c r="T199" s="1"/>
      <c r="U199" s="1"/>
      <c r="V199" s="2"/>
      <c r="W199" s="21" t="s">
        <v>72</v>
      </c>
      <c r="X199" s="8" t="s">
        <v>117</v>
      </c>
      <c r="Y199" s="21">
        <v>1</v>
      </c>
      <c r="Z199" s="12" t="s">
        <v>474</v>
      </c>
      <c r="AA199" s="2"/>
      <c r="AB199" s="23"/>
      <c r="AC199" s="2"/>
      <c r="AD199" s="27"/>
    </row>
    <row r="200" spans="1:30" s="24" customFormat="1" x14ac:dyDescent="0.25">
      <c r="A200" s="4"/>
      <c r="B200" s="4">
        <v>45526</v>
      </c>
      <c r="C200" s="6" t="s">
        <v>1693</v>
      </c>
      <c r="D200" s="6" t="s">
        <v>1890</v>
      </c>
      <c r="E200" s="170" t="s">
        <v>498</v>
      </c>
      <c r="F200" s="1" t="s">
        <v>526</v>
      </c>
      <c r="G200" s="8">
        <v>2</v>
      </c>
      <c r="H200" s="8">
        <v>2</v>
      </c>
      <c r="I200" s="115">
        <f>Table223[[#This Row],[Qty]]-Table223[[#This Row],[Issue Qty]]</f>
        <v>0</v>
      </c>
      <c r="J200" s="5">
        <v>18750</v>
      </c>
      <c r="K200" s="5">
        <f t="shared" si="9"/>
        <v>37500</v>
      </c>
      <c r="L200" s="11">
        <v>0.05</v>
      </c>
      <c r="M200" s="9">
        <f t="shared" si="10"/>
        <v>1875</v>
      </c>
      <c r="N200" s="5">
        <v>0</v>
      </c>
      <c r="O200" s="5"/>
      <c r="P200" s="5">
        <f t="shared" si="11"/>
        <v>39375</v>
      </c>
      <c r="Q200" s="1" t="s">
        <v>508</v>
      </c>
      <c r="R200" s="1" t="s">
        <v>331</v>
      </c>
      <c r="S200" s="1" t="s">
        <v>290</v>
      </c>
      <c r="T200" s="1"/>
      <c r="U200" s="1"/>
      <c r="V200" s="2"/>
      <c r="W200" s="21" t="s">
        <v>52</v>
      </c>
      <c r="X200" s="21"/>
      <c r="Y200" s="21">
        <v>2</v>
      </c>
      <c r="Z200" s="12" t="s">
        <v>527</v>
      </c>
      <c r="AA200" s="2"/>
      <c r="AB200" s="23"/>
      <c r="AC200" s="2"/>
      <c r="AD200" s="2"/>
    </row>
    <row r="201" spans="1:30" s="24" customFormat="1" x14ac:dyDescent="0.25">
      <c r="A201" s="4"/>
      <c r="B201" s="4">
        <v>45527</v>
      </c>
      <c r="C201" s="6" t="s">
        <v>1693</v>
      </c>
      <c r="D201" s="26" t="s">
        <v>1899</v>
      </c>
      <c r="E201" s="26" t="s">
        <v>528</v>
      </c>
      <c r="F201" s="1" t="s">
        <v>529</v>
      </c>
      <c r="G201" s="8">
        <v>2</v>
      </c>
      <c r="H201" s="8"/>
      <c r="I201" s="115">
        <f>Table223[[#This Row],[Qty]]-Table223[[#This Row],[Issue Qty]]</f>
        <v>2</v>
      </c>
      <c r="J201" s="5">
        <v>8399</v>
      </c>
      <c r="K201" s="5">
        <f t="shared" si="9"/>
        <v>16798</v>
      </c>
      <c r="L201" s="11">
        <v>0.12</v>
      </c>
      <c r="M201" s="9">
        <f t="shared" si="10"/>
        <v>2015.76</v>
      </c>
      <c r="N201" s="5">
        <v>0</v>
      </c>
      <c r="O201" s="5"/>
      <c r="P201" s="5">
        <f t="shared" si="11"/>
        <v>18813.759999999998</v>
      </c>
      <c r="Q201" s="1" t="s">
        <v>530</v>
      </c>
      <c r="R201" s="1" t="s">
        <v>1742</v>
      </c>
      <c r="S201" s="1" t="s">
        <v>531</v>
      </c>
      <c r="T201" s="1"/>
      <c r="U201" s="1"/>
      <c r="V201" s="1"/>
      <c r="W201" s="21" t="s">
        <v>52</v>
      </c>
      <c r="X201" s="21" t="s">
        <v>53</v>
      </c>
      <c r="Y201" s="8">
        <v>2</v>
      </c>
      <c r="Z201" s="22" t="s">
        <v>474</v>
      </c>
      <c r="AA201" s="1"/>
      <c r="AB201" s="23"/>
      <c r="AC201" s="1"/>
      <c r="AD201" s="2"/>
    </row>
    <row r="202" spans="1:30" s="24" customFormat="1" x14ac:dyDescent="0.25">
      <c r="A202" s="4"/>
      <c r="B202" s="4">
        <v>45527</v>
      </c>
      <c r="C202" s="6" t="s">
        <v>1693</v>
      </c>
      <c r="D202" s="26" t="s">
        <v>1900</v>
      </c>
      <c r="E202" s="26" t="s">
        <v>532</v>
      </c>
      <c r="F202" s="1" t="s">
        <v>533</v>
      </c>
      <c r="G202" s="8">
        <v>1</v>
      </c>
      <c r="H202" s="8"/>
      <c r="I202" s="115">
        <f>Table223[[#This Row],[Qty]]-Table223[[#This Row],[Issue Qty]]</f>
        <v>1</v>
      </c>
      <c r="J202" s="5">
        <v>541.495</v>
      </c>
      <c r="K202" s="5">
        <f t="shared" si="9"/>
        <v>541.495</v>
      </c>
      <c r="L202" s="11">
        <v>0.05</v>
      </c>
      <c r="M202" s="9">
        <f t="shared" si="10"/>
        <v>27.074750000000002</v>
      </c>
      <c r="N202" s="5">
        <v>0</v>
      </c>
      <c r="O202" s="5"/>
      <c r="P202" s="5">
        <f t="shared" si="11"/>
        <v>568.56975</v>
      </c>
      <c r="Q202" s="1" t="s">
        <v>530</v>
      </c>
      <c r="R202" s="1" t="s">
        <v>1742</v>
      </c>
      <c r="S202" s="1" t="s">
        <v>243</v>
      </c>
      <c r="T202" s="1"/>
      <c r="U202" s="1"/>
      <c r="V202" s="1"/>
      <c r="W202" s="8" t="s">
        <v>89</v>
      </c>
      <c r="X202" s="21" t="s">
        <v>262</v>
      </c>
      <c r="Y202" s="8"/>
      <c r="Z202" s="22"/>
      <c r="AA202" s="1"/>
      <c r="AB202" s="23"/>
      <c r="AC202" s="1"/>
      <c r="AD202" s="2"/>
    </row>
    <row r="203" spans="1:30" s="51" customFormat="1" x14ac:dyDescent="0.25">
      <c r="A203" s="4"/>
      <c r="B203" s="4">
        <v>45530</v>
      </c>
      <c r="C203" s="6" t="s">
        <v>1693</v>
      </c>
      <c r="D203" s="6" t="s">
        <v>1901</v>
      </c>
      <c r="E203" s="170" t="s">
        <v>534</v>
      </c>
      <c r="F203" s="1" t="s">
        <v>535</v>
      </c>
      <c r="G203" s="8">
        <v>1</v>
      </c>
      <c r="H203" s="8">
        <v>1</v>
      </c>
      <c r="I203" s="115">
        <f>Table223[[#This Row],[Qty]]-Table223[[#This Row],[Issue Qty]]</f>
        <v>0</v>
      </c>
      <c r="J203" s="5">
        <v>18750</v>
      </c>
      <c r="K203" s="5">
        <f t="shared" si="9"/>
        <v>18750</v>
      </c>
      <c r="L203" s="11">
        <v>0.12</v>
      </c>
      <c r="M203" s="9">
        <f t="shared" si="10"/>
        <v>2250</v>
      </c>
      <c r="N203" s="5">
        <v>0</v>
      </c>
      <c r="O203" s="5"/>
      <c r="P203" s="5">
        <f t="shared" si="11"/>
        <v>21000</v>
      </c>
      <c r="Q203" s="1" t="s">
        <v>530</v>
      </c>
      <c r="R203" s="1" t="s">
        <v>1742</v>
      </c>
      <c r="S203" s="1" t="s">
        <v>290</v>
      </c>
      <c r="T203" s="1"/>
      <c r="U203" s="1"/>
      <c r="V203" s="2"/>
      <c r="W203" s="21" t="s">
        <v>244</v>
      </c>
      <c r="X203" s="21"/>
      <c r="Y203" s="21">
        <v>1</v>
      </c>
      <c r="Z203" s="12" t="s">
        <v>536</v>
      </c>
      <c r="AA203" s="2"/>
      <c r="AB203" s="23"/>
      <c r="AC203" s="2"/>
      <c r="AD203" s="50"/>
    </row>
    <row r="204" spans="1:30" s="51" customFormat="1" x14ac:dyDescent="0.25">
      <c r="A204" s="4"/>
      <c r="B204" s="4">
        <v>45530</v>
      </c>
      <c r="C204" s="6" t="s">
        <v>1683</v>
      </c>
      <c r="D204" s="26" t="s">
        <v>1902</v>
      </c>
      <c r="E204" s="26" t="s">
        <v>537</v>
      </c>
      <c r="F204" s="1" t="s">
        <v>538</v>
      </c>
      <c r="G204" s="8">
        <v>1</v>
      </c>
      <c r="H204" s="8">
        <v>1</v>
      </c>
      <c r="I204" s="115">
        <f>Table223[[#This Row],[Qty]]-Table223[[#This Row],[Issue Qty]]</f>
        <v>0</v>
      </c>
      <c r="J204" s="5">
        <v>22433.3</v>
      </c>
      <c r="K204" s="5">
        <f t="shared" si="9"/>
        <v>22433.3</v>
      </c>
      <c r="L204" s="11">
        <v>0</v>
      </c>
      <c r="M204" s="9">
        <f t="shared" si="10"/>
        <v>0</v>
      </c>
      <c r="N204" s="5">
        <v>0</v>
      </c>
      <c r="O204" s="5"/>
      <c r="P204" s="5">
        <f t="shared" si="11"/>
        <v>22433.3</v>
      </c>
      <c r="Q204" s="1" t="s">
        <v>508</v>
      </c>
      <c r="R204" s="1" t="s">
        <v>331</v>
      </c>
      <c r="S204" s="1" t="s">
        <v>56</v>
      </c>
      <c r="T204" s="1"/>
      <c r="U204" s="1"/>
      <c r="V204" s="1"/>
      <c r="W204" s="21" t="s">
        <v>3349</v>
      </c>
      <c r="X204" s="8"/>
      <c r="Y204" s="8">
        <v>1</v>
      </c>
      <c r="Z204" s="22" t="s">
        <v>3373</v>
      </c>
      <c r="AA204" s="1"/>
      <c r="AB204" s="23"/>
      <c r="AC204" s="1"/>
      <c r="AD204" s="50"/>
    </row>
    <row r="205" spans="1:30" s="51" customFormat="1" x14ac:dyDescent="0.25">
      <c r="A205" s="4"/>
      <c r="B205" s="4">
        <v>45530</v>
      </c>
      <c r="C205" s="6" t="s">
        <v>1693</v>
      </c>
      <c r="D205" s="26" t="s">
        <v>1903</v>
      </c>
      <c r="E205" s="26" t="s">
        <v>539</v>
      </c>
      <c r="F205" s="1" t="s">
        <v>540</v>
      </c>
      <c r="G205" s="8">
        <v>1</v>
      </c>
      <c r="H205" s="8"/>
      <c r="I205" s="115">
        <f>Table223[[#This Row],[Qty]]-Table223[[#This Row],[Issue Qty]]</f>
        <v>1</v>
      </c>
      <c r="J205" s="5">
        <v>6696.51</v>
      </c>
      <c r="K205" s="5">
        <f t="shared" si="9"/>
        <v>6696.51</v>
      </c>
      <c r="L205" s="11">
        <v>0</v>
      </c>
      <c r="M205" s="9">
        <f t="shared" si="10"/>
        <v>0</v>
      </c>
      <c r="N205" s="5">
        <v>0</v>
      </c>
      <c r="O205" s="5"/>
      <c r="P205" s="5">
        <f t="shared" si="11"/>
        <v>6696.51</v>
      </c>
      <c r="Q205" s="1" t="s">
        <v>508</v>
      </c>
      <c r="R205" s="1" t="s">
        <v>331</v>
      </c>
      <c r="S205" s="1" t="s">
        <v>56</v>
      </c>
      <c r="T205" s="1"/>
      <c r="U205" s="1"/>
      <c r="V205" s="1"/>
      <c r="W205" s="8" t="s">
        <v>78</v>
      </c>
      <c r="X205" s="8" t="s">
        <v>541</v>
      </c>
      <c r="Y205" s="8"/>
      <c r="Z205" s="22"/>
      <c r="AA205" s="1"/>
      <c r="AB205" s="23"/>
      <c r="AC205" s="1"/>
      <c r="AD205" s="50"/>
    </row>
    <row r="206" spans="1:30" s="51" customFormat="1" x14ac:dyDescent="0.25">
      <c r="A206" s="4"/>
      <c r="B206" s="4">
        <v>45530</v>
      </c>
      <c r="C206" s="6" t="s">
        <v>1683</v>
      </c>
      <c r="D206" s="6" t="s">
        <v>1904</v>
      </c>
      <c r="E206" s="6" t="s">
        <v>542</v>
      </c>
      <c r="F206" s="1" t="s">
        <v>543</v>
      </c>
      <c r="G206" s="8">
        <v>4</v>
      </c>
      <c r="H206" s="8"/>
      <c r="I206" s="115">
        <f>Table223[[#This Row],[Qty]]-Table223[[#This Row],[Issue Qty]]</f>
        <v>4</v>
      </c>
      <c r="J206" s="5">
        <v>19085.05</v>
      </c>
      <c r="K206" s="5">
        <f t="shared" si="9"/>
        <v>76340.2</v>
      </c>
      <c r="L206" s="11">
        <v>0</v>
      </c>
      <c r="M206" s="9">
        <f t="shared" si="10"/>
        <v>0</v>
      </c>
      <c r="N206" s="5">
        <v>0</v>
      </c>
      <c r="O206" s="5"/>
      <c r="P206" s="5">
        <f t="shared" si="11"/>
        <v>76340.2</v>
      </c>
      <c r="Q206" s="1" t="s">
        <v>508</v>
      </c>
      <c r="R206" s="1" t="s">
        <v>331</v>
      </c>
      <c r="S206" s="1" t="s">
        <v>56</v>
      </c>
      <c r="T206" s="1"/>
      <c r="U206" s="1"/>
      <c r="V206" s="2"/>
      <c r="W206" s="21" t="s">
        <v>22</v>
      </c>
      <c r="X206" s="21" t="s">
        <v>23</v>
      </c>
      <c r="Y206" s="21"/>
      <c r="Z206" s="12"/>
      <c r="AA206" s="2"/>
      <c r="AB206" s="23"/>
      <c r="AC206" s="2"/>
      <c r="AD206" s="50"/>
    </row>
    <row r="207" spans="1:30" s="51" customFormat="1" x14ac:dyDescent="0.25">
      <c r="A207" s="4"/>
      <c r="B207" s="4">
        <v>45534</v>
      </c>
      <c r="C207" s="1" t="s">
        <v>1683</v>
      </c>
      <c r="D207" s="26" t="s">
        <v>1779</v>
      </c>
      <c r="E207" s="26" t="s">
        <v>264</v>
      </c>
      <c r="F207" s="1" t="s">
        <v>544</v>
      </c>
      <c r="G207" s="8">
        <v>1</v>
      </c>
      <c r="H207" s="8"/>
      <c r="I207" s="115">
        <f>Table223[[#This Row],[Qty]]-Table223[[#This Row],[Issue Qty]]</f>
        <v>1</v>
      </c>
      <c r="J207" s="5">
        <v>237.29</v>
      </c>
      <c r="K207" s="5">
        <f t="shared" si="9"/>
        <v>237.29</v>
      </c>
      <c r="L207" s="11">
        <v>0.17999072864427501</v>
      </c>
      <c r="M207" s="9">
        <f t="shared" si="10"/>
        <v>42.710000000000015</v>
      </c>
      <c r="N207" s="5">
        <v>8.16</v>
      </c>
      <c r="O207" s="5"/>
      <c r="P207" s="5">
        <f t="shared" si="11"/>
        <v>288.16000000000003</v>
      </c>
      <c r="Q207" s="1" t="s">
        <v>530</v>
      </c>
      <c r="R207" s="1" t="s">
        <v>1742</v>
      </c>
      <c r="S207" s="1"/>
      <c r="T207" s="1"/>
      <c r="U207" s="1"/>
      <c r="V207" s="1"/>
      <c r="W207" s="21" t="s">
        <v>72</v>
      </c>
      <c r="X207" s="21" t="s">
        <v>117</v>
      </c>
      <c r="Y207" s="8"/>
      <c r="Z207" s="22"/>
      <c r="AA207" s="1"/>
      <c r="AB207" s="29"/>
      <c r="AC207" s="1"/>
      <c r="AD207" s="50"/>
    </row>
    <row r="208" spans="1:30" s="51" customFormat="1" ht="30" x14ac:dyDescent="0.25">
      <c r="A208" s="4"/>
      <c r="B208" s="4">
        <v>45534</v>
      </c>
      <c r="C208" s="6" t="s">
        <v>1695</v>
      </c>
      <c r="D208" s="26" t="s">
        <v>1834</v>
      </c>
      <c r="E208" s="26" t="s">
        <v>385</v>
      </c>
      <c r="F208" s="1" t="s">
        <v>545</v>
      </c>
      <c r="G208" s="8">
        <v>1</v>
      </c>
      <c r="H208" s="8"/>
      <c r="I208" s="115">
        <f>Table223[[#This Row],[Qty]]-Table223[[#This Row],[Issue Qty]]</f>
        <v>1</v>
      </c>
      <c r="J208" s="5">
        <v>20100</v>
      </c>
      <c r="K208" s="5">
        <f t="shared" si="9"/>
        <v>20100</v>
      </c>
      <c r="L208" s="11">
        <v>0.18</v>
      </c>
      <c r="M208" s="9">
        <f t="shared" si="10"/>
        <v>3618</v>
      </c>
      <c r="N208" s="5">
        <f>184.08/2</f>
        <v>92.04</v>
      </c>
      <c r="O208" s="5"/>
      <c r="P208" s="5">
        <f t="shared" si="11"/>
        <v>23810.04</v>
      </c>
      <c r="Q208" s="1" t="s">
        <v>530</v>
      </c>
      <c r="R208" s="1" t="s">
        <v>1742</v>
      </c>
      <c r="S208" s="1"/>
      <c r="T208" s="1"/>
      <c r="U208" s="1"/>
      <c r="V208" s="1"/>
      <c r="W208" s="8" t="s">
        <v>388</v>
      </c>
      <c r="X208" s="8"/>
      <c r="Y208" s="8"/>
      <c r="Z208" s="22"/>
      <c r="AA208" s="1"/>
      <c r="AB208" s="23"/>
      <c r="AC208" s="1"/>
      <c r="AD208" s="50"/>
    </row>
    <row r="209" spans="1:30" s="53" customFormat="1" x14ac:dyDescent="0.25">
      <c r="A209" s="4"/>
      <c r="B209" s="4">
        <v>45535</v>
      </c>
      <c r="C209" s="1" t="s">
        <v>1683</v>
      </c>
      <c r="D209" s="1" t="s">
        <v>1827</v>
      </c>
      <c r="E209" s="1" t="s">
        <v>351</v>
      </c>
      <c r="F209" s="1" t="s">
        <v>546</v>
      </c>
      <c r="G209" s="8">
        <v>2</v>
      </c>
      <c r="H209" s="8"/>
      <c r="I209" s="115">
        <f>Table223[[#This Row],[Qty]]-Table223[[#This Row],[Issue Qty]]</f>
        <v>2</v>
      </c>
      <c r="J209" s="5">
        <v>1483.05</v>
      </c>
      <c r="K209" s="5">
        <f t="shared" si="9"/>
        <v>2966.1</v>
      </c>
      <c r="L209" s="11">
        <v>0.1800006742861</v>
      </c>
      <c r="M209" s="9">
        <f t="shared" si="10"/>
        <v>533.90000000000123</v>
      </c>
      <c r="N209" s="5">
        <f>401/17</f>
        <v>23.588235294117649</v>
      </c>
      <c r="O209" s="5"/>
      <c r="P209" s="5">
        <f t="shared" si="11"/>
        <v>3523.5882352941185</v>
      </c>
      <c r="Q209" s="1" t="s">
        <v>530</v>
      </c>
      <c r="R209" s="1" t="s">
        <v>1742</v>
      </c>
      <c r="S209" s="1"/>
      <c r="T209" s="1"/>
      <c r="U209" s="1"/>
      <c r="V209" s="2"/>
      <c r="W209" s="21" t="s">
        <v>72</v>
      </c>
      <c r="X209" s="21"/>
      <c r="Y209" s="21">
        <v>2</v>
      </c>
      <c r="Z209" s="12" t="s">
        <v>81</v>
      </c>
      <c r="AA209" s="2"/>
      <c r="AB209" s="29" t="s">
        <v>353</v>
      </c>
      <c r="AC209" s="2"/>
      <c r="AD209" s="52"/>
    </row>
    <row r="210" spans="1:30" s="53" customFormat="1" x14ac:dyDescent="0.25">
      <c r="A210" s="4"/>
      <c r="B210" s="4">
        <v>45535</v>
      </c>
      <c r="C210" s="1" t="s">
        <v>1683</v>
      </c>
      <c r="D210" s="26" t="s">
        <v>1779</v>
      </c>
      <c r="E210" s="26" t="s">
        <v>264</v>
      </c>
      <c r="F210" s="1" t="s">
        <v>544</v>
      </c>
      <c r="G210" s="8">
        <v>4</v>
      </c>
      <c r="H210" s="8"/>
      <c r="I210" s="115">
        <f>Table223[[#This Row],[Qty]]-Table223[[#This Row],[Issue Qty]]</f>
        <v>4</v>
      </c>
      <c r="J210" s="5">
        <v>237.28749999999999</v>
      </c>
      <c r="K210" s="5">
        <f t="shared" si="9"/>
        <v>949.15</v>
      </c>
      <c r="L210" s="11">
        <v>0.18000316072275199</v>
      </c>
      <c r="M210" s="9">
        <f t="shared" si="10"/>
        <v>170.85000000000005</v>
      </c>
      <c r="N210" s="5">
        <f>401/17</f>
        <v>23.588235294117649</v>
      </c>
      <c r="O210" s="5"/>
      <c r="P210" s="5">
        <f t="shared" si="11"/>
        <v>1143.5882352941176</v>
      </c>
      <c r="Q210" s="1" t="s">
        <v>530</v>
      </c>
      <c r="R210" s="1" t="s">
        <v>1742</v>
      </c>
      <c r="S210" s="1"/>
      <c r="T210" s="1"/>
      <c r="U210" s="1"/>
      <c r="V210" s="1"/>
      <c r="W210" s="21" t="s">
        <v>72</v>
      </c>
      <c r="X210" s="21" t="s">
        <v>117</v>
      </c>
      <c r="Y210" s="8"/>
      <c r="Z210" s="22"/>
      <c r="AA210" s="1"/>
      <c r="AB210" s="29"/>
      <c r="AC210" s="1"/>
      <c r="AD210" s="52"/>
    </row>
    <row r="211" spans="1:30" s="53" customFormat="1" x14ac:dyDescent="0.25">
      <c r="A211" s="4"/>
      <c r="B211" s="4">
        <v>45535</v>
      </c>
      <c r="C211" s="6" t="s">
        <v>1693</v>
      </c>
      <c r="D211" s="6" t="s">
        <v>1905</v>
      </c>
      <c r="E211" s="6" t="s">
        <v>547</v>
      </c>
      <c r="F211" s="1" t="s">
        <v>548</v>
      </c>
      <c r="G211" s="8">
        <v>2</v>
      </c>
      <c r="H211" s="8">
        <v>1</v>
      </c>
      <c r="I211" s="115">
        <f>Table223[[#This Row],[Qty]]-Table223[[#This Row],[Issue Qty]]</f>
        <v>1</v>
      </c>
      <c r="J211" s="5">
        <v>787.09500000000003</v>
      </c>
      <c r="K211" s="5">
        <f t="shared" si="9"/>
        <v>1574.19</v>
      </c>
      <c r="L211" s="11">
        <v>5.0000317623666801E-2</v>
      </c>
      <c r="M211" s="9">
        <f t="shared" si="10"/>
        <v>78.710000000000051</v>
      </c>
      <c r="N211" s="5">
        <f>401/17</f>
        <v>23.588235294117649</v>
      </c>
      <c r="O211" s="5"/>
      <c r="P211" s="5">
        <f t="shared" si="11"/>
        <v>1676.4882352941177</v>
      </c>
      <c r="Q211" s="1" t="s">
        <v>530</v>
      </c>
      <c r="R211" s="1" t="s">
        <v>1742</v>
      </c>
      <c r="S211" s="1"/>
      <c r="T211" s="1"/>
      <c r="U211" s="1"/>
      <c r="V211" s="2"/>
      <c r="W211" s="8" t="s">
        <v>89</v>
      </c>
      <c r="X211" s="21" t="s">
        <v>262</v>
      </c>
      <c r="Y211" s="21">
        <v>1</v>
      </c>
      <c r="Z211" s="12" t="s">
        <v>2916</v>
      </c>
      <c r="AA211" s="2"/>
      <c r="AB211" s="23" t="s">
        <v>263</v>
      </c>
      <c r="AC211" s="2"/>
      <c r="AD211" s="52"/>
    </row>
    <row r="212" spans="1:30" s="53" customFormat="1" x14ac:dyDescent="0.25">
      <c r="A212" s="4"/>
      <c r="B212" s="4">
        <v>45536</v>
      </c>
      <c r="C212" s="6" t="s">
        <v>54</v>
      </c>
      <c r="D212" s="1" t="s">
        <v>1906</v>
      </c>
      <c r="E212" s="6" t="s">
        <v>549</v>
      </c>
      <c r="F212" s="1" t="s">
        <v>550</v>
      </c>
      <c r="G212" s="8">
        <v>2</v>
      </c>
      <c r="H212" s="8">
        <v>1</v>
      </c>
      <c r="I212" s="115">
        <f>Table223[[#This Row],[Qty]]-Table223[[#This Row],[Issue Qty]]</f>
        <v>1</v>
      </c>
      <c r="J212" s="5">
        <v>5145</v>
      </c>
      <c r="K212" s="5">
        <f t="shared" si="9"/>
        <v>10290</v>
      </c>
      <c r="L212" s="11">
        <v>0.18</v>
      </c>
      <c r="M212" s="9">
        <f t="shared" si="10"/>
        <v>1852.1999999999998</v>
      </c>
      <c r="N212" s="5">
        <f>100+450+81+18</f>
        <v>649</v>
      </c>
      <c r="O212" s="5"/>
      <c r="P212" s="5">
        <f t="shared" si="11"/>
        <v>12791.2</v>
      </c>
      <c r="Q212" s="1" t="s">
        <v>530</v>
      </c>
      <c r="R212" s="1" t="s">
        <v>1742</v>
      </c>
      <c r="S212" s="1" t="s">
        <v>551</v>
      </c>
      <c r="T212" s="1" t="s">
        <v>1907</v>
      </c>
      <c r="U212" s="6">
        <v>45534</v>
      </c>
      <c r="V212" s="2"/>
      <c r="W212" s="21" t="s">
        <v>552</v>
      </c>
      <c r="X212" s="21"/>
      <c r="Y212" s="21">
        <v>1</v>
      </c>
      <c r="Z212" s="12" t="s">
        <v>81</v>
      </c>
      <c r="AA212" s="2"/>
      <c r="AB212" s="23"/>
      <c r="AC212" s="2"/>
      <c r="AD212" s="52"/>
    </row>
    <row r="213" spans="1:30" s="53" customFormat="1" ht="30" x14ac:dyDescent="0.25">
      <c r="A213" s="4"/>
      <c r="B213" s="4">
        <v>45538</v>
      </c>
      <c r="C213" s="6" t="s">
        <v>1688</v>
      </c>
      <c r="D213" s="26" t="s">
        <v>1908</v>
      </c>
      <c r="E213" s="26" t="s">
        <v>553</v>
      </c>
      <c r="F213" s="1" t="s">
        <v>553</v>
      </c>
      <c r="G213" s="8">
        <v>1</v>
      </c>
      <c r="H213" s="8"/>
      <c r="I213" s="115">
        <f>Table223[[#This Row],[Qty]]-Table223[[#This Row],[Issue Qty]]</f>
        <v>1</v>
      </c>
      <c r="J213" s="5">
        <v>17190.48</v>
      </c>
      <c r="K213" s="5">
        <f t="shared" si="9"/>
        <v>17190.48</v>
      </c>
      <c r="L213" s="11">
        <v>0.05</v>
      </c>
      <c r="M213" s="9">
        <f t="shared" si="10"/>
        <v>859.524</v>
      </c>
      <c r="N213" s="5">
        <f>527/5</f>
        <v>105.4</v>
      </c>
      <c r="O213" s="5"/>
      <c r="P213" s="5">
        <f t="shared" si="11"/>
        <v>18155.404000000002</v>
      </c>
      <c r="Q213" s="1" t="s">
        <v>530</v>
      </c>
      <c r="R213" s="1" t="s">
        <v>1742</v>
      </c>
      <c r="S213" s="1" t="s">
        <v>243</v>
      </c>
      <c r="T213" s="1" t="s">
        <v>1909</v>
      </c>
      <c r="U213" s="1"/>
      <c r="V213" s="1"/>
      <c r="W213" s="21" t="s">
        <v>29</v>
      </c>
      <c r="X213" s="8"/>
      <c r="Y213" s="8"/>
      <c r="Z213" s="22"/>
      <c r="AA213" s="1"/>
      <c r="AB213" s="23"/>
      <c r="AC213" s="6">
        <v>45537</v>
      </c>
      <c r="AD213" s="52"/>
    </row>
    <row r="214" spans="1:30" s="53" customFormat="1" x14ac:dyDescent="0.25">
      <c r="A214" s="4"/>
      <c r="B214" s="4">
        <v>45552</v>
      </c>
      <c r="C214" s="6" t="s">
        <v>1693</v>
      </c>
      <c r="D214" s="6" t="s">
        <v>1892</v>
      </c>
      <c r="E214" s="6" t="s">
        <v>501</v>
      </c>
      <c r="F214" s="1" t="s">
        <v>502</v>
      </c>
      <c r="G214" s="8">
        <v>3</v>
      </c>
      <c r="H214" s="8">
        <v>3</v>
      </c>
      <c r="I214" s="115">
        <f>Table223[[#This Row],[Qty]]-Table223[[#This Row],[Issue Qty]]</f>
        <v>0</v>
      </c>
      <c r="J214" s="5">
        <v>28200</v>
      </c>
      <c r="K214" s="5">
        <f t="shared" si="9"/>
        <v>84600</v>
      </c>
      <c r="L214" s="11">
        <v>0.05</v>
      </c>
      <c r="M214" s="9">
        <f t="shared" si="10"/>
        <v>4230</v>
      </c>
      <c r="N214" s="5">
        <v>0</v>
      </c>
      <c r="O214" s="5"/>
      <c r="P214" s="5">
        <f t="shared" si="11"/>
        <v>88830</v>
      </c>
      <c r="Q214" s="1" t="s">
        <v>554</v>
      </c>
      <c r="R214" s="1" t="s">
        <v>1910</v>
      </c>
      <c r="S214" s="1" t="s">
        <v>290</v>
      </c>
      <c r="T214" s="1" t="s">
        <v>1911</v>
      </c>
      <c r="U214" s="6">
        <v>45549</v>
      </c>
      <c r="V214" s="2"/>
      <c r="W214" s="21"/>
      <c r="X214" s="21"/>
      <c r="Y214" s="21">
        <v>3</v>
      </c>
      <c r="Z214" s="12" t="s">
        <v>2945</v>
      </c>
      <c r="AA214" s="2"/>
      <c r="AB214" s="23"/>
      <c r="AC214" s="2"/>
      <c r="AD214" s="52"/>
    </row>
    <row r="215" spans="1:30" s="53" customFormat="1" x14ac:dyDescent="0.25">
      <c r="A215" s="4"/>
      <c r="B215" s="4">
        <v>45552</v>
      </c>
      <c r="C215" s="6" t="s">
        <v>1683</v>
      </c>
      <c r="D215" s="6" t="s">
        <v>1779</v>
      </c>
      <c r="E215" s="6" t="s">
        <v>264</v>
      </c>
      <c r="F215" s="1" t="s">
        <v>555</v>
      </c>
      <c r="G215" s="8">
        <v>2</v>
      </c>
      <c r="H215" s="8"/>
      <c r="I215" s="115">
        <f>Table223[[#This Row],[Qty]]-Table223[[#This Row],[Issue Qty]]</f>
        <v>2</v>
      </c>
      <c r="J215" s="5">
        <v>237.29</v>
      </c>
      <c r="K215" s="5">
        <f t="shared" si="9"/>
        <v>474.58</v>
      </c>
      <c r="L215" s="11">
        <v>0.18</v>
      </c>
      <c r="M215" s="9">
        <f t="shared" si="10"/>
        <v>85.424399999999991</v>
      </c>
      <c r="N215" s="5">
        <f t="shared" ref="N215:N220" si="12">1027/25</f>
        <v>41.08</v>
      </c>
      <c r="O215" s="5"/>
      <c r="P215" s="5">
        <f t="shared" si="11"/>
        <v>601.08440000000007</v>
      </c>
      <c r="Q215" s="1" t="s">
        <v>554</v>
      </c>
      <c r="R215" s="1" t="s">
        <v>331</v>
      </c>
      <c r="S215" s="1" t="s">
        <v>243</v>
      </c>
      <c r="T215" s="1" t="s">
        <v>1912</v>
      </c>
      <c r="U215" s="6">
        <v>45551</v>
      </c>
      <c r="V215" s="2"/>
      <c r="W215" s="21" t="s">
        <v>72</v>
      </c>
      <c r="X215" s="21" t="s">
        <v>117</v>
      </c>
      <c r="Y215" s="21"/>
      <c r="Z215" s="12"/>
      <c r="AA215" s="2"/>
      <c r="AB215" s="23"/>
      <c r="AC215" s="2"/>
      <c r="AD215" s="52"/>
    </row>
    <row r="216" spans="1:30" s="53" customFormat="1" ht="30" x14ac:dyDescent="0.25">
      <c r="A216" s="4"/>
      <c r="B216" s="4">
        <v>45552</v>
      </c>
      <c r="C216" s="6" t="s">
        <v>1693</v>
      </c>
      <c r="D216" s="6" t="s">
        <v>1913</v>
      </c>
      <c r="E216" s="6" t="s">
        <v>556</v>
      </c>
      <c r="F216" s="1" t="s">
        <v>557</v>
      </c>
      <c r="G216" s="8">
        <v>1</v>
      </c>
      <c r="H216" s="8">
        <v>1</v>
      </c>
      <c r="I216" s="115">
        <f>Table223[[#This Row],[Qty]]-Table223[[#This Row],[Issue Qty]]</f>
        <v>0</v>
      </c>
      <c r="J216" s="5">
        <v>492.79</v>
      </c>
      <c r="K216" s="5">
        <f t="shared" si="9"/>
        <v>492.79</v>
      </c>
      <c r="L216" s="11">
        <v>0.18</v>
      </c>
      <c r="M216" s="9">
        <f t="shared" si="10"/>
        <v>88.702200000000005</v>
      </c>
      <c r="N216" s="5">
        <f t="shared" si="12"/>
        <v>41.08</v>
      </c>
      <c r="O216" s="5"/>
      <c r="P216" s="5">
        <f t="shared" si="11"/>
        <v>622.57220000000007</v>
      </c>
      <c r="Q216" s="1" t="s">
        <v>554</v>
      </c>
      <c r="R216" s="1" t="s">
        <v>1914</v>
      </c>
      <c r="S216" s="1" t="s">
        <v>243</v>
      </c>
      <c r="T216" s="1" t="s">
        <v>1912</v>
      </c>
      <c r="U216" s="6">
        <v>45551</v>
      </c>
      <c r="V216" s="2"/>
      <c r="W216" s="21" t="s">
        <v>89</v>
      </c>
      <c r="X216" s="21" t="s">
        <v>114</v>
      </c>
      <c r="Y216" s="21">
        <v>1</v>
      </c>
      <c r="Z216" s="12" t="s">
        <v>81</v>
      </c>
      <c r="AA216" s="2"/>
      <c r="AB216" s="23"/>
      <c r="AC216" s="2"/>
      <c r="AD216" s="52"/>
    </row>
    <row r="217" spans="1:30" s="53" customFormat="1" ht="30" x14ac:dyDescent="0.25">
      <c r="A217" s="4"/>
      <c r="B217" s="4">
        <v>45552</v>
      </c>
      <c r="C217" s="6" t="s">
        <v>1683</v>
      </c>
      <c r="D217" s="26" t="s">
        <v>1915</v>
      </c>
      <c r="E217" s="26" t="s">
        <v>558</v>
      </c>
      <c r="F217" s="1" t="s">
        <v>558</v>
      </c>
      <c r="G217" s="8">
        <v>7</v>
      </c>
      <c r="H217" s="8"/>
      <c r="I217" s="115">
        <f>Table223[[#This Row],[Qty]]-Table223[[#This Row],[Issue Qty]]</f>
        <v>7</v>
      </c>
      <c r="J217" s="5">
        <v>46.398000000000003</v>
      </c>
      <c r="K217" s="5">
        <f t="shared" si="9"/>
        <v>324.786</v>
      </c>
      <c r="L217" s="11">
        <v>0.18</v>
      </c>
      <c r="M217" s="9">
        <f t="shared" si="10"/>
        <v>58.461479999999995</v>
      </c>
      <c r="N217" s="5">
        <f t="shared" si="12"/>
        <v>41.08</v>
      </c>
      <c r="O217" s="5"/>
      <c r="P217" s="5">
        <f t="shared" si="11"/>
        <v>424.32747999999998</v>
      </c>
      <c r="Q217" s="1" t="s">
        <v>554</v>
      </c>
      <c r="R217" s="1" t="s">
        <v>1914</v>
      </c>
      <c r="S217" s="1" t="s">
        <v>243</v>
      </c>
      <c r="T217" s="1" t="s">
        <v>1912</v>
      </c>
      <c r="U217" s="1"/>
      <c r="V217" s="1"/>
      <c r="W217" s="21" t="s">
        <v>107</v>
      </c>
      <c r="X217" s="21" t="s">
        <v>496</v>
      </c>
      <c r="Y217" s="8"/>
      <c r="Z217" s="22"/>
      <c r="AA217" s="1"/>
      <c r="AB217" s="23"/>
      <c r="AC217" s="6">
        <v>45551</v>
      </c>
      <c r="AD217" s="52"/>
    </row>
    <row r="218" spans="1:30" s="53" customFormat="1" ht="30" x14ac:dyDescent="0.25">
      <c r="A218" s="4"/>
      <c r="B218" s="4">
        <v>45552</v>
      </c>
      <c r="C218" s="6" t="s">
        <v>1683</v>
      </c>
      <c r="D218" s="26" t="s">
        <v>1916</v>
      </c>
      <c r="E218" s="175" t="s">
        <v>559</v>
      </c>
      <c r="F218" s="1" t="s">
        <v>559</v>
      </c>
      <c r="G218" s="8">
        <v>10</v>
      </c>
      <c r="H218" s="8">
        <f>5+5</f>
        <v>10</v>
      </c>
      <c r="I218" s="115">
        <f>Table223[[#This Row],[Qty]]-Table223[[#This Row],[Issue Qty]]</f>
        <v>0</v>
      </c>
      <c r="J218" s="5">
        <v>59.11</v>
      </c>
      <c r="K218" s="5">
        <f t="shared" si="9"/>
        <v>591.1</v>
      </c>
      <c r="L218" s="82">
        <v>0.18</v>
      </c>
      <c r="M218" s="9">
        <f t="shared" si="10"/>
        <v>106.398</v>
      </c>
      <c r="N218" s="5">
        <f t="shared" si="12"/>
        <v>41.08</v>
      </c>
      <c r="O218" s="5"/>
      <c r="P218" s="5">
        <f t="shared" si="11"/>
        <v>738.57800000000009</v>
      </c>
      <c r="Q218" s="1" t="s">
        <v>554</v>
      </c>
      <c r="R218" s="1" t="s">
        <v>1914</v>
      </c>
      <c r="S218" s="1" t="s">
        <v>243</v>
      </c>
      <c r="T218" s="1" t="s">
        <v>1912</v>
      </c>
      <c r="U218" s="1"/>
      <c r="V218" s="1"/>
      <c r="W218" s="21" t="s">
        <v>107</v>
      </c>
      <c r="X218" s="21" t="s">
        <v>496</v>
      </c>
      <c r="Y218" s="8"/>
      <c r="Z218" s="22"/>
      <c r="AA218" s="1"/>
      <c r="AB218" s="23"/>
      <c r="AC218" s="6">
        <v>45551</v>
      </c>
      <c r="AD218" s="52"/>
    </row>
    <row r="219" spans="1:30" s="53" customFormat="1" x14ac:dyDescent="0.25">
      <c r="A219" s="4"/>
      <c r="B219" s="4">
        <v>45552</v>
      </c>
      <c r="C219" s="6" t="s">
        <v>1683</v>
      </c>
      <c r="D219" s="6" t="s">
        <v>1827</v>
      </c>
      <c r="E219" s="6" t="s">
        <v>351</v>
      </c>
      <c r="F219" s="1" t="s">
        <v>351</v>
      </c>
      <c r="G219" s="8">
        <v>2</v>
      </c>
      <c r="H219" s="8"/>
      <c r="I219" s="115">
        <f>Table223[[#This Row],[Qty]]-Table223[[#This Row],[Issue Qty]]</f>
        <v>2</v>
      </c>
      <c r="J219" s="5">
        <v>1483.05</v>
      </c>
      <c r="K219" s="5">
        <f t="shared" si="9"/>
        <v>2966.1</v>
      </c>
      <c r="L219" s="82">
        <v>0.18</v>
      </c>
      <c r="M219" s="9">
        <f t="shared" si="10"/>
        <v>533.89799999999991</v>
      </c>
      <c r="N219" s="5">
        <f t="shared" si="12"/>
        <v>41.08</v>
      </c>
      <c r="O219" s="5"/>
      <c r="P219" s="5">
        <f t="shared" si="11"/>
        <v>3541.0779999999995</v>
      </c>
      <c r="Q219" s="1" t="s">
        <v>554</v>
      </c>
      <c r="R219" s="1" t="s">
        <v>331</v>
      </c>
      <c r="S219" s="1" t="s">
        <v>243</v>
      </c>
      <c r="T219" s="1" t="s">
        <v>1912</v>
      </c>
      <c r="U219" s="1"/>
      <c r="V219" s="1"/>
      <c r="W219" s="21" t="s">
        <v>72</v>
      </c>
      <c r="X219" s="21" t="s">
        <v>352</v>
      </c>
      <c r="Y219" s="8"/>
      <c r="Z219" s="22"/>
      <c r="AA219" s="1"/>
      <c r="AB219" s="23" t="s">
        <v>353</v>
      </c>
      <c r="AC219" s="6">
        <v>45551</v>
      </c>
      <c r="AD219" s="52"/>
    </row>
    <row r="220" spans="1:30" s="53" customFormat="1" x14ac:dyDescent="0.25">
      <c r="A220" s="4"/>
      <c r="B220" s="4">
        <v>45552</v>
      </c>
      <c r="C220" s="6" t="s">
        <v>1693</v>
      </c>
      <c r="D220" s="6" t="s">
        <v>1917</v>
      </c>
      <c r="E220" s="6" t="s">
        <v>560</v>
      </c>
      <c r="F220" s="1" t="s">
        <v>560</v>
      </c>
      <c r="G220" s="8">
        <v>2</v>
      </c>
      <c r="H220" s="8"/>
      <c r="I220" s="115">
        <f>Table223[[#This Row],[Qty]]-Table223[[#This Row],[Issue Qty]]</f>
        <v>2</v>
      </c>
      <c r="J220" s="5">
        <v>1126.7349999999999</v>
      </c>
      <c r="K220" s="5">
        <f t="shared" si="9"/>
        <v>2253.4699999999998</v>
      </c>
      <c r="L220" s="82">
        <v>0.05</v>
      </c>
      <c r="M220" s="9">
        <f t="shared" si="10"/>
        <v>112.67349999999999</v>
      </c>
      <c r="N220" s="5">
        <f t="shared" si="12"/>
        <v>41.08</v>
      </c>
      <c r="O220" s="5"/>
      <c r="P220" s="5">
        <f t="shared" si="11"/>
        <v>2407.2234999999996</v>
      </c>
      <c r="Q220" s="1" t="s">
        <v>554</v>
      </c>
      <c r="R220" s="1" t="s">
        <v>331</v>
      </c>
      <c r="S220" s="1" t="s">
        <v>243</v>
      </c>
      <c r="T220" s="1" t="s">
        <v>1912</v>
      </c>
      <c r="U220" s="1"/>
      <c r="V220" s="1"/>
      <c r="W220" s="21" t="s">
        <v>72</v>
      </c>
      <c r="X220" s="21" t="s">
        <v>262</v>
      </c>
      <c r="Y220" s="8"/>
      <c r="Z220" s="22"/>
      <c r="AA220" s="1"/>
      <c r="AB220" s="23" t="s">
        <v>561</v>
      </c>
      <c r="AC220" s="6">
        <v>45551</v>
      </c>
      <c r="AD220" s="52"/>
    </row>
    <row r="221" spans="1:30" s="53" customFormat="1" ht="30" x14ac:dyDescent="0.25">
      <c r="A221" s="4"/>
      <c r="B221" s="4">
        <v>45553</v>
      </c>
      <c r="C221" s="6" t="s">
        <v>1693</v>
      </c>
      <c r="D221" s="6" t="s">
        <v>1918</v>
      </c>
      <c r="E221" s="6" t="s">
        <v>562</v>
      </c>
      <c r="F221" s="1" t="s">
        <v>563</v>
      </c>
      <c r="G221" s="8">
        <v>2</v>
      </c>
      <c r="H221" s="8">
        <f>1+1</f>
        <v>2</v>
      </c>
      <c r="I221" s="115">
        <f>Table223[[#This Row],[Qty]]-Table223[[#This Row],[Issue Qty]]</f>
        <v>0</v>
      </c>
      <c r="J221" s="5">
        <v>181</v>
      </c>
      <c r="K221" s="5">
        <f t="shared" si="9"/>
        <v>362</v>
      </c>
      <c r="L221" s="82">
        <v>0.18</v>
      </c>
      <c r="M221" s="9">
        <f t="shared" si="10"/>
        <v>65.16</v>
      </c>
      <c r="N221" s="5">
        <v>120.36</v>
      </c>
      <c r="O221" s="5"/>
      <c r="P221" s="5">
        <f t="shared" si="11"/>
        <v>547.52</v>
      </c>
      <c r="Q221" s="1" t="s">
        <v>554</v>
      </c>
      <c r="R221" s="1" t="s">
        <v>1878</v>
      </c>
      <c r="S221" s="1" t="s">
        <v>564</v>
      </c>
      <c r="T221" s="1" t="s">
        <v>1919</v>
      </c>
      <c r="U221" s="6">
        <v>45552</v>
      </c>
      <c r="V221" s="2"/>
      <c r="W221" s="21" t="s">
        <v>89</v>
      </c>
      <c r="X221" s="21" t="s">
        <v>114</v>
      </c>
      <c r="Y221" s="21">
        <v>1</v>
      </c>
      <c r="Z221" s="12" t="s">
        <v>2900</v>
      </c>
      <c r="AA221" s="2"/>
      <c r="AB221" s="23"/>
      <c r="AC221" s="2"/>
      <c r="AD221" s="52"/>
    </row>
    <row r="222" spans="1:30" s="53" customFormat="1" x14ac:dyDescent="0.25">
      <c r="A222" s="4"/>
      <c r="B222" s="4">
        <v>45554</v>
      </c>
      <c r="C222" s="6" t="s">
        <v>1693</v>
      </c>
      <c r="D222" s="6" t="s">
        <v>1831</v>
      </c>
      <c r="E222" s="6" t="s">
        <v>379</v>
      </c>
      <c r="F222" s="1" t="s">
        <v>380</v>
      </c>
      <c r="G222" s="8">
        <v>5</v>
      </c>
      <c r="H222" s="8">
        <v>5</v>
      </c>
      <c r="I222" s="115">
        <f>Table223[[#This Row],[Qty]]-Table223[[#This Row],[Issue Qty]]</f>
        <v>0</v>
      </c>
      <c r="J222" s="5">
        <v>671.78</v>
      </c>
      <c r="K222" s="5">
        <f t="shared" si="9"/>
        <v>3358.8999999999996</v>
      </c>
      <c r="L222" s="82">
        <v>0.05</v>
      </c>
      <c r="M222" s="9">
        <f t="shared" si="10"/>
        <v>167.94499999999999</v>
      </c>
      <c r="N222" s="5">
        <v>0</v>
      </c>
      <c r="O222" s="5"/>
      <c r="P222" s="5">
        <f t="shared" si="11"/>
        <v>3526.8449999999998</v>
      </c>
      <c r="Q222" s="1" t="s">
        <v>554</v>
      </c>
      <c r="R222" s="1" t="s">
        <v>1910</v>
      </c>
      <c r="S222" s="1" t="s">
        <v>243</v>
      </c>
      <c r="T222" s="1" t="s">
        <v>1920</v>
      </c>
      <c r="U222" s="6">
        <v>45555</v>
      </c>
      <c r="V222" s="2"/>
      <c r="W222" s="21" t="s">
        <v>72</v>
      </c>
      <c r="X222" s="21" t="s">
        <v>262</v>
      </c>
      <c r="Y222" s="21">
        <v>5</v>
      </c>
      <c r="Z222" s="12" t="s">
        <v>3414</v>
      </c>
      <c r="AA222" s="2"/>
      <c r="AB222" s="23" t="s">
        <v>382</v>
      </c>
      <c r="AC222" s="2"/>
      <c r="AD222" s="52"/>
    </row>
    <row r="223" spans="1:30" s="53" customFormat="1" ht="30" x14ac:dyDescent="0.25">
      <c r="A223" s="4"/>
      <c r="B223" s="4">
        <v>45555</v>
      </c>
      <c r="C223" s="6" t="s">
        <v>1695</v>
      </c>
      <c r="D223" s="26" t="s">
        <v>1834</v>
      </c>
      <c r="E223" s="26" t="s">
        <v>385</v>
      </c>
      <c r="F223" s="1" t="s">
        <v>565</v>
      </c>
      <c r="G223" s="8">
        <v>2</v>
      </c>
      <c r="H223" s="8"/>
      <c r="I223" s="115">
        <f>Table223[[#This Row],[Qty]]-Table223[[#This Row],[Issue Qty]]</f>
        <v>2</v>
      </c>
      <c r="J223" s="5">
        <v>19900</v>
      </c>
      <c r="K223" s="5">
        <f t="shared" si="9"/>
        <v>39800</v>
      </c>
      <c r="L223" s="82">
        <v>0.18</v>
      </c>
      <c r="M223" s="9">
        <f t="shared" si="10"/>
        <v>7164</v>
      </c>
      <c r="N223" s="5">
        <v>0</v>
      </c>
      <c r="O223" s="5"/>
      <c r="P223" s="5">
        <f t="shared" si="11"/>
        <v>46964</v>
      </c>
      <c r="Q223" s="1" t="s">
        <v>554</v>
      </c>
      <c r="R223" s="1" t="s">
        <v>331</v>
      </c>
      <c r="S223" s="1" t="s">
        <v>387</v>
      </c>
      <c r="T223" s="1" t="s">
        <v>1921</v>
      </c>
      <c r="U223" s="1"/>
      <c r="V223" s="1"/>
      <c r="W223" s="21" t="s">
        <v>388</v>
      </c>
      <c r="X223" s="8"/>
      <c r="Y223" s="8"/>
      <c r="Z223" s="22"/>
      <c r="AA223" s="1"/>
      <c r="AB223" s="23"/>
      <c r="AC223" s="6">
        <v>45551</v>
      </c>
      <c r="AD223" s="52"/>
    </row>
    <row r="224" spans="1:30" s="53" customFormat="1" x14ac:dyDescent="0.25">
      <c r="A224" s="4"/>
      <c r="B224" s="4">
        <v>45558</v>
      </c>
      <c r="C224" s="6" t="s">
        <v>1693</v>
      </c>
      <c r="D224" s="6" t="s">
        <v>1922</v>
      </c>
      <c r="E224" s="6" t="s">
        <v>566</v>
      </c>
      <c r="F224" s="1" t="s">
        <v>567</v>
      </c>
      <c r="G224" s="8">
        <v>5</v>
      </c>
      <c r="H224" s="8"/>
      <c r="I224" s="115">
        <f>Table223[[#This Row],[Qty]]-Table223[[#This Row],[Issue Qty]]</f>
        <v>5</v>
      </c>
      <c r="J224" s="5">
        <v>65250</v>
      </c>
      <c r="K224" s="5">
        <f t="shared" si="9"/>
        <v>326250</v>
      </c>
      <c r="L224" s="82">
        <v>0.05</v>
      </c>
      <c r="M224" s="9">
        <f t="shared" si="10"/>
        <v>16312.5</v>
      </c>
      <c r="N224" s="5">
        <v>0</v>
      </c>
      <c r="O224" s="5"/>
      <c r="P224" s="5">
        <f t="shared" si="11"/>
        <v>342562.5</v>
      </c>
      <c r="Q224" s="1" t="s">
        <v>554</v>
      </c>
      <c r="R224" s="1" t="s">
        <v>331</v>
      </c>
      <c r="S224" s="1" t="s">
        <v>290</v>
      </c>
      <c r="T224" s="1" t="s">
        <v>1923</v>
      </c>
      <c r="U224" s="1"/>
      <c r="V224" s="1"/>
      <c r="W224" s="8" t="s">
        <v>52</v>
      </c>
      <c r="X224" s="8" t="s">
        <v>568</v>
      </c>
      <c r="Y224" s="8"/>
      <c r="Z224" s="22"/>
      <c r="AA224" s="1"/>
      <c r="AB224" s="23"/>
      <c r="AC224" s="6">
        <v>45555</v>
      </c>
      <c r="AD224" s="52"/>
    </row>
    <row r="225" spans="1:30" s="53" customFormat="1" x14ac:dyDescent="0.25">
      <c r="A225" s="4"/>
      <c r="B225" s="4">
        <v>45559</v>
      </c>
      <c r="C225" s="6" t="s">
        <v>1693</v>
      </c>
      <c r="D225" s="6" t="s">
        <v>1924</v>
      </c>
      <c r="E225" s="6" t="s">
        <v>569</v>
      </c>
      <c r="F225" s="1" t="s">
        <v>570</v>
      </c>
      <c r="G225" s="8">
        <v>1</v>
      </c>
      <c r="H225" s="8"/>
      <c r="I225" s="115">
        <f>Table223[[#This Row],[Qty]]-Table223[[#This Row],[Issue Qty]]</f>
        <v>1</v>
      </c>
      <c r="J225" s="5">
        <v>114250</v>
      </c>
      <c r="K225" s="5">
        <f t="shared" si="9"/>
        <v>114250</v>
      </c>
      <c r="L225" s="82">
        <v>0.18</v>
      </c>
      <c r="M225" s="9">
        <f t="shared" si="10"/>
        <v>20565</v>
      </c>
      <c r="N225" s="5">
        <v>0</v>
      </c>
      <c r="O225" s="5"/>
      <c r="P225" s="5">
        <f t="shared" si="11"/>
        <v>134815</v>
      </c>
      <c r="Q225" s="1" t="s">
        <v>554</v>
      </c>
      <c r="R225" s="1" t="s">
        <v>331</v>
      </c>
      <c r="S225" s="1" t="s">
        <v>440</v>
      </c>
      <c r="T225" s="1" t="s">
        <v>1925</v>
      </c>
      <c r="U225" s="6">
        <v>45559</v>
      </c>
      <c r="V225" s="2"/>
      <c r="W225" s="21" t="s">
        <v>388</v>
      </c>
      <c r="X225" s="21"/>
      <c r="Y225" s="21"/>
      <c r="Z225" s="12"/>
      <c r="AA225" s="2"/>
      <c r="AB225" s="23"/>
      <c r="AC225" s="2"/>
      <c r="AD225" s="52"/>
    </row>
    <row r="226" spans="1:30" s="53" customFormat="1" x14ac:dyDescent="0.25">
      <c r="A226" s="4"/>
      <c r="B226" s="4">
        <v>45559</v>
      </c>
      <c r="C226" s="6" t="s">
        <v>1693</v>
      </c>
      <c r="D226" s="26" t="s">
        <v>1924</v>
      </c>
      <c r="E226" s="26" t="s">
        <v>569</v>
      </c>
      <c r="F226" s="1" t="s">
        <v>570</v>
      </c>
      <c r="G226" s="8">
        <v>1</v>
      </c>
      <c r="H226" s="8"/>
      <c r="I226" s="115">
        <f>Table223[[#This Row],[Qty]]-Table223[[#This Row],[Issue Qty]]</f>
        <v>1</v>
      </c>
      <c r="J226" s="5">
        <v>114250</v>
      </c>
      <c r="K226" s="5">
        <f t="shared" si="9"/>
        <v>114250</v>
      </c>
      <c r="L226" s="82">
        <v>0.18</v>
      </c>
      <c r="M226" s="9">
        <f t="shared" si="10"/>
        <v>20565</v>
      </c>
      <c r="N226" s="5">
        <v>0</v>
      </c>
      <c r="O226" s="5"/>
      <c r="P226" s="5">
        <f t="shared" si="11"/>
        <v>134815</v>
      </c>
      <c r="Q226" s="1" t="s">
        <v>554</v>
      </c>
      <c r="R226" s="1" t="s">
        <v>331</v>
      </c>
      <c r="S226" s="1" t="s">
        <v>440</v>
      </c>
      <c r="T226" s="1" t="s">
        <v>1925</v>
      </c>
      <c r="U226" s="1"/>
      <c r="V226" s="1"/>
      <c r="W226" s="21" t="s">
        <v>388</v>
      </c>
      <c r="X226" s="8"/>
      <c r="Y226" s="8"/>
      <c r="Z226" s="22"/>
      <c r="AA226" s="1"/>
      <c r="AB226" s="23"/>
      <c r="AC226" s="6">
        <v>45559</v>
      </c>
      <c r="AD226" s="52"/>
    </row>
    <row r="227" spans="1:30" s="53" customFormat="1" ht="30" x14ac:dyDescent="0.25">
      <c r="A227" s="4"/>
      <c r="B227" s="4">
        <v>45560</v>
      </c>
      <c r="C227" s="6" t="s">
        <v>1693</v>
      </c>
      <c r="D227" s="26" t="s">
        <v>1916</v>
      </c>
      <c r="E227" s="175" t="s">
        <v>559</v>
      </c>
      <c r="F227" s="1" t="s">
        <v>559</v>
      </c>
      <c r="G227" s="8">
        <v>4</v>
      </c>
      <c r="H227" s="8">
        <v>4</v>
      </c>
      <c r="I227" s="115">
        <f>Table223[[#This Row],[Qty]]-Table223[[#This Row],[Issue Qty]]</f>
        <v>0</v>
      </c>
      <c r="J227" s="5">
        <v>59.1175</v>
      </c>
      <c r="K227" s="5">
        <f t="shared" si="9"/>
        <v>236.47</v>
      </c>
      <c r="L227" s="82">
        <v>0.18</v>
      </c>
      <c r="M227" s="9">
        <f t="shared" si="10"/>
        <v>42.564599999999999</v>
      </c>
      <c r="N227" s="5">
        <f>162/9</f>
        <v>18</v>
      </c>
      <c r="O227" s="5"/>
      <c r="P227" s="5">
        <f t="shared" si="11"/>
        <v>297.03460000000001</v>
      </c>
      <c r="Q227" s="1" t="s">
        <v>554</v>
      </c>
      <c r="R227" s="1" t="s">
        <v>1742</v>
      </c>
      <c r="S227" s="1" t="s">
        <v>243</v>
      </c>
      <c r="T227" s="1" t="s">
        <v>1926</v>
      </c>
      <c r="U227" s="1"/>
      <c r="V227" s="1"/>
      <c r="W227" s="21" t="s">
        <v>107</v>
      </c>
      <c r="X227" s="21" t="s">
        <v>496</v>
      </c>
      <c r="Y227" s="8"/>
      <c r="Z227" s="22"/>
      <c r="AA227" s="1"/>
      <c r="AB227" s="23"/>
      <c r="AC227" s="6">
        <v>45559</v>
      </c>
      <c r="AD227" s="52"/>
    </row>
    <row r="228" spans="1:30" s="53" customFormat="1" x14ac:dyDescent="0.25">
      <c r="A228" s="4"/>
      <c r="B228" s="4">
        <v>45560</v>
      </c>
      <c r="C228" s="6" t="s">
        <v>1693</v>
      </c>
      <c r="D228" s="26" t="s">
        <v>1927</v>
      </c>
      <c r="E228" s="26" t="s">
        <v>571</v>
      </c>
      <c r="F228" s="1" t="s">
        <v>572</v>
      </c>
      <c r="G228" s="8">
        <v>2</v>
      </c>
      <c r="H228" s="8"/>
      <c r="I228" s="115">
        <f>Table223[[#This Row],[Qty]]-Table223[[#This Row],[Issue Qty]]</f>
        <v>2</v>
      </c>
      <c r="J228" s="5">
        <v>872.99</v>
      </c>
      <c r="K228" s="5">
        <f t="shared" si="9"/>
        <v>1745.98</v>
      </c>
      <c r="L228" s="82">
        <v>0.18</v>
      </c>
      <c r="M228" s="9">
        <f t="shared" si="10"/>
        <v>314.27639999999997</v>
      </c>
      <c r="N228" s="5">
        <f>162/9</f>
        <v>18</v>
      </c>
      <c r="O228" s="5"/>
      <c r="P228" s="5">
        <f t="shared" si="11"/>
        <v>2078.2564000000002</v>
      </c>
      <c r="Q228" s="1" t="s">
        <v>554</v>
      </c>
      <c r="R228" s="1" t="s">
        <v>1742</v>
      </c>
      <c r="S228" s="1" t="s">
        <v>243</v>
      </c>
      <c r="T228" s="1" t="s">
        <v>1926</v>
      </c>
      <c r="U228" s="1"/>
      <c r="V228" s="1"/>
      <c r="W228" s="21" t="s">
        <v>573</v>
      </c>
      <c r="X228" s="21"/>
      <c r="Y228" s="8"/>
      <c r="Z228" s="22"/>
      <c r="AA228" s="1"/>
      <c r="AB228" s="23"/>
      <c r="AC228" s="6">
        <v>45559</v>
      </c>
      <c r="AD228" s="52"/>
    </row>
    <row r="229" spans="1:30" s="53" customFormat="1" x14ac:dyDescent="0.25">
      <c r="A229" s="4"/>
      <c r="B229" s="4">
        <v>45560</v>
      </c>
      <c r="C229" s="6" t="s">
        <v>1693</v>
      </c>
      <c r="D229" s="26" t="s">
        <v>1900</v>
      </c>
      <c r="E229" s="26" t="s">
        <v>532</v>
      </c>
      <c r="F229" s="1" t="s">
        <v>532</v>
      </c>
      <c r="G229" s="8">
        <v>3</v>
      </c>
      <c r="H229" s="8"/>
      <c r="I229" s="115">
        <f>Table223[[#This Row],[Qty]]-Table223[[#This Row],[Issue Qty]]</f>
        <v>3</v>
      </c>
      <c r="J229" s="5">
        <v>541.495</v>
      </c>
      <c r="K229" s="5">
        <f t="shared" si="9"/>
        <v>1624.4850000000001</v>
      </c>
      <c r="L229" s="82">
        <v>0.05</v>
      </c>
      <c r="M229" s="9">
        <f t="shared" si="10"/>
        <v>81.224250000000012</v>
      </c>
      <c r="N229" s="5">
        <f>162/9</f>
        <v>18</v>
      </c>
      <c r="O229" s="5"/>
      <c r="P229" s="5">
        <f t="shared" si="11"/>
        <v>1723.7092500000001</v>
      </c>
      <c r="Q229" s="1" t="s">
        <v>554</v>
      </c>
      <c r="R229" s="1" t="s">
        <v>1742</v>
      </c>
      <c r="S229" s="1" t="s">
        <v>243</v>
      </c>
      <c r="T229" s="1" t="s">
        <v>1926</v>
      </c>
      <c r="U229" s="1"/>
      <c r="V229" s="1"/>
      <c r="W229" s="8" t="s">
        <v>89</v>
      </c>
      <c r="X229" s="21" t="s">
        <v>262</v>
      </c>
      <c r="Y229" s="8"/>
      <c r="Z229" s="22"/>
      <c r="AA229" s="1"/>
      <c r="AB229" s="23"/>
      <c r="AC229" s="6">
        <v>45559</v>
      </c>
      <c r="AD229" s="52"/>
    </row>
    <row r="230" spans="1:30" s="53" customFormat="1" x14ac:dyDescent="0.25">
      <c r="A230" s="4"/>
      <c r="B230" s="4">
        <v>45561</v>
      </c>
      <c r="C230" s="6" t="s">
        <v>54</v>
      </c>
      <c r="D230" s="6" t="s">
        <v>1928</v>
      </c>
      <c r="E230" s="6" t="s">
        <v>574</v>
      </c>
      <c r="F230" s="1" t="s">
        <v>575</v>
      </c>
      <c r="G230" s="8">
        <v>6</v>
      </c>
      <c r="H230" s="8">
        <v>6</v>
      </c>
      <c r="I230" s="115">
        <f>Table223[[#This Row],[Qty]]-Table223[[#This Row],[Issue Qty]]</f>
        <v>0</v>
      </c>
      <c r="J230" s="5">
        <v>2600</v>
      </c>
      <c r="K230" s="5">
        <f t="shared" si="9"/>
        <v>15600</v>
      </c>
      <c r="L230" s="82">
        <v>0.18</v>
      </c>
      <c r="M230" s="9">
        <f t="shared" si="10"/>
        <v>2808</v>
      </c>
      <c r="N230" s="5">
        <v>0</v>
      </c>
      <c r="O230" s="5"/>
      <c r="P230" s="5">
        <f t="shared" si="11"/>
        <v>18408</v>
      </c>
      <c r="Q230" s="1" t="s">
        <v>554</v>
      </c>
      <c r="R230" s="1" t="s">
        <v>1929</v>
      </c>
      <c r="S230" s="1" t="s">
        <v>440</v>
      </c>
      <c r="T230" s="1" t="s">
        <v>1930</v>
      </c>
      <c r="U230" s="6">
        <v>45565</v>
      </c>
      <c r="V230" s="2"/>
      <c r="W230" s="21" t="s">
        <v>650</v>
      </c>
      <c r="X230" s="21"/>
      <c r="Y230" s="21">
        <v>6</v>
      </c>
      <c r="Z230" s="12" t="s">
        <v>509</v>
      </c>
      <c r="AA230" s="2"/>
      <c r="AB230" s="23"/>
      <c r="AC230" s="2"/>
      <c r="AD230" s="52"/>
    </row>
    <row r="231" spans="1:30" s="53" customFormat="1" x14ac:dyDescent="0.25">
      <c r="A231" s="4"/>
      <c r="B231" s="4">
        <v>45565</v>
      </c>
      <c r="C231" s="6" t="s">
        <v>1683</v>
      </c>
      <c r="D231" s="6" t="s">
        <v>1931</v>
      </c>
      <c r="E231" s="6" t="s">
        <v>576</v>
      </c>
      <c r="F231" s="1" t="s">
        <v>577</v>
      </c>
      <c r="G231" s="8">
        <v>4</v>
      </c>
      <c r="H231" s="8">
        <v>4</v>
      </c>
      <c r="I231" s="115">
        <f>Table223[[#This Row],[Qty]]-Table223[[#This Row],[Issue Qty]]</f>
        <v>0</v>
      </c>
      <c r="J231" s="5">
        <v>7485</v>
      </c>
      <c r="K231" s="5">
        <f t="shared" si="9"/>
        <v>29940</v>
      </c>
      <c r="L231" s="82">
        <v>0.18</v>
      </c>
      <c r="M231" s="9">
        <f t="shared" si="10"/>
        <v>5389.2</v>
      </c>
      <c r="N231" s="5">
        <v>0</v>
      </c>
      <c r="O231" s="5"/>
      <c r="P231" s="5">
        <f t="shared" si="11"/>
        <v>35329.199999999997</v>
      </c>
      <c r="Q231" s="1" t="s">
        <v>554</v>
      </c>
      <c r="R231" s="1" t="s">
        <v>1742</v>
      </c>
      <c r="S231" s="1" t="s">
        <v>290</v>
      </c>
      <c r="T231" s="1" t="s">
        <v>1932</v>
      </c>
      <c r="U231" s="6">
        <v>45563</v>
      </c>
      <c r="V231" s="2"/>
      <c r="W231" s="21" t="s">
        <v>573</v>
      </c>
      <c r="X231" s="21"/>
      <c r="Y231" s="21">
        <v>4</v>
      </c>
      <c r="Z231" s="12" t="s">
        <v>3352</v>
      </c>
      <c r="AA231" s="2"/>
      <c r="AB231" s="23"/>
      <c r="AC231" s="2"/>
      <c r="AD231" s="52"/>
    </row>
    <row r="232" spans="1:30" s="53" customFormat="1" x14ac:dyDescent="0.25">
      <c r="A232" s="4"/>
      <c r="B232" s="4">
        <v>45565</v>
      </c>
      <c r="C232" s="6" t="s">
        <v>1693</v>
      </c>
      <c r="D232" s="6" t="s">
        <v>1933</v>
      </c>
      <c r="E232" s="6" t="s">
        <v>578</v>
      </c>
      <c r="F232" s="1" t="s">
        <v>579</v>
      </c>
      <c r="G232" s="8">
        <v>2</v>
      </c>
      <c r="H232" s="8"/>
      <c r="I232" s="115">
        <f>Table223[[#This Row],[Qty]]-Table223[[#This Row],[Issue Qty]]</f>
        <v>2</v>
      </c>
      <c r="J232" s="5">
        <v>4420</v>
      </c>
      <c r="K232" s="5">
        <f t="shared" si="9"/>
        <v>8840</v>
      </c>
      <c r="L232" s="82">
        <v>0.05</v>
      </c>
      <c r="M232" s="9">
        <f t="shared" si="10"/>
        <v>442</v>
      </c>
      <c r="N232" s="5">
        <v>0</v>
      </c>
      <c r="O232" s="5"/>
      <c r="P232" s="5">
        <f t="shared" si="11"/>
        <v>9282</v>
      </c>
      <c r="Q232" s="1" t="s">
        <v>554</v>
      </c>
      <c r="R232" s="1" t="s">
        <v>1742</v>
      </c>
      <c r="S232" s="1" t="s">
        <v>290</v>
      </c>
      <c r="T232" s="1" t="s">
        <v>1934</v>
      </c>
      <c r="U232" s="6">
        <v>45563</v>
      </c>
      <c r="V232" s="2"/>
      <c r="W232" s="21" t="s">
        <v>89</v>
      </c>
      <c r="X232" s="21" t="s">
        <v>580</v>
      </c>
      <c r="Y232" s="21"/>
      <c r="Z232" s="12"/>
      <c r="AA232" s="2"/>
      <c r="AB232" s="23"/>
      <c r="AC232" s="2"/>
      <c r="AD232" s="52"/>
    </row>
    <row r="233" spans="1:30" s="53" customFormat="1" x14ac:dyDescent="0.25">
      <c r="A233" s="4"/>
      <c r="B233" s="4">
        <v>45565</v>
      </c>
      <c r="C233" s="6" t="s">
        <v>1693</v>
      </c>
      <c r="D233" s="6" t="s">
        <v>1935</v>
      </c>
      <c r="E233" s="6" t="s">
        <v>581</v>
      </c>
      <c r="F233" s="1" t="s">
        <v>582</v>
      </c>
      <c r="G233" s="8">
        <v>2</v>
      </c>
      <c r="H233" s="8"/>
      <c r="I233" s="115">
        <f>Table223[[#This Row],[Qty]]-Table223[[#This Row],[Issue Qty]]</f>
        <v>2</v>
      </c>
      <c r="J233" s="5">
        <v>24700</v>
      </c>
      <c r="K233" s="5">
        <f t="shared" si="9"/>
        <v>49400</v>
      </c>
      <c r="L233" s="82">
        <v>0.05</v>
      </c>
      <c r="M233" s="9">
        <f t="shared" si="10"/>
        <v>2470</v>
      </c>
      <c r="N233" s="5">
        <v>0</v>
      </c>
      <c r="O233" s="5"/>
      <c r="P233" s="5">
        <f t="shared" si="11"/>
        <v>51870</v>
      </c>
      <c r="Q233" s="1" t="s">
        <v>554</v>
      </c>
      <c r="R233" s="1" t="s">
        <v>1742</v>
      </c>
      <c r="S233" s="1" t="s">
        <v>290</v>
      </c>
      <c r="T233" s="1" t="s">
        <v>1934</v>
      </c>
      <c r="U233" s="6">
        <v>45563</v>
      </c>
      <c r="V233" s="2"/>
      <c r="W233" s="21" t="s">
        <v>89</v>
      </c>
      <c r="X233" s="21" t="s">
        <v>580</v>
      </c>
      <c r="Y233" s="21"/>
      <c r="Z233" s="12"/>
      <c r="AA233" s="2"/>
      <c r="AB233" s="23"/>
      <c r="AC233" s="2"/>
      <c r="AD233" s="52"/>
    </row>
    <row r="234" spans="1:30" s="53" customFormat="1" x14ac:dyDescent="0.25">
      <c r="A234" s="4"/>
      <c r="B234" s="4">
        <v>45565</v>
      </c>
      <c r="C234" s="6" t="s">
        <v>1683</v>
      </c>
      <c r="D234" s="26" t="s">
        <v>1931</v>
      </c>
      <c r="E234" s="26" t="s">
        <v>576</v>
      </c>
      <c r="F234" s="1" t="s">
        <v>577</v>
      </c>
      <c r="G234" s="8">
        <v>2</v>
      </c>
      <c r="H234" s="8">
        <v>1</v>
      </c>
      <c r="I234" s="115">
        <f>Table223[[#This Row],[Qty]]-Table223[[#This Row],[Issue Qty]]</f>
        <v>1</v>
      </c>
      <c r="J234" s="5">
        <v>7485</v>
      </c>
      <c r="K234" s="5">
        <f t="shared" si="9"/>
        <v>14970</v>
      </c>
      <c r="L234" s="82">
        <v>0.18</v>
      </c>
      <c r="M234" s="9">
        <f t="shared" si="10"/>
        <v>2694.6</v>
      </c>
      <c r="N234" s="5">
        <v>0</v>
      </c>
      <c r="O234" s="5"/>
      <c r="P234" s="5">
        <f t="shared" si="11"/>
        <v>17664.599999999999</v>
      </c>
      <c r="Q234" s="1" t="s">
        <v>554</v>
      </c>
      <c r="R234" s="1" t="s">
        <v>1742</v>
      </c>
      <c r="S234" s="1" t="s">
        <v>290</v>
      </c>
      <c r="T234" s="1" t="s">
        <v>1932</v>
      </c>
      <c r="U234" s="1"/>
      <c r="V234" s="1"/>
      <c r="W234" s="21" t="s">
        <v>22</v>
      </c>
      <c r="X234" s="21" t="s">
        <v>23</v>
      </c>
      <c r="Y234" s="8">
        <v>1</v>
      </c>
      <c r="Z234" s="22" t="s">
        <v>3405</v>
      </c>
      <c r="AA234" s="1"/>
      <c r="AB234" s="23"/>
      <c r="AC234" s="6">
        <v>45563</v>
      </c>
      <c r="AD234" s="52"/>
    </row>
    <row r="235" spans="1:30" s="53" customFormat="1" x14ac:dyDescent="0.25">
      <c r="A235" s="4"/>
      <c r="B235" s="4">
        <v>45575</v>
      </c>
      <c r="C235" s="6" t="s">
        <v>1683</v>
      </c>
      <c r="D235" s="6" t="s">
        <v>1936</v>
      </c>
      <c r="E235" s="6" t="s">
        <v>584</v>
      </c>
      <c r="F235" s="1" t="s">
        <v>585</v>
      </c>
      <c r="G235" s="8">
        <v>1</v>
      </c>
      <c r="H235" s="8">
        <v>1</v>
      </c>
      <c r="I235" s="115">
        <f>Table223[[#This Row],[Qty]]-Table223[[#This Row],[Issue Qty]]</f>
        <v>0</v>
      </c>
      <c r="J235" s="5">
        <v>29500</v>
      </c>
      <c r="K235" s="5">
        <f t="shared" si="9"/>
        <v>29500</v>
      </c>
      <c r="L235" s="82">
        <v>0.18</v>
      </c>
      <c r="M235" s="9">
        <f t="shared" si="10"/>
        <v>5310</v>
      </c>
      <c r="N235" s="5">
        <v>0</v>
      </c>
      <c r="O235" s="5"/>
      <c r="P235" s="5">
        <f t="shared" si="11"/>
        <v>34810</v>
      </c>
      <c r="Q235" s="1" t="s">
        <v>586</v>
      </c>
      <c r="R235" s="1" t="s">
        <v>1742</v>
      </c>
      <c r="S235" s="1" t="s">
        <v>587</v>
      </c>
      <c r="T235" s="1" t="s">
        <v>1937</v>
      </c>
      <c r="U235" s="6">
        <v>45591</v>
      </c>
      <c r="V235" s="2"/>
      <c r="W235" s="21" t="s">
        <v>398</v>
      </c>
      <c r="X235" s="21"/>
      <c r="Y235" s="21">
        <v>1</v>
      </c>
      <c r="Z235" s="12" t="s">
        <v>588</v>
      </c>
      <c r="AA235" s="2"/>
      <c r="AB235" s="23" t="s">
        <v>589</v>
      </c>
      <c r="AC235" s="2"/>
      <c r="AD235" s="52"/>
    </row>
    <row r="236" spans="1:30" s="53" customFormat="1" x14ac:dyDescent="0.25">
      <c r="A236" s="4"/>
      <c r="B236" s="4">
        <v>45579</v>
      </c>
      <c r="C236" s="6" t="s">
        <v>1693</v>
      </c>
      <c r="D236" s="6" t="s">
        <v>37</v>
      </c>
      <c r="E236" s="1" t="s">
        <v>1466</v>
      </c>
      <c r="F236" s="1" t="s">
        <v>590</v>
      </c>
      <c r="G236" s="8">
        <v>1</v>
      </c>
      <c r="H236" s="8">
        <v>1</v>
      </c>
      <c r="I236" s="115">
        <f>Table223[[#This Row],[Qty]]-Table223[[#This Row],[Issue Qty]]</f>
        <v>0</v>
      </c>
      <c r="J236" s="5">
        <v>7500</v>
      </c>
      <c r="K236" s="5">
        <f t="shared" si="9"/>
        <v>7500</v>
      </c>
      <c r="L236" s="82">
        <v>0.05</v>
      </c>
      <c r="M236" s="9">
        <f t="shared" si="10"/>
        <v>375</v>
      </c>
      <c r="N236" s="5">
        <v>0</v>
      </c>
      <c r="O236" s="5"/>
      <c r="P236" s="5">
        <f t="shared" si="11"/>
        <v>7875</v>
      </c>
      <c r="Q236" s="1" t="s">
        <v>260</v>
      </c>
      <c r="R236" s="1" t="s">
        <v>260</v>
      </c>
      <c r="S236" s="1" t="s">
        <v>290</v>
      </c>
      <c r="T236" s="1" t="s">
        <v>1938</v>
      </c>
      <c r="U236" s="6">
        <v>45575</v>
      </c>
      <c r="V236" s="2"/>
      <c r="W236" s="21" t="s">
        <v>3349</v>
      </c>
      <c r="X236" s="21"/>
      <c r="Y236" s="21">
        <v>1</v>
      </c>
      <c r="Z236" s="12" t="s">
        <v>3352</v>
      </c>
      <c r="AA236" s="2"/>
      <c r="AB236" s="23"/>
      <c r="AC236" s="2"/>
      <c r="AD236" s="52"/>
    </row>
    <row r="237" spans="1:30" s="53" customFormat="1" ht="30" x14ac:dyDescent="0.25">
      <c r="A237" s="4"/>
      <c r="B237" s="4">
        <v>45579</v>
      </c>
      <c r="C237" s="6" t="s">
        <v>1693</v>
      </c>
      <c r="D237" s="6" t="s">
        <v>1837</v>
      </c>
      <c r="E237" s="6" t="s">
        <v>392</v>
      </c>
      <c r="F237" s="1" t="s">
        <v>591</v>
      </c>
      <c r="G237" s="8">
        <v>1</v>
      </c>
      <c r="H237" s="8"/>
      <c r="I237" s="115">
        <f>Table223[[#This Row],[Qty]]-Table223[[#This Row],[Issue Qty]]</f>
        <v>1</v>
      </c>
      <c r="J237" s="5">
        <v>3299</v>
      </c>
      <c r="K237" s="5">
        <f t="shared" si="9"/>
        <v>3299</v>
      </c>
      <c r="L237" s="82">
        <v>0</v>
      </c>
      <c r="M237" s="9">
        <f t="shared" si="10"/>
        <v>0</v>
      </c>
      <c r="N237" s="5">
        <v>125</v>
      </c>
      <c r="O237" s="5"/>
      <c r="P237" s="5">
        <f t="shared" si="11"/>
        <v>3424</v>
      </c>
      <c r="Q237" s="1" t="s">
        <v>260</v>
      </c>
      <c r="R237" s="1" t="s">
        <v>260</v>
      </c>
      <c r="S237" s="1" t="s">
        <v>394</v>
      </c>
      <c r="T237" s="1"/>
      <c r="U237" s="6"/>
      <c r="V237" s="2"/>
      <c r="W237" s="21" t="s">
        <v>72</v>
      </c>
      <c r="X237" s="21" t="s">
        <v>352</v>
      </c>
      <c r="Y237" s="21"/>
      <c r="Z237" s="12"/>
      <c r="AA237" s="2"/>
      <c r="AB237" s="23" t="s">
        <v>353</v>
      </c>
      <c r="AC237" s="2"/>
      <c r="AD237" s="52"/>
    </row>
    <row r="238" spans="1:30" s="24" customFormat="1" x14ac:dyDescent="0.25">
      <c r="A238" s="4"/>
      <c r="B238" s="4">
        <v>45587</v>
      </c>
      <c r="C238" s="6" t="s">
        <v>54</v>
      </c>
      <c r="D238" s="6" t="s">
        <v>1939</v>
      </c>
      <c r="E238" s="6" t="s">
        <v>592</v>
      </c>
      <c r="F238" s="1" t="s">
        <v>593</v>
      </c>
      <c r="G238" s="8">
        <v>4</v>
      </c>
      <c r="H238" s="8"/>
      <c r="I238" s="115">
        <f>Table223[[#This Row],[Qty]]-Table223[[#This Row],[Issue Qty]]</f>
        <v>4</v>
      </c>
      <c r="J238" s="5">
        <v>950</v>
      </c>
      <c r="K238" s="5">
        <f t="shared" si="9"/>
        <v>3800</v>
      </c>
      <c r="L238" s="82">
        <v>0.18</v>
      </c>
      <c r="M238" s="9">
        <f t="shared" si="10"/>
        <v>684</v>
      </c>
      <c r="N238" s="5">
        <v>0</v>
      </c>
      <c r="O238" s="5"/>
      <c r="P238" s="5">
        <f t="shared" si="11"/>
        <v>4484</v>
      </c>
      <c r="Q238" s="1" t="s">
        <v>260</v>
      </c>
      <c r="R238" s="1" t="s">
        <v>260</v>
      </c>
      <c r="S238" s="1" t="s">
        <v>594</v>
      </c>
      <c r="T238" s="1" t="s">
        <v>1940</v>
      </c>
      <c r="U238" s="1"/>
      <c r="V238" s="1"/>
      <c r="W238" s="8" t="s">
        <v>505</v>
      </c>
      <c r="X238" s="54" t="s">
        <v>506</v>
      </c>
      <c r="Y238" s="8"/>
      <c r="Z238" s="22"/>
      <c r="AA238" s="1"/>
      <c r="AB238" s="23"/>
      <c r="AC238" s="6">
        <v>45583</v>
      </c>
      <c r="AD238" s="2"/>
    </row>
    <row r="239" spans="1:30" s="53" customFormat="1" x14ac:dyDescent="0.25">
      <c r="A239" s="4"/>
      <c r="B239" s="4">
        <v>45587</v>
      </c>
      <c r="C239" s="6" t="s">
        <v>54</v>
      </c>
      <c r="D239" s="6" t="s">
        <v>1941</v>
      </c>
      <c r="E239" s="6" t="s">
        <v>595</v>
      </c>
      <c r="F239" s="1" t="s">
        <v>596</v>
      </c>
      <c r="G239" s="8">
        <v>4</v>
      </c>
      <c r="H239" s="8"/>
      <c r="I239" s="115">
        <f>Table223[[#This Row],[Qty]]-Table223[[#This Row],[Issue Qty]]</f>
        <v>4</v>
      </c>
      <c r="J239" s="5">
        <v>950</v>
      </c>
      <c r="K239" s="5">
        <f t="shared" si="9"/>
        <v>3800</v>
      </c>
      <c r="L239" s="82">
        <v>0.18</v>
      </c>
      <c r="M239" s="9">
        <f t="shared" si="10"/>
        <v>684</v>
      </c>
      <c r="N239" s="5">
        <v>0</v>
      </c>
      <c r="O239" s="5"/>
      <c r="P239" s="5">
        <f t="shared" si="11"/>
        <v>4484</v>
      </c>
      <c r="Q239" s="1" t="s">
        <v>260</v>
      </c>
      <c r="R239" s="1" t="s">
        <v>260</v>
      </c>
      <c r="S239" s="1" t="s">
        <v>594</v>
      </c>
      <c r="T239" s="1" t="s">
        <v>1940</v>
      </c>
      <c r="U239" s="1"/>
      <c r="V239" s="1"/>
      <c r="W239" s="8" t="s">
        <v>505</v>
      </c>
      <c r="X239" s="54" t="s">
        <v>506</v>
      </c>
      <c r="Y239" s="8"/>
      <c r="Z239" s="22"/>
      <c r="AA239" s="1"/>
      <c r="AB239" s="23"/>
      <c r="AC239" s="6">
        <v>45583</v>
      </c>
      <c r="AD239" s="52"/>
    </row>
    <row r="240" spans="1:30" s="53" customFormat="1" x14ac:dyDescent="0.25">
      <c r="A240" s="4"/>
      <c r="B240" s="4">
        <v>45591</v>
      </c>
      <c r="C240" s="6" t="s">
        <v>54</v>
      </c>
      <c r="D240" s="6" t="s">
        <v>1942</v>
      </c>
      <c r="E240" s="1" t="s">
        <v>597</v>
      </c>
      <c r="F240" s="1" t="s">
        <v>598</v>
      </c>
      <c r="G240" s="8">
        <v>1</v>
      </c>
      <c r="H240" s="8"/>
      <c r="I240" s="115">
        <f>Table223[[#This Row],[Qty]]-Table223[[#This Row],[Issue Qty]]</f>
        <v>1</v>
      </c>
      <c r="J240" s="5">
        <v>5200</v>
      </c>
      <c r="K240" s="5"/>
      <c r="L240" s="82">
        <v>0.18</v>
      </c>
      <c r="M240" s="9"/>
      <c r="N240" s="5">
        <v>0</v>
      </c>
      <c r="O240" s="5"/>
      <c r="P240" s="5"/>
      <c r="Q240" s="1" t="s">
        <v>586</v>
      </c>
      <c r="R240" s="1" t="s">
        <v>1742</v>
      </c>
      <c r="S240" s="1" t="s">
        <v>599</v>
      </c>
      <c r="T240" s="1"/>
      <c r="U240" s="1"/>
      <c r="V240" s="2"/>
      <c r="W240" s="21" t="s">
        <v>156</v>
      </c>
      <c r="X240" s="21" t="s">
        <v>157</v>
      </c>
      <c r="Y240" s="21"/>
      <c r="Z240" s="12"/>
      <c r="AA240" s="2"/>
      <c r="AB240" s="23"/>
      <c r="AC240" s="1"/>
      <c r="AD240" s="52"/>
    </row>
    <row r="241" spans="1:30" s="53" customFormat="1" x14ac:dyDescent="0.25">
      <c r="A241" s="4"/>
      <c r="B241" s="4">
        <v>45623</v>
      </c>
      <c r="C241" s="6" t="s">
        <v>54</v>
      </c>
      <c r="D241" s="6" t="s">
        <v>37</v>
      </c>
      <c r="E241" s="169" t="s">
        <v>600</v>
      </c>
      <c r="F241" s="1" t="s">
        <v>600</v>
      </c>
      <c r="G241" s="8">
        <v>1</v>
      </c>
      <c r="H241" s="8">
        <v>1</v>
      </c>
      <c r="I241" s="115">
        <f>Table223[[#This Row],[Qty]]-Table223[[#This Row],[Issue Qty]]</f>
        <v>0</v>
      </c>
      <c r="J241" s="5">
        <v>384</v>
      </c>
      <c r="K241" s="5">
        <f t="shared" ref="K241:K304" si="13">G241*J241</f>
        <v>384</v>
      </c>
      <c r="L241" s="82">
        <v>0.12</v>
      </c>
      <c r="M241" s="9">
        <f t="shared" ref="M241:M304" si="14">K241*L241</f>
        <v>46.08</v>
      </c>
      <c r="N241" s="5">
        <v>0</v>
      </c>
      <c r="O241" s="5"/>
      <c r="P241" s="5">
        <f t="shared" ref="P241:P304" si="15">K241+M241+N241+O241</f>
        <v>430.08</v>
      </c>
      <c r="Q241" s="1" t="s">
        <v>586</v>
      </c>
      <c r="R241" s="1" t="s">
        <v>1742</v>
      </c>
      <c r="S241" s="1" t="s">
        <v>601</v>
      </c>
      <c r="T241" s="1">
        <v>40608</v>
      </c>
      <c r="U241" s="6">
        <v>45623</v>
      </c>
      <c r="V241" s="2"/>
      <c r="W241" s="21" t="s">
        <v>126</v>
      </c>
      <c r="X241" s="21"/>
      <c r="Y241" s="21">
        <v>1</v>
      </c>
      <c r="Z241" s="12" t="s">
        <v>474</v>
      </c>
      <c r="AA241" s="2"/>
      <c r="AB241" s="23"/>
      <c r="AC241" s="2"/>
      <c r="AD241" s="52"/>
    </row>
    <row r="242" spans="1:30" s="51" customFormat="1" x14ac:dyDescent="0.25">
      <c r="A242" s="4"/>
      <c r="B242" s="4">
        <v>45623</v>
      </c>
      <c r="C242" s="6" t="s">
        <v>54</v>
      </c>
      <c r="D242" s="6" t="s">
        <v>37</v>
      </c>
      <c r="E242" s="169" t="s">
        <v>602</v>
      </c>
      <c r="F242" s="1" t="s">
        <v>602</v>
      </c>
      <c r="G242" s="8">
        <v>1</v>
      </c>
      <c r="H242" s="8">
        <v>1</v>
      </c>
      <c r="I242" s="115">
        <f>Table223[[#This Row],[Qty]]-Table223[[#This Row],[Issue Qty]]</f>
        <v>0</v>
      </c>
      <c r="J242" s="5">
        <v>524</v>
      </c>
      <c r="K242" s="5">
        <f t="shared" si="13"/>
        <v>524</v>
      </c>
      <c r="L242" s="82">
        <v>0.12</v>
      </c>
      <c r="M242" s="9">
        <f t="shared" si="14"/>
        <v>62.879999999999995</v>
      </c>
      <c r="N242" s="5">
        <v>0</v>
      </c>
      <c r="O242" s="5"/>
      <c r="P242" s="5">
        <f t="shared" si="15"/>
        <v>586.88</v>
      </c>
      <c r="Q242" s="1" t="s">
        <v>586</v>
      </c>
      <c r="R242" s="1" t="s">
        <v>1742</v>
      </c>
      <c r="S242" s="1" t="s">
        <v>601</v>
      </c>
      <c r="T242" s="1">
        <v>40608</v>
      </c>
      <c r="U242" s="6">
        <v>45623</v>
      </c>
      <c r="V242" s="2"/>
      <c r="W242" s="21" t="s">
        <v>126</v>
      </c>
      <c r="X242" s="21"/>
      <c r="Y242" s="21">
        <v>1</v>
      </c>
      <c r="Z242" s="12" t="s">
        <v>474</v>
      </c>
      <c r="AA242" s="2"/>
      <c r="AB242" s="23"/>
      <c r="AC242" s="2"/>
      <c r="AD242" s="50"/>
    </row>
    <row r="243" spans="1:30" s="51" customFormat="1" x14ac:dyDescent="0.25">
      <c r="A243" s="4"/>
      <c r="B243" s="4">
        <v>45625</v>
      </c>
      <c r="C243" s="6" t="s">
        <v>54</v>
      </c>
      <c r="D243" s="6" t="s">
        <v>37</v>
      </c>
      <c r="E243" s="169" t="s">
        <v>603</v>
      </c>
      <c r="F243" s="1" t="s">
        <v>603</v>
      </c>
      <c r="G243" s="8">
        <v>1</v>
      </c>
      <c r="H243" s="8">
        <v>1</v>
      </c>
      <c r="I243" s="115">
        <f>Table223[[#This Row],[Qty]]-Table223[[#This Row],[Issue Qty]]</f>
        <v>0</v>
      </c>
      <c r="J243" s="5">
        <v>384</v>
      </c>
      <c r="K243" s="5">
        <f t="shared" si="13"/>
        <v>384</v>
      </c>
      <c r="L243" s="82">
        <v>0.12</v>
      </c>
      <c r="M243" s="9">
        <f t="shared" si="14"/>
        <v>46.08</v>
      </c>
      <c r="N243" s="5">
        <v>0</v>
      </c>
      <c r="O243" s="5"/>
      <c r="P243" s="5">
        <f t="shared" si="15"/>
        <v>430.08</v>
      </c>
      <c r="Q243" s="1" t="s">
        <v>586</v>
      </c>
      <c r="R243" s="1" t="s">
        <v>1742</v>
      </c>
      <c r="S243" s="1" t="s">
        <v>601</v>
      </c>
      <c r="T243" s="1">
        <v>40610</v>
      </c>
      <c r="U243" s="6">
        <v>45625</v>
      </c>
      <c r="V243" s="2"/>
      <c r="W243" s="21" t="s">
        <v>126</v>
      </c>
      <c r="X243" s="21"/>
      <c r="Y243" s="21">
        <v>1</v>
      </c>
      <c r="Z243" s="12" t="s">
        <v>474</v>
      </c>
      <c r="AA243" s="2"/>
      <c r="AB243" s="23"/>
      <c r="AC243" s="2"/>
      <c r="AD243" s="50"/>
    </row>
    <row r="244" spans="1:30" s="51" customFormat="1" x14ac:dyDescent="0.25">
      <c r="A244" s="4"/>
      <c r="B244" s="4">
        <v>45630</v>
      </c>
      <c r="C244" s="6" t="s">
        <v>1693</v>
      </c>
      <c r="D244" s="26" t="s">
        <v>1943</v>
      </c>
      <c r="E244" s="26" t="s">
        <v>604</v>
      </c>
      <c r="F244" s="1" t="s">
        <v>605</v>
      </c>
      <c r="G244" s="8">
        <v>9</v>
      </c>
      <c r="H244" s="8">
        <v>9</v>
      </c>
      <c r="I244" s="115">
        <f>Table223[[#This Row],[Qty]]-Table223[[#This Row],[Issue Qty]]</f>
        <v>0</v>
      </c>
      <c r="J244" s="5">
        <v>11.864000000000001</v>
      </c>
      <c r="K244" s="5">
        <f t="shared" si="13"/>
        <v>106.77600000000001</v>
      </c>
      <c r="L244" s="82">
        <v>0.18</v>
      </c>
      <c r="M244" s="9">
        <f t="shared" si="14"/>
        <v>19.21968</v>
      </c>
      <c r="N244" s="5">
        <v>49.5</v>
      </c>
      <c r="O244" s="5"/>
      <c r="P244" s="5">
        <f t="shared" si="15"/>
        <v>175.49567999999999</v>
      </c>
      <c r="Q244" s="1" t="s">
        <v>606</v>
      </c>
      <c r="R244" s="1" t="s">
        <v>606</v>
      </c>
      <c r="S244" s="1" t="s">
        <v>243</v>
      </c>
      <c r="T244" s="1" t="s">
        <v>1944</v>
      </c>
      <c r="U244" s="6">
        <v>45628</v>
      </c>
      <c r="V244" s="2"/>
      <c r="W244" s="21" t="s">
        <v>22</v>
      </c>
      <c r="X244" s="21"/>
      <c r="Y244" s="21">
        <v>9</v>
      </c>
      <c r="Z244" s="12" t="s">
        <v>607</v>
      </c>
      <c r="AA244" s="2"/>
      <c r="AB244" s="23"/>
      <c r="AC244" s="2"/>
      <c r="AD244" s="50"/>
    </row>
    <row r="245" spans="1:30" s="51" customFormat="1" x14ac:dyDescent="0.25">
      <c r="A245" s="4"/>
      <c r="B245" s="4">
        <v>45630</v>
      </c>
      <c r="C245" s="6" t="s">
        <v>1693</v>
      </c>
      <c r="D245" s="6" t="s">
        <v>1945</v>
      </c>
      <c r="E245" s="6" t="s">
        <v>608</v>
      </c>
      <c r="F245" s="1" t="s">
        <v>609</v>
      </c>
      <c r="G245" s="8">
        <v>7</v>
      </c>
      <c r="H245" s="8">
        <v>7</v>
      </c>
      <c r="I245" s="115">
        <f>Table223[[#This Row],[Qty]]-Table223[[#This Row],[Issue Qty]]</f>
        <v>0</v>
      </c>
      <c r="J245" s="5">
        <v>15.254</v>
      </c>
      <c r="K245" s="5">
        <f t="shared" si="13"/>
        <v>106.77799999999999</v>
      </c>
      <c r="L245" s="82">
        <v>0.18</v>
      </c>
      <c r="M245" s="9">
        <f t="shared" si="14"/>
        <v>19.220039999999997</v>
      </c>
      <c r="N245" s="5">
        <v>49.5</v>
      </c>
      <c r="O245" s="5"/>
      <c r="P245" s="5">
        <f t="shared" si="15"/>
        <v>175.49804</v>
      </c>
      <c r="Q245" s="1" t="s">
        <v>606</v>
      </c>
      <c r="R245" s="1" t="s">
        <v>606</v>
      </c>
      <c r="S245" s="1" t="s">
        <v>243</v>
      </c>
      <c r="T245" s="1" t="s">
        <v>1944</v>
      </c>
      <c r="U245" s="6">
        <v>45628</v>
      </c>
      <c r="V245" s="2"/>
      <c r="W245" s="21" t="s">
        <v>22</v>
      </c>
      <c r="X245" s="21"/>
      <c r="Y245" s="21">
        <v>7</v>
      </c>
      <c r="Z245" s="12" t="s">
        <v>2899</v>
      </c>
      <c r="AA245" s="2"/>
      <c r="AB245" s="23"/>
      <c r="AC245" s="2"/>
      <c r="AD245" s="50"/>
    </row>
    <row r="246" spans="1:30" s="51" customFormat="1" x14ac:dyDescent="0.25">
      <c r="A246" s="4"/>
      <c r="B246" s="4">
        <v>45640</v>
      </c>
      <c r="C246" s="6" t="s">
        <v>1683</v>
      </c>
      <c r="D246" s="26" t="s">
        <v>1946</v>
      </c>
      <c r="E246" s="168" t="s">
        <v>610</v>
      </c>
      <c r="F246" s="1" t="s">
        <v>611</v>
      </c>
      <c r="G246" s="8">
        <v>3</v>
      </c>
      <c r="H246" s="8">
        <v>3</v>
      </c>
      <c r="I246" s="115">
        <f>Table223[[#This Row],[Qty]]-Table223[[#This Row],[Issue Qty]]</f>
        <v>0</v>
      </c>
      <c r="J246" s="5">
        <v>2428</v>
      </c>
      <c r="K246" s="5">
        <f t="shared" si="13"/>
        <v>7284</v>
      </c>
      <c r="L246" s="82">
        <v>0.05</v>
      </c>
      <c r="M246" s="9">
        <f t="shared" si="14"/>
        <v>364.20000000000005</v>
      </c>
      <c r="N246" s="5">
        <v>0</v>
      </c>
      <c r="O246" s="5"/>
      <c r="P246" s="5">
        <f t="shared" si="15"/>
        <v>7648.2</v>
      </c>
      <c r="Q246" s="1" t="s">
        <v>554</v>
      </c>
      <c r="R246" s="1" t="s">
        <v>20</v>
      </c>
      <c r="S246" s="1" t="s">
        <v>444</v>
      </c>
      <c r="T246" s="1" t="s">
        <v>1947</v>
      </c>
      <c r="U246" s="6">
        <v>45640</v>
      </c>
      <c r="V246" s="2"/>
      <c r="W246" s="21" t="s">
        <v>33</v>
      </c>
      <c r="X246" s="21"/>
      <c r="Y246" s="21">
        <v>3</v>
      </c>
      <c r="Z246" s="12" t="s">
        <v>612</v>
      </c>
      <c r="AA246" s="2"/>
      <c r="AB246" s="23"/>
      <c r="AC246" s="2"/>
      <c r="AD246" s="50"/>
    </row>
    <row r="247" spans="1:30" s="51" customFormat="1" x14ac:dyDescent="0.25">
      <c r="A247" s="4"/>
      <c r="B247" s="4">
        <v>45640</v>
      </c>
      <c r="C247" s="6" t="s">
        <v>1683</v>
      </c>
      <c r="D247" s="26" t="s">
        <v>1948</v>
      </c>
      <c r="E247" s="168" t="s">
        <v>613</v>
      </c>
      <c r="F247" s="1" t="s">
        <v>614</v>
      </c>
      <c r="G247" s="8">
        <v>3</v>
      </c>
      <c r="H247" s="8">
        <v>3</v>
      </c>
      <c r="I247" s="115">
        <f>Table223[[#This Row],[Qty]]-Table223[[#This Row],[Issue Qty]]</f>
        <v>0</v>
      </c>
      <c r="J247" s="5">
        <v>2428</v>
      </c>
      <c r="K247" s="5">
        <f t="shared" si="13"/>
        <v>7284</v>
      </c>
      <c r="L247" s="82">
        <v>0.05</v>
      </c>
      <c r="M247" s="9">
        <f t="shared" si="14"/>
        <v>364.20000000000005</v>
      </c>
      <c r="N247" s="5">
        <v>0</v>
      </c>
      <c r="O247" s="5"/>
      <c r="P247" s="5">
        <f t="shared" si="15"/>
        <v>7648.2</v>
      </c>
      <c r="Q247" s="1" t="s">
        <v>615</v>
      </c>
      <c r="R247" s="1" t="s">
        <v>331</v>
      </c>
      <c r="S247" s="1" t="s">
        <v>444</v>
      </c>
      <c r="T247" s="1" t="s">
        <v>1947</v>
      </c>
      <c r="U247" s="6">
        <v>45640</v>
      </c>
      <c r="V247" s="2"/>
      <c r="W247" s="21" t="s">
        <v>33</v>
      </c>
      <c r="X247" s="21"/>
      <c r="Y247" s="21">
        <v>3</v>
      </c>
      <c r="Z247" s="12" t="s">
        <v>612</v>
      </c>
      <c r="AA247" s="2"/>
      <c r="AB247" s="23"/>
      <c r="AC247" s="2"/>
      <c r="AD247" s="50"/>
    </row>
    <row r="248" spans="1:30" s="51" customFormat="1" x14ac:dyDescent="0.25">
      <c r="A248" s="4"/>
      <c r="B248" s="4">
        <v>45640</v>
      </c>
      <c r="C248" s="6" t="s">
        <v>54</v>
      </c>
      <c r="D248" s="6" t="s">
        <v>1949</v>
      </c>
      <c r="E248" s="6" t="s">
        <v>616</v>
      </c>
      <c r="F248" s="1" t="s">
        <v>617</v>
      </c>
      <c r="G248" s="8">
        <v>1</v>
      </c>
      <c r="H248" s="8"/>
      <c r="I248" s="115">
        <f>Table223[[#This Row],[Qty]]-Table223[[#This Row],[Issue Qty]]</f>
        <v>1</v>
      </c>
      <c r="J248" s="5">
        <v>2736.44</v>
      </c>
      <c r="K248" s="5">
        <f t="shared" si="13"/>
        <v>2736.44</v>
      </c>
      <c r="L248" s="82">
        <v>0.18</v>
      </c>
      <c r="M248" s="9">
        <f t="shared" si="14"/>
        <v>492.55919999999998</v>
      </c>
      <c r="N248" s="5">
        <v>0</v>
      </c>
      <c r="O248" s="5"/>
      <c r="P248" s="5">
        <f t="shared" si="15"/>
        <v>3228.9992000000002</v>
      </c>
      <c r="Q248" s="1" t="s">
        <v>618</v>
      </c>
      <c r="R248" s="1" t="s">
        <v>20</v>
      </c>
      <c r="S248" s="1" t="s">
        <v>394</v>
      </c>
      <c r="T248" s="1" t="s">
        <v>1950</v>
      </c>
      <c r="U248" s="1"/>
      <c r="V248" s="1"/>
      <c r="W248" s="21" t="s">
        <v>252</v>
      </c>
      <c r="X248" s="8"/>
      <c r="Y248" s="8"/>
      <c r="Z248" s="22"/>
      <c r="AA248" s="1"/>
      <c r="AB248" s="23" t="s">
        <v>619</v>
      </c>
      <c r="AC248" s="6">
        <v>45638</v>
      </c>
      <c r="AD248" s="50"/>
    </row>
    <row r="249" spans="1:30" s="51" customFormat="1" x14ac:dyDescent="0.25">
      <c r="A249" s="4"/>
      <c r="B249" s="4">
        <v>45649</v>
      </c>
      <c r="C249" s="6" t="s">
        <v>54</v>
      </c>
      <c r="D249" s="6" t="s">
        <v>1951</v>
      </c>
      <c r="E249" s="6" t="s">
        <v>620</v>
      </c>
      <c r="F249" s="1" t="s">
        <v>621</v>
      </c>
      <c r="G249" s="8">
        <v>1</v>
      </c>
      <c r="H249" s="8"/>
      <c r="I249" s="115">
        <f>Table223[[#This Row],[Qty]]-Table223[[#This Row],[Issue Qty]]</f>
        <v>1</v>
      </c>
      <c r="J249" s="5">
        <v>4999</v>
      </c>
      <c r="K249" s="5">
        <f t="shared" si="13"/>
        <v>4999</v>
      </c>
      <c r="L249" s="82">
        <v>0.18</v>
      </c>
      <c r="M249" s="9">
        <f t="shared" si="14"/>
        <v>899.81999999999994</v>
      </c>
      <c r="N249" s="5">
        <v>0</v>
      </c>
      <c r="O249" s="5"/>
      <c r="P249" s="5">
        <f t="shared" si="15"/>
        <v>5898.82</v>
      </c>
      <c r="Q249" s="1" t="s">
        <v>618</v>
      </c>
      <c r="R249" s="1" t="s">
        <v>20</v>
      </c>
      <c r="S249" s="1" t="s">
        <v>622</v>
      </c>
      <c r="T249" s="1">
        <v>1201</v>
      </c>
      <c r="U249" s="1"/>
      <c r="V249" s="1"/>
      <c r="W249" s="21" t="s">
        <v>252</v>
      </c>
      <c r="X249" s="8"/>
      <c r="Y249" s="8"/>
      <c r="Z249" s="22"/>
      <c r="AA249" s="1"/>
      <c r="AB249" s="23" t="s">
        <v>621</v>
      </c>
      <c r="AC249" s="6">
        <v>45642</v>
      </c>
      <c r="AD249" s="50"/>
    </row>
    <row r="250" spans="1:30" s="51" customFormat="1" x14ac:dyDescent="0.25">
      <c r="A250" s="4"/>
      <c r="B250" s="4">
        <v>45650</v>
      </c>
      <c r="C250" s="6" t="s">
        <v>54</v>
      </c>
      <c r="D250" s="6" t="s">
        <v>1952</v>
      </c>
      <c r="E250" s="6" t="s">
        <v>623</v>
      </c>
      <c r="F250" s="1" t="s">
        <v>624</v>
      </c>
      <c r="G250" s="8">
        <v>1</v>
      </c>
      <c r="H250" s="8"/>
      <c r="I250" s="115">
        <f>Table223[[#This Row],[Qty]]-Table223[[#This Row],[Issue Qty]]</f>
        <v>1</v>
      </c>
      <c r="J250" s="5">
        <v>5931.36</v>
      </c>
      <c r="K250" s="5">
        <f t="shared" si="13"/>
        <v>5931.36</v>
      </c>
      <c r="L250" s="82">
        <v>0.18</v>
      </c>
      <c r="M250" s="9">
        <f t="shared" si="14"/>
        <v>1067.6447999999998</v>
      </c>
      <c r="N250" s="5">
        <v>0</v>
      </c>
      <c r="O250" s="5"/>
      <c r="P250" s="5">
        <f t="shared" si="15"/>
        <v>6999.0047999999997</v>
      </c>
      <c r="Q250" s="1" t="s">
        <v>618</v>
      </c>
      <c r="R250" s="1" t="s">
        <v>20</v>
      </c>
      <c r="S250" s="1" t="s">
        <v>625</v>
      </c>
      <c r="T250" s="1" t="s">
        <v>1953</v>
      </c>
      <c r="U250" s="1"/>
      <c r="V250" s="1"/>
      <c r="W250" s="21" t="s">
        <v>252</v>
      </c>
      <c r="X250" s="8"/>
      <c r="Y250" s="8"/>
      <c r="Z250" s="22"/>
      <c r="AA250" s="1"/>
      <c r="AB250" s="23" t="s">
        <v>624</v>
      </c>
      <c r="AC250" s="6">
        <v>45650</v>
      </c>
      <c r="AD250" s="50"/>
    </row>
    <row r="251" spans="1:30" s="51" customFormat="1" x14ac:dyDescent="0.25">
      <c r="A251" s="4"/>
      <c r="B251" s="4">
        <v>45650</v>
      </c>
      <c r="C251" s="6" t="s">
        <v>54</v>
      </c>
      <c r="D251" s="6" t="s">
        <v>1954</v>
      </c>
      <c r="E251" s="6" t="s">
        <v>626</v>
      </c>
      <c r="F251" s="1" t="s">
        <v>627</v>
      </c>
      <c r="G251" s="8">
        <v>1</v>
      </c>
      <c r="H251" s="8"/>
      <c r="I251" s="115">
        <f>Table223[[#This Row],[Qty]]-Table223[[#This Row],[Issue Qty]]</f>
        <v>1</v>
      </c>
      <c r="J251" s="5">
        <v>11609.32</v>
      </c>
      <c r="K251" s="5">
        <f t="shared" si="13"/>
        <v>11609.32</v>
      </c>
      <c r="L251" s="82">
        <v>0.18</v>
      </c>
      <c r="M251" s="9">
        <f t="shared" si="14"/>
        <v>2089.6776</v>
      </c>
      <c r="N251" s="5">
        <v>0</v>
      </c>
      <c r="O251" s="5"/>
      <c r="P251" s="5">
        <f t="shared" si="15"/>
        <v>13698.997599999999</v>
      </c>
      <c r="Q251" s="1" t="s">
        <v>618</v>
      </c>
      <c r="R251" s="1" t="s">
        <v>20</v>
      </c>
      <c r="S251" s="1" t="s">
        <v>625</v>
      </c>
      <c r="T251" s="1" t="s">
        <v>1953</v>
      </c>
      <c r="U251" s="1"/>
      <c r="V251" s="1"/>
      <c r="W251" s="21" t="s">
        <v>252</v>
      </c>
      <c r="X251" s="8"/>
      <c r="Y251" s="8"/>
      <c r="Z251" s="22"/>
      <c r="AA251" s="1"/>
      <c r="AB251" s="23" t="s">
        <v>627</v>
      </c>
      <c r="AC251" s="6">
        <v>45650</v>
      </c>
      <c r="AD251" s="50"/>
    </row>
    <row r="252" spans="1:30" s="53" customFormat="1" x14ac:dyDescent="0.25">
      <c r="A252" s="4"/>
      <c r="B252" s="4">
        <v>45653</v>
      </c>
      <c r="C252" s="6" t="s">
        <v>1693</v>
      </c>
      <c r="D252" s="26" t="s">
        <v>1955</v>
      </c>
      <c r="E252" s="168" t="s">
        <v>628</v>
      </c>
      <c r="F252" s="1" t="s">
        <v>629</v>
      </c>
      <c r="G252" s="8">
        <v>1</v>
      </c>
      <c r="H252" s="8">
        <v>1</v>
      </c>
      <c r="I252" s="115">
        <f>Table223[[#This Row],[Qty]]-Table223[[#This Row],[Issue Qty]]</f>
        <v>0</v>
      </c>
      <c r="J252" s="5">
        <v>35939.14</v>
      </c>
      <c r="K252" s="5">
        <f t="shared" si="13"/>
        <v>35939.14</v>
      </c>
      <c r="L252" s="82">
        <v>0</v>
      </c>
      <c r="M252" s="9">
        <f t="shared" si="14"/>
        <v>0</v>
      </c>
      <c r="N252" s="5">
        <v>0</v>
      </c>
      <c r="O252" s="5"/>
      <c r="P252" s="5">
        <f t="shared" si="15"/>
        <v>35939.14</v>
      </c>
      <c r="Q252" s="1" t="s">
        <v>615</v>
      </c>
      <c r="R252" s="1" t="s">
        <v>331</v>
      </c>
      <c r="S252" s="1" t="s">
        <v>630</v>
      </c>
      <c r="T252" s="1" t="s">
        <v>1956</v>
      </c>
      <c r="U252" s="1"/>
      <c r="V252" s="1"/>
      <c r="W252" s="21" t="s">
        <v>89</v>
      </c>
      <c r="X252" s="21" t="s">
        <v>631</v>
      </c>
      <c r="Y252" s="8"/>
      <c r="Z252" s="22"/>
      <c r="AA252" s="1"/>
      <c r="AB252" s="23"/>
      <c r="AC252" s="6">
        <v>45593</v>
      </c>
      <c r="AD252" s="52"/>
    </row>
    <row r="253" spans="1:30" s="53" customFormat="1" x14ac:dyDescent="0.25">
      <c r="A253" s="4">
        <v>46022</v>
      </c>
      <c r="B253" s="4">
        <v>45659</v>
      </c>
      <c r="C253" s="6" t="s">
        <v>1693</v>
      </c>
      <c r="D253" s="6" t="s">
        <v>1957</v>
      </c>
      <c r="E253" s="1" t="s">
        <v>632</v>
      </c>
      <c r="F253" s="1" t="s">
        <v>632</v>
      </c>
      <c r="G253" s="8">
        <v>6</v>
      </c>
      <c r="H253" s="8"/>
      <c r="I253" s="115">
        <f>Table223[[#This Row],[Qty]]-Table223[[#This Row],[Issue Qty]]</f>
        <v>6</v>
      </c>
      <c r="J253" s="5">
        <v>173.73</v>
      </c>
      <c r="K253" s="5">
        <f t="shared" si="13"/>
        <v>1042.3799999999999</v>
      </c>
      <c r="L253" s="82">
        <v>0.18</v>
      </c>
      <c r="M253" s="9">
        <f t="shared" si="14"/>
        <v>187.62839999999997</v>
      </c>
      <c r="N253" s="5">
        <v>99</v>
      </c>
      <c r="O253" s="5"/>
      <c r="P253" s="5">
        <f t="shared" si="15"/>
        <v>1329.0083999999999</v>
      </c>
      <c r="Q253" s="1" t="s">
        <v>2887</v>
      </c>
      <c r="R253" s="1" t="s">
        <v>633</v>
      </c>
      <c r="S253" s="1" t="s">
        <v>634</v>
      </c>
      <c r="T253" s="1" t="s">
        <v>1958</v>
      </c>
      <c r="U253" s="1">
        <v>85365090</v>
      </c>
      <c r="V253" s="2"/>
      <c r="W253" s="21" t="s">
        <v>78</v>
      </c>
      <c r="X253" s="21"/>
      <c r="Y253" s="21"/>
      <c r="Z253" s="12"/>
      <c r="AA253" s="2"/>
      <c r="AB253" s="23"/>
      <c r="AC253" s="1"/>
      <c r="AD253" s="52"/>
    </row>
    <row r="254" spans="1:30" s="53" customFormat="1" x14ac:dyDescent="0.25">
      <c r="A254" s="4"/>
      <c r="B254" s="4">
        <v>45664</v>
      </c>
      <c r="C254" s="6" t="s">
        <v>1693</v>
      </c>
      <c r="D254" s="6" t="s">
        <v>1959</v>
      </c>
      <c r="E254" s="170" t="s">
        <v>635</v>
      </c>
      <c r="F254" s="1" t="s">
        <v>636</v>
      </c>
      <c r="G254" s="8">
        <v>2</v>
      </c>
      <c r="H254" s="8">
        <v>2</v>
      </c>
      <c r="I254" s="115">
        <f>Table223[[#This Row],[Qty]]-Table223[[#This Row],[Issue Qty]]</f>
        <v>0</v>
      </c>
      <c r="J254" s="5">
        <v>516.1</v>
      </c>
      <c r="K254" s="5">
        <f t="shared" si="13"/>
        <v>1032.2</v>
      </c>
      <c r="L254" s="82">
        <v>0.18</v>
      </c>
      <c r="M254" s="9">
        <f t="shared" si="14"/>
        <v>185.79599999999999</v>
      </c>
      <c r="N254" s="5">
        <v>0</v>
      </c>
      <c r="O254" s="5"/>
      <c r="P254" s="5">
        <f t="shared" si="15"/>
        <v>1217.9960000000001</v>
      </c>
      <c r="Q254" s="1" t="s">
        <v>637</v>
      </c>
      <c r="R254" s="1" t="s">
        <v>20</v>
      </c>
      <c r="S254" s="1" t="s">
        <v>243</v>
      </c>
      <c r="T254" s="1"/>
      <c r="U254" s="1"/>
      <c r="V254" s="1"/>
      <c r="W254" s="21" t="s">
        <v>638</v>
      </c>
      <c r="X254" s="21" t="s">
        <v>1960</v>
      </c>
      <c r="Y254" s="8">
        <v>2</v>
      </c>
      <c r="Z254" s="22" t="s">
        <v>81</v>
      </c>
      <c r="AA254" s="1"/>
      <c r="AB254" s="23" t="s">
        <v>639</v>
      </c>
      <c r="AC254" s="6"/>
      <c r="AD254" s="52"/>
    </row>
    <row r="255" spans="1:30" s="53" customFormat="1" x14ac:dyDescent="0.25">
      <c r="A255" s="4"/>
      <c r="B255" s="4">
        <v>45675</v>
      </c>
      <c r="C255" s="6" t="s">
        <v>1730</v>
      </c>
      <c r="D255" s="26" t="s">
        <v>1961</v>
      </c>
      <c r="E255" s="168" t="s">
        <v>640</v>
      </c>
      <c r="F255" s="1" t="s">
        <v>641</v>
      </c>
      <c r="G255" s="8">
        <v>20</v>
      </c>
      <c r="H255" s="8">
        <v>20</v>
      </c>
      <c r="I255" s="115">
        <f>Table223[[#This Row],[Qty]]-Table223[[#This Row],[Issue Qty]]</f>
        <v>0</v>
      </c>
      <c r="J255" s="5">
        <v>9.74</v>
      </c>
      <c r="K255" s="5">
        <f t="shared" si="13"/>
        <v>194.8</v>
      </c>
      <c r="L255" s="82">
        <v>0.18</v>
      </c>
      <c r="M255" s="9">
        <f t="shared" si="14"/>
        <v>35.064</v>
      </c>
      <c r="N255" s="5">
        <v>0</v>
      </c>
      <c r="O255" s="5"/>
      <c r="P255" s="5">
        <f t="shared" si="15"/>
        <v>229.864</v>
      </c>
      <c r="Q255" s="1" t="s">
        <v>637</v>
      </c>
      <c r="R255" s="1" t="s">
        <v>20</v>
      </c>
      <c r="S255" s="1" t="s">
        <v>642</v>
      </c>
      <c r="T255" s="1"/>
      <c r="U255" s="6"/>
      <c r="V255" s="2"/>
      <c r="W255" s="21" t="s">
        <v>22</v>
      </c>
      <c r="X255" s="21"/>
      <c r="Y255" s="21">
        <v>20</v>
      </c>
      <c r="Z255" s="12" t="s">
        <v>81</v>
      </c>
      <c r="AA255" s="2"/>
      <c r="AB255" s="23"/>
      <c r="AC255" s="2"/>
      <c r="AD255" s="52"/>
    </row>
    <row r="256" spans="1:30" s="53" customFormat="1" x14ac:dyDescent="0.25">
      <c r="A256" s="4"/>
      <c r="B256" s="4">
        <v>45675</v>
      </c>
      <c r="C256" s="6" t="s">
        <v>1730</v>
      </c>
      <c r="D256" s="26" t="s">
        <v>1962</v>
      </c>
      <c r="E256" s="26" t="s">
        <v>643</v>
      </c>
      <c r="F256" s="1" t="s">
        <v>643</v>
      </c>
      <c r="G256" s="8">
        <f>100-12</f>
        <v>88</v>
      </c>
      <c r="H256" s="8"/>
      <c r="I256" s="115">
        <f>Table223[[#This Row],[Qty]]-Table223[[#This Row],[Issue Qty]]</f>
        <v>88</v>
      </c>
      <c r="J256" s="5">
        <v>6.12</v>
      </c>
      <c r="K256" s="5">
        <f t="shared" si="13"/>
        <v>538.56000000000006</v>
      </c>
      <c r="L256" s="82">
        <v>0.18</v>
      </c>
      <c r="M256" s="9">
        <f t="shared" si="14"/>
        <v>96.94080000000001</v>
      </c>
      <c r="N256" s="5">
        <v>0</v>
      </c>
      <c r="O256" s="5"/>
      <c r="P256" s="5">
        <f t="shared" si="15"/>
        <v>635.50080000000003</v>
      </c>
      <c r="Q256" s="1" t="s">
        <v>637</v>
      </c>
      <c r="R256" s="1" t="s">
        <v>20</v>
      </c>
      <c r="S256" s="1" t="s">
        <v>642</v>
      </c>
      <c r="T256" s="1"/>
      <c r="U256" s="6"/>
      <c r="V256" s="2"/>
      <c r="W256" s="21" t="s">
        <v>573</v>
      </c>
      <c r="X256" s="21" t="s">
        <v>1963</v>
      </c>
      <c r="Y256" s="21"/>
      <c r="Z256" s="12"/>
      <c r="AA256" s="2"/>
      <c r="AB256" s="23"/>
      <c r="AC256" s="2"/>
      <c r="AD256" s="52"/>
    </row>
    <row r="257" spans="1:30" s="53" customFormat="1" x14ac:dyDescent="0.25">
      <c r="A257" s="4"/>
      <c r="B257" s="4">
        <v>45679</v>
      </c>
      <c r="C257" s="6" t="s">
        <v>1730</v>
      </c>
      <c r="D257" s="6" t="s">
        <v>1964</v>
      </c>
      <c r="E257" s="6" t="s">
        <v>644</v>
      </c>
      <c r="F257" s="1" t="s">
        <v>644</v>
      </c>
      <c r="G257" s="8">
        <v>2</v>
      </c>
      <c r="H257" s="8">
        <v>2</v>
      </c>
      <c r="I257" s="115">
        <f>Table223[[#This Row],[Qty]]-Table223[[#This Row],[Issue Qty]]</f>
        <v>0</v>
      </c>
      <c r="J257" s="5">
        <v>5.085</v>
      </c>
      <c r="K257" s="5">
        <f t="shared" si="13"/>
        <v>10.17</v>
      </c>
      <c r="L257" s="82">
        <v>0.18</v>
      </c>
      <c r="M257" s="9">
        <f t="shared" si="14"/>
        <v>1.8306</v>
      </c>
      <c r="N257" s="5">
        <v>8.56</v>
      </c>
      <c r="O257" s="5"/>
      <c r="P257" s="5">
        <f t="shared" si="15"/>
        <v>20.560600000000001</v>
      </c>
      <c r="Q257" s="1" t="s">
        <v>637</v>
      </c>
      <c r="R257" s="1" t="s">
        <v>20</v>
      </c>
      <c r="S257" s="1" t="s">
        <v>243</v>
      </c>
      <c r="T257" s="1"/>
      <c r="U257" s="6"/>
      <c r="V257" s="2"/>
      <c r="W257" s="21" t="s">
        <v>833</v>
      </c>
      <c r="X257" s="21"/>
      <c r="Y257" s="8">
        <v>2</v>
      </c>
      <c r="Z257" s="12" t="s">
        <v>81</v>
      </c>
      <c r="AA257" s="2"/>
      <c r="AB257" s="23"/>
      <c r="AC257" s="2"/>
      <c r="AD257" s="52"/>
    </row>
    <row r="258" spans="1:30" s="51" customFormat="1" x14ac:dyDescent="0.25">
      <c r="A258" s="4"/>
      <c r="B258" s="4">
        <v>45679</v>
      </c>
      <c r="C258" s="6" t="s">
        <v>1730</v>
      </c>
      <c r="D258" s="6" t="s">
        <v>1965</v>
      </c>
      <c r="E258" s="6" t="s">
        <v>645</v>
      </c>
      <c r="F258" s="1" t="s">
        <v>645</v>
      </c>
      <c r="G258" s="8">
        <v>2</v>
      </c>
      <c r="H258" s="8">
        <v>2</v>
      </c>
      <c r="I258" s="115">
        <f>Table223[[#This Row],[Qty]]-Table223[[#This Row],[Issue Qty]]</f>
        <v>0</v>
      </c>
      <c r="J258" s="5">
        <v>5.085</v>
      </c>
      <c r="K258" s="5">
        <f t="shared" si="13"/>
        <v>10.17</v>
      </c>
      <c r="L258" s="82">
        <v>0.18</v>
      </c>
      <c r="M258" s="9">
        <f t="shared" si="14"/>
        <v>1.8306</v>
      </c>
      <c r="N258" s="5">
        <v>8.56</v>
      </c>
      <c r="O258" s="5"/>
      <c r="P258" s="5">
        <f t="shared" si="15"/>
        <v>20.560600000000001</v>
      </c>
      <c r="Q258" s="1" t="s">
        <v>637</v>
      </c>
      <c r="R258" s="1" t="s">
        <v>20</v>
      </c>
      <c r="S258" s="1" t="s">
        <v>243</v>
      </c>
      <c r="T258" s="1"/>
      <c r="U258" s="6"/>
      <c r="V258" s="2"/>
      <c r="W258" s="21" t="s">
        <v>1345</v>
      </c>
      <c r="X258" s="21"/>
      <c r="Y258" s="8">
        <v>2</v>
      </c>
      <c r="Z258" s="12" t="s">
        <v>81</v>
      </c>
      <c r="AA258" s="2"/>
      <c r="AB258" s="23"/>
      <c r="AC258" s="2"/>
      <c r="AD258" s="50"/>
    </row>
    <row r="259" spans="1:30" s="51" customFormat="1" x14ac:dyDescent="0.25">
      <c r="A259" s="4"/>
      <c r="B259" s="4">
        <v>45679</v>
      </c>
      <c r="C259" s="6" t="s">
        <v>1730</v>
      </c>
      <c r="D259" s="6" t="s">
        <v>1966</v>
      </c>
      <c r="E259" s="6" t="s">
        <v>646</v>
      </c>
      <c r="F259" s="1" t="s">
        <v>646</v>
      </c>
      <c r="G259" s="8">
        <v>2</v>
      </c>
      <c r="H259" s="8">
        <v>2</v>
      </c>
      <c r="I259" s="115">
        <f>Table223[[#This Row],[Qty]]-Table223[[#This Row],[Issue Qty]]</f>
        <v>0</v>
      </c>
      <c r="J259" s="5">
        <v>5.085</v>
      </c>
      <c r="K259" s="5">
        <f t="shared" si="13"/>
        <v>10.17</v>
      </c>
      <c r="L259" s="82">
        <v>0.18</v>
      </c>
      <c r="M259" s="9">
        <f t="shared" si="14"/>
        <v>1.8306</v>
      </c>
      <c r="N259" s="5">
        <v>8.56</v>
      </c>
      <c r="O259" s="5"/>
      <c r="P259" s="5">
        <f t="shared" si="15"/>
        <v>20.560600000000001</v>
      </c>
      <c r="Q259" s="1" t="s">
        <v>637</v>
      </c>
      <c r="R259" s="1" t="s">
        <v>20</v>
      </c>
      <c r="S259" s="1" t="s">
        <v>243</v>
      </c>
      <c r="T259" s="1"/>
      <c r="U259" s="6"/>
      <c r="V259" s="2"/>
      <c r="W259" s="21" t="s">
        <v>1345</v>
      </c>
      <c r="X259" s="21"/>
      <c r="Y259" s="8">
        <v>2</v>
      </c>
      <c r="Z259" s="12" t="s">
        <v>81</v>
      </c>
      <c r="AA259" s="2"/>
      <c r="AB259" s="23"/>
      <c r="AC259" s="2"/>
      <c r="AD259" s="50"/>
    </row>
    <row r="260" spans="1:30" s="51" customFormat="1" x14ac:dyDescent="0.25">
      <c r="A260" s="4"/>
      <c r="B260" s="4">
        <v>45679</v>
      </c>
      <c r="C260" s="6" t="s">
        <v>1730</v>
      </c>
      <c r="D260" s="6" t="s">
        <v>1967</v>
      </c>
      <c r="E260" s="6" t="s">
        <v>647</v>
      </c>
      <c r="F260" s="1" t="s">
        <v>647</v>
      </c>
      <c r="G260" s="8">
        <v>2</v>
      </c>
      <c r="H260" s="8">
        <v>2</v>
      </c>
      <c r="I260" s="115">
        <f>Table223[[#This Row],[Qty]]-Table223[[#This Row],[Issue Qty]]</f>
        <v>0</v>
      </c>
      <c r="J260" s="5">
        <v>5.09</v>
      </c>
      <c r="K260" s="5">
        <f t="shared" si="13"/>
        <v>10.18</v>
      </c>
      <c r="L260" s="82">
        <v>0.18</v>
      </c>
      <c r="M260" s="9">
        <f t="shared" si="14"/>
        <v>1.8323999999999998</v>
      </c>
      <c r="N260" s="5">
        <v>8.56</v>
      </c>
      <c r="O260" s="5"/>
      <c r="P260" s="5">
        <f t="shared" si="15"/>
        <v>20.572400000000002</v>
      </c>
      <c r="Q260" s="1" t="s">
        <v>637</v>
      </c>
      <c r="R260" s="1" t="s">
        <v>20</v>
      </c>
      <c r="S260" s="1" t="s">
        <v>243</v>
      </c>
      <c r="T260" s="1"/>
      <c r="U260" s="6"/>
      <c r="V260" s="2"/>
      <c r="W260" s="21" t="s">
        <v>1345</v>
      </c>
      <c r="X260" s="21"/>
      <c r="Y260" s="8">
        <v>2</v>
      </c>
      <c r="Z260" s="12" t="s">
        <v>81</v>
      </c>
      <c r="AA260" s="2"/>
      <c r="AB260" s="23"/>
      <c r="AC260" s="2"/>
      <c r="AD260" s="50"/>
    </row>
    <row r="261" spans="1:30" s="51" customFormat="1" x14ac:dyDescent="0.25">
      <c r="A261" s="4"/>
      <c r="B261" s="4">
        <v>45679</v>
      </c>
      <c r="C261" s="6" t="s">
        <v>1730</v>
      </c>
      <c r="D261" s="6" t="s">
        <v>1968</v>
      </c>
      <c r="E261" s="6" t="s">
        <v>648</v>
      </c>
      <c r="F261" s="1" t="s">
        <v>648</v>
      </c>
      <c r="G261" s="8">
        <v>2</v>
      </c>
      <c r="H261" s="8">
        <v>2</v>
      </c>
      <c r="I261" s="115">
        <f>Table223[[#This Row],[Qty]]-Table223[[#This Row],[Issue Qty]]</f>
        <v>0</v>
      </c>
      <c r="J261" s="5">
        <v>5.085</v>
      </c>
      <c r="K261" s="5">
        <f t="shared" si="13"/>
        <v>10.17</v>
      </c>
      <c r="L261" s="82">
        <v>0.18</v>
      </c>
      <c r="M261" s="9">
        <f t="shared" si="14"/>
        <v>1.8306</v>
      </c>
      <c r="N261" s="5">
        <v>8.56</v>
      </c>
      <c r="O261" s="5"/>
      <c r="P261" s="5">
        <f t="shared" si="15"/>
        <v>20.560600000000001</v>
      </c>
      <c r="Q261" s="1" t="s">
        <v>637</v>
      </c>
      <c r="R261" s="1" t="s">
        <v>20</v>
      </c>
      <c r="S261" s="1" t="s">
        <v>243</v>
      </c>
      <c r="T261" s="1"/>
      <c r="U261" s="6"/>
      <c r="V261" s="2"/>
      <c r="W261" s="21" t="s">
        <v>1345</v>
      </c>
      <c r="X261" s="21"/>
      <c r="Y261" s="8">
        <v>2</v>
      </c>
      <c r="Z261" s="12" t="s">
        <v>81</v>
      </c>
      <c r="AA261" s="2"/>
      <c r="AB261" s="23"/>
      <c r="AC261" s="2"/>
      <c r="AD261" s="50"/>
    </row>
    <row r="262" spans="1:30" s="51" customFormat="1" x14ac:dyDescent="0.25">
      <c r="A262" s="4"/>
      <c r="B262" s="4">
        <v>45679</v>
      </c>
      <c r="C262" s="6" t="s">
        <v>1693</v>
      </c>
      <c r="D262" s="26" t="s">
        <v>1969</v>
      </c>
      <c r="E262" s="26" t="s">
        <v>649</v>
      </c>
      <c r="F262" s="1" t="s">
        <v>649</v>
      </c>
      <c r="G262" s="8">
        <v>2</v>
      </c>
      <c r="H262" s="8"/>
      <c r="I262" s="115">
        <f>Table223[[#This Row],[Qty]]-Table223[[#This Row],[Issue Qty]]</f>
        <v>2</v>
      </c>
      <c r="J262" s="5">
        <v>203.39</v>
      </c>
      <c r="K262" s="5">
        <f t="shared" si="13"/>
        <v>406.78</v>
      </c>
      <c r="L262" s="82">
        <v>0.18</v>
      </c>
      <c r="M262" s="9">
        <f t="shared" si="14"/>
        <v>73.220399999999998</v>
      </c>
      <c r="N262" s="5">
        <v>8.56</v>
      </c>
      <c r="O262" s="5"/>
      <c r="P262" s="5">
        <f t="shared" si="15"/>
        <v>488.56039999999996</v>
      </c>
      <c r="Q262" s="1" t="s">
        <v>637</v>
      </c>
      <c r="R262" s="1" t="s">
        <v>20</v>
      </c>
      <c r="S262" s="1" t="s">
        <v>243</v>
      </c>
      <c r="T262" s="1"/>
      <c r="U262" s="1"/>
      <c r="V262" s="1"/>
      <c r="W262" s="8" t="s">
        <v>650</v>
      </c>
      <c r="X262" s="21" t="s">
        <v>651</v>
      </c>
      <c r="Y262" s="8">
        <v>2</v>
      </c>
      <c r="Z262" s="12" t="s">
        <v>81</v>
      </c>
      <c r="AA262" s="1"/>
      <c r="AB262" s="23"/>
      <c r="AC262" s="6"/>
      <c r="AD262" s="50"/>
    </row>
    <row r="263" spans="1:30" s="51" customFormat="1" ht="30" x14ac:dyDescent="0.25">
      <c r="A263" s="4"/>
      <c r="B263" s="4">
        <v>45679</v>
      </c>
      <c r="C263" s="6" t="s">
        <v>1693</v>
      </c>
      <c r="D263" s="26" t="s">
        <v>1970</v>
      </c>
      <c r="E263" s="26" t="s">
        <v>652</v>
      </c>
      <c r="F263" s="1" t="s">
        <v>653</v>
      </c>
      <c r="G263" s="8">
        <v>2</v>
      </c>
      <c r="H263" s="8"/>
      <c r="I263" s="115">
        <f>Table223[[#This Row],[Qty]]-Table223[[#This Row],[Issue Qty]]</f>
        <v>2</v>
      </c>
      <c r="J263" s="5">
        <v>114.405</v>
      </c>
      <c r="K263" s="5">
        <f t="shared" si="13"/>
        <v>228.81</v>
      </c>
      <c r="L263" s="82">
        <v>0.18</v>
      </c>
      <c r="M263" s="9">
        <f t="shared" si="14"/>
        <v>41.1858</v>
      </c>
      <c r="N263" s="5">
        <v>8.56</v>
      </c>
      <c r="O263" s="5"/>
      <c r="P263" s="5">
        <f t="shared" si="15"/>
        <v>278.55580000000003</v>
      </c>
      <c r="Q263" s="1" t="s">
        <v>637</v>
      </c>
      <c r="R263" s="1" t="s">
        <v>20</v>
      </c>
      <c r="S263" s="1" t="s">
        <v>243</v>
      </c>
      <c r="T263" s="1"/>
      <c r="U263" s="6"/>
      <c r="V263" s="2"/>
      <c r="W263" s="8" t="s">
        <v>650</v>
      </c>
      <c r="X263" s="21" t="s">
        <v>651</v>
      </c>
      <c r="Y263" s="21">
        <v>2</v>
      </c>
      <c r="Z263" s="12" t="s">
        <v>81</v>
      </c>
      <c r="AA263" s="2"/>
      <c r="AB263" s="23"/>
      <c r="AC263" s="2"/>
      <c r="AD263" s="50"/>
    </row>
    <row r="264" spans="1:30" s="51" customFormat="1" ht="30" x14ac:dyDescent="0.25">
      <c r="A264" s="4"/>
      <c r="B264" s="4">
        <v>45679</v>
      </c>
      <c r="C264" s="6" t="s">
        <v>1693</v>
      </c>
      <c r="D264" s="26" t="s">
        <v>1971</v>
      </c>
      <c r="E264" s="26" t="s">
        <v>654</v>
      </c>
      <c r="F264" s="1" t="s">
        <v>655</v>
      </c>
      <c r="G264" s="8">
        <v>2</v>
      </c>
      <c r="H264" s="8"/>
      <c r="I264" s="115">
        <f>Table223[[#This Row],[Qty]]-Table223[[#This Row],[Issue Qty]]</f>
        <v>2</v>
      </c>
      <c r="J264" s="5">
        <v>57.145000000000003</v>
      </c>
      <c r="K264" s="5">
        <f t="shared" si="13"/>
        <v>114.29</v>
      </c>
      <c r="L264" s="82">
        <v>0.05</v>
      </c>
      <c r="M264" s="9">
        <f t="shared" si="14"/>
        <v>5.714500000000001</v>
      </c>
      <c r="N264" s="5">
        <v>8.56</v>
      </c>
      <c r="O264" s="5"/>
      <c r="P264" s="5">
        <f t="shared" si="15"/>
        <v>128.56450000000001</v>
      </c>
      <c r="Q264" s="1" t="s">
        <v>637</v>
      </c>
      <c r="R264" s="1" t="s">
        <v>20</v>
      </c>
      <c r="S264" s="1" t="s">
        <v>243</v>
      </c>
      <c r="T264" s="1"/>
      <c r="U264" s="6"/>
      <c r="V264" s="2"/>
      <c r="W264" s="21" t="s">
        <v>688</v>
      </c>
      <c r="X264" s="21"/>
      <c r="Y264" s="21">
        <v>1</v>
      </c>
      <c r="Z264" s="22" t="s">
        <v>656</v>
      </c>
      <c r="AA264" s="2"/>
      <c r="AB264" s="23"/>
      <c r="AC264" s="2"/>
      <c r="AD264" s="50"/>
    </row>
    <row r="265" spans="1:30" s="51" customFormat="1" ht="30" x14ac:dyDescent="0.25">
      <c r="A265" s="4"/>
      <c r="B265" s="4">
        <v>45679</v>
      </c>
      <c r="C265" s="6" t="s">
        <v>1693</v>
      </c>
      <c r="D265" s="26" t="s">
        <v>1972</v>
      </c>
      <c r="E265" s="26" t="s">
        <v>657</v>
      </c>
      <c r="F265" s="1" t="s">
        <v>658</v>
      </c>
      <c r="G265" s="8">
        <v>2</v>
      </c>
      <c r="H265" s="8"/>
      <c r="I265" s="115">
        <f>Table223[[#This Row],[Qty]]-Table223[[#This Row],[Issue Qty]]</f>
        <v>2</v>
      </c>
      <c r="J265" s="5">
        <v>195.24</v>
      </c>
      <c r="K265" s="5">
        <f t="shared" si="13"/>
        <v>390.48</v>
      </c>
      <c r="L265" s="82">
        <v>0.05</v>
      </c>
      <c r="M265" s="9">
        <f t="shared" si="14"/>
        <v>19.524000000000001</v>
      </c>
      <c r="N265" s="5">
        <v>8.56</v>
      </c>
      <c r="O265" s="5"/>
      <c r="P265" s="5">
        <f t="shared" si="15"/>
        <v>418.56400000000002</v>
      </c>
      <c r="Q265" s="1" t="s">
        <v>637</v>
      </c>
      <c r="R265" s="1" t="s">
        <v>20</v>
      </c>
      <c r="S265" s="1" t="s">
        <v>243</v>
      </c>
      <c r="T265" s="1"/>
      <c r="U265" s="1"/>
      <c r="V265" s="1"/>
      <c r="W265" s="8" t="s">
        <v>573</v>
      </c>
      <c r="X265" s="8" t="s">
        <v>1963</v>
      </c>
      <c r="Y265" s="8">
        <v>2</v>
      </c>
      <c r="Z265" s="22" t="s">
        <v>656</v>
      </c>
      <c r="AA265" s="1"/>
      <c r="AB265" s="23"/>
      <c r="AC265" s="6"/>
      <c r="AD265" s="50"/>
    </row>
    <row r="266" spans="1:30" s="51" customFormat="1" x14ac:dyDescent="0.25">
      <c r="A266" s="4"/>
      <c r="B266" s="4">
        <v>45679</v>
      </c>
      <c r="C266" s="6" t="s">
        <v>1693</v>
      </c>
      <c r="D266" s="26" t="s">
        <v>1973</v>
      </c>
      <c r="E266" s="26" t="s">
        <v>659</v>
      </c>
      <c r="F266" s="1" t="s">
        <v>659</v>
      </c>
      <c r="G266" s="8">
        <v>2</v>
      </c>
      <c r="H266" s="8"/>
      <c r="I266" s="115">
        <f>Table223[[#This Row],[Qty]]-Table223[[#This Row],[Issue Qty]]</f>
        <v>2</v>
      </c>
      <c r="J266" s="5">
        <v>83.9</v>
      </c>
      <c r="K266" s="5">
        <f t="shared" si="13"/>
        <v>167.8</v>
      </c>
      <c r="L266" s="82">
        <v>0.18</v>
      </c>
      <c r="M266" s="9">
        <f t="shared" si="14"/>
        <v>30.204000000000001</v>
      </c>
      <c r="N266" s="5">
        <v>8.56</v>
      </c>
      <c r="O266" s="5"/>
      <c r="P266" s="5">
        <f t="shared" si="15"/>
        <v>206.56400000000002</v>
      </c>
      <c r="Q266" s="1" t="s">
        <v>637</v>
      </c>
      <c r="R266" s="1" t="s">
        <v>20</v>
      </c>
      <c r="S266" s="1" t="s">
        <v>243</v>
      </c>
      <c r="T266" s="1"/>
      <c r="U266" s="1"/>
      <c r="V266" s="1"/>
      <c r="W266" s="8" t="s">
        <v>650</v>
      </c>
      <c r="X266" s="21" t="s">
        <v>651</v>
      </c>
      <c r="Y266" s="8"/>
      <c r="Z266" s="22"/>
      <c r="AA266" s="1"/>
      <c r="AB266" s="23"/>
      <c r="AC266" s="6"/>
      <c r="AD266" s="50"/>
    </row>
    <row r="267" spans="1:30" s="51" customFormat="1" x14ac:dyDescent="0.25">
      <c r="A267" s="4"/>
      <c r="B267" s="4">
        <v>45679</v>
      </c>
      <c r="C267" s="6" t="s">
        <v>1693</v>
      </c>
      <c r="D267" s="6" t="s">
        <v>1974</v>
      </c>
      <c r="E267" s="170" t="s">
        <v>660</v>
      </c>
      <c r="F267" s="1" t="s">
        <v>661</v>
      </c>
      <c r="G267" s="8">
        <v>2</v>
      </c>
      <c r="H267" s="8">
        <v>2</v>
      </c>
      <c r="I267" s="115">
        <f>Table223[[#This Row],[Qty]]-Table223[[#This Row],[Issue Qty]]</f>
        <v>0</v>
      </c>
      <c r="J267" s="5">
        <v>21.184999999999999</v>
      </c>
      <c r="K267" s="5">
        <f t="shared" si="13"/>
        <v>42.37</v>
      </c>
      <c r="L267" s="82">
        <v>0.18</v>
      </c>
      <c r="M267" s="9">
        <f t="shared" si="14"/>
        <v>7.6265999999999989</v>
      </c>
      <c r="N267" s="5">
        <v>8.56</v>
      </c>
      <c r="O267" s="5"/>
      <c r="P267" s="5">
        <f t="shared" si="15"/>
        <v>58.556599999999996</v>
      </c>
      <c r="Q267" s="1" t="s">
        <v>637</v>
      </c>
      <c r="R267" s="1" t="s">
        <v>20</v>
      </c>
      <c r="S267" s="1" t="s">
        <v>243</v>
      </c>
      <c r="T267" s="1"/>
      <c r="U267" s="1"/>
      <c r="V267" s="1"/>
      <c r="W267" s="8" t="s">
        <v>650</v>
      </c>
      <c r="X267" s="21" t="s">
        <v>651</v>
      </c>
      <c r="Y267" s="8">
        <v>2</v>
      </c>
      <c r="Z267" s="22" t="s">
        <v>474</v>
      </c>
      <c r="AA267" s="1"/>
      <c r="AB267" s="23" t="s">
        <v>662</v>
      </c>
      <c r="AC267" s="6"/>
      <c r="AD267" s="50"/>
    </row>
    <row r="268" spans="1:30" s="51" customFormat="1" x14ac:dyDescent="0.25">
      <c r="A268" s="4"/>
      <c r="B268" s="4">
        <v>45679</v>
      </c>
      <c r="C268" s="6" t="s">
        <v>1693</v>
      </c>
      <c r="D268" s="6" t="s">
        <v>1959</v>
      </c>
      <c r="E268" s="6" t="s">
        <v>635</v>
      </c>
      <c r="F268" s="1" t="s">
        <v>636</v>
      </c>
      <c r="G268" s="8">
        <v>2</v>
      </c>
      <c r="H268" s="8"/>
      <c r="I268" s="115">
        <f>Table223[[#This Row],[Qty]]-Table223[[#This Row],[Issue Qty]]</f>
        <v>2</v>
      </c>
      <c r="J268" s="5">
        <v>500</v>
      </c>
      <c r="K268" s="5">
        <f t="shared" si="13"/>
        <v>1000</v>
      </c>
      <c r="L268" s="82">
        <v>0.18</v>
      </c>
      <c r="M268" s="9">
        <f t="shared" si="14"/>
        <v>180</v>
      </c>
      <c r="N268" s="5">
        <v>8.56</v>
      </c>
      <c r="O268" s="5"/>
      <c r="P268" s="5">
        <f t="shared" si="15"/>
        <v>1188.56</v>
      </c>
      <c r="Q268" s="1" t="s">
        <v>637</v>
      </c>
      <c r="R268" s="1" t="s">
        <v>20</v>
      </c>
      <c r="S268" s="1" t="s">
        <v>243</v>
      </c>
      <c r="T268" s="1"/>
      <c r="U268" s="1"/>
      <c r="V268" s="1"/>
      <c r="W268" s="21" t="s">
        <v>638</v>
      </c>
      <c r="X268" s="21" t="s">
        <v>1960</v>
      </c>
      <c r="Y268" s="8"/>
      <c r="Z268" s="22"/>
      <c r="AA268" s="1"/>
      <c r="AB268" s="23" t="s">
        <v>639</v>
      </c>
      <c r="AC268" s="6"/>
      <c r="AD268" s="50"/>
    </row>
    <row r="269" spans="1:30" s="51" customFormat="1" x14ac:dyDescent="0.25">
      <c r="A269" s="4"/>
      <c r="B269" s="4">
        <v>45679</v>
      </c>
      <c r="C269" s="6" t="s">
        <v>1693</v>
      </c>
      <c r="D269" s="26" t="s">
        <v>1975</v>
      </c>
      <c r="E269" s="26" t="s">
        <v>663</v>
      </c>
      <c r="F269" s="1" t="s">
        <v>664</v>
      </c>
      <c r="G269" s="8">
        <v>2</v>
      </c>
      <c r="H269" s="8"/>
      <c r="I269" s="115">
        <f>Table223[[#This Row],[Qty]]-Table223[[#This Row],[Issue Qty]]</f>
        <v>2</v>
      </c>
      <c r="J269" s="5">
        <v>283.89999999999998</v>
      </c>
      <c r="K269" s="5">
        <f t="shared" si="13"/>
        <v>567.79999999999995</v>
      </c>
      <c r="L269" s="82">
        <v>0.18</v>
      </c>
      <c r="M269" s="9">
        <f t="shared" si="14"/>
        <v>102.20399999999999</v>
      </c>
      <c r="N269" s="5">
        <v>8.56</v>
      </c>
      <c r="O269" s="5"/>
      <c r="P269" s="5">
        <f t="shared" si="15"/>
        <v>678.56399999999985</v>
      </c>
      <c r="Q269" s="1" t="s">
        <v>637</v>
      </c>
      <c r="R269" s="1" t="s">
        <v>20</v>
      </c>
      <c r="S269" s="1" t="s">
        <v>243</v>
      </c>
      <c r="T269" s="1"/>
      <c r="U269" s="6"/>
      <c r="V269" s="2"/>
      <c r="W269" s="8" t="s">
        <v>650</v>
      </c>
      <c r="X269" s="21" t="s">
        <v>651</v>
      </c>
      <c r="Y269" s="21"/>
      <c r="Z269" s="12"/>
      <c r="AA269" s="2"/>
      <c r="AB269" s="23"/>
      <c r="AC269" s="2"/>
      <c r="AD269" s="50"/>
    </row>
    <row r="270" spans="1:30" s="51" customFormat="1" x14ac:dyDescent="0.25">
      <c r="A270" s="4"/>
      <c r="B270" s="4">
        <v>45679</v>
      </c>
      <c r="C270" s="6" t="s">
        <v>1693</v>
      </c>
      <c r="D270" s="26" t="s">
        <v>1976</v>
      </c>
      <c r="E270" s="26" t="s">
        <v>665</v>
      </c>
      <c r="F270" s="1" t="s">
        <v>665</v>
      </c>
      <c r="G270" s="8">
        <v>2</v>
      </c>
      <c r="H270" s="8"/>
      <c r="I270" s="115">
        <f>Table223[[#This Row],[Qty]]-Table223[[#This Row],[Issue Qty]]</f>
        <v>2</v>
      </c>
      <c r="J270" s="5">
        <v>78.814999999999998</v>
      </c>
      <c r="K270" s="5">
        <f t="shared" si="13"/>
        <v>157.63</v>
      </c>
      <c r="L270" s="82">
        <v>0.18</v>
      </c>
      <c r="M270" s="9">
        <f t="shared" si="14"/>
        <v>28.373399999999997</v>
      </c>
      <c r="N270" s="5">
        <v>8.56</v>
      </c>
      <c r="O270" s="5"/>
      <c r="P270" s="5">
        <f t="shared" si="15"/>
        <v>194.5634</v>
      </c>
      <c r="Q270" s="1" t="s">
        <v>637</v>
      </c>
      <c r="R270" s="1" t="s">
        <v>20</v>
      </c>
      <c r="S270" s="1" t="s">
        <v>243</v>
      </c>
      <c r="T270" s="1"/>
      <c r="U270" s="6"/>
      <c r="V270" s="27"/>
      <c r="W270" s="8" t="s">
        <v>650</v>
      </c>
      <c r="X270" s="21" t="s">
        <v>651</v>
      </c>
      <c r="Y270" s="21"/>
      <c r="Z270" s="12"/>
      <c r="AA270" s="27"/>
      <c r="AB270" s="23"/>
      <c r="AC270" s="27"/>
      <c r="AD270" s="50"/>
    </row>
    <row r="271" spans="1:30" s="51" customFormat="1" ht="30" x14ac:dyDescent="0.25">
      <c r="A271" s="4"/>
      <c r="B271" s="4">
        <v>45679</v>
      </c>
      <c r="C271" s="6" t="s">
        <v>1693</v>
      </c>
      <c r="D271" s="6" t="s">
        <v>1977</v>
      </c>
      <c r="E271" s="6" t="s">
        <v>666</v>
      </c>
      <c r="F271" s="1" t="s">
        <v>667</v>
      </c>
      <c r="G271" s="8">
        <v>2</v>
      </c>
      <c r="H271" s="8"/>
      <c r="I271" s="115">
        <f>Table223[[#This Row],[Qty]]-Table223[[#This Row],[Issue Qty]]</f>
        <v>2</v>
      </c>
      <c r="J271" s="5">
        <v>109.32</v>
      </c>
      <c r="K271" s="5">
        <f t="shared" si="13"/>
        <v>218.64</v>
      </c>
      <c r="L271" s="82">
        <v>0.18</v>
      </c>
      <c r="M271" s="9">
        <f t="shared" si="14"/>
        <v>39.355199999999996</v>
      </c>
      <c r="N271" s="5">
        <v>8.56</v>
      </c>
      <c r="O271" s="5"/>
      <c r="P271" s="5">
        <f t="shared" si="15"/>
        <v>266.55519999999996</v>
      </c>
      <c r="Q271" s="1" t="s">
        <v>637</v>
      </c>
      <c r="R271" s="1" t="s">
        <v>20</v>
      </c>
      <c r="S271" s="1" t="s">
        <v>243</v>
      </c>
      <c r="T271" s="1"/>
      <c r="U271" s="6"/>
      <c r="V271" s="2"/>
      <c r="W271" s="8" t="s">
        <v>650</v>
      </c>
      <c r="X271" s="21" t="s">
        <v>651</v>
      </c>
      <c r="Y271" s="21"/>
      <c r="Z271" s="12"/>
      <c r="AA271" s="2"/>
      <c r="AB271" s="23" t="s">
        <v>668</v>
      </c>
      <c r="AC271" s="2"/>
      <c r="AD271" s="50"/>
    </row>
    <row r="272" spans="1:30" s="53" customFormat="1" ht="30" x14ac:dyDescent="0.25">
      <c r="A272" s="4"/>
      <c r="B272" s="4">
        <v>45679</v>
      </c>
      <c r="C272" s="6" t="s">
        <v>1693</v>
      </c>
      <c r="D272" s="26" t="s">
        <v>1978</v>
      </c>
      <c r="E272" s="26" t="s">
        <v>669</v>
      </c>
      <c r="F272" s="1" t="s">
        <v>669</v>
      </c>
      <c r="G272" s="8">
        <v>2</v>
      </c>
      <c r="H272" s="8"/>
      <c r="I272" s="115">
        <f>Table223[[#This Row],[Qty]]-Table223[[#This Row],[Issue Qty]]</f>
        <v>2</v>
      </c>
      <c r="J272" s="5">
        <v>354.23500000000001</v>
      </c>
      <c r="K272" s="5">
        <f t="shared" si="13"/>
        <v>708.47</v>
      </c>
      <c r="L272" s="82">
        <v>0.18</v>
      </c>
      <c r="M272" s="9">
        <f t="shared" si="14"/>
        <v>127.52460000000001</v>
      </c>
      <c r="N272" s="5">
        <v>8.56</v>
      </c>
      <c r="O272" s="5"/>
      <c r="P272" s="5">
        <f t="shared" si="15"/>
        <v>844.55459999999994</v>
      </c>
      <c r="Q272" s="1" t="s">
        <v>637</v>
      </c>
      <c r="R272" s="1" t="s">
        <v>20</v>
      </c>
      <c r="S272" s="1" t="s">
        <v>243</v>
      </c>
      <c r="T272" s="1"/>
      <c r="U272" s="6"/>
      <c r="V272" s="2"/>
      <c r="W272" s="8" t="s">
        <v>650</v>
      </c>
      <c r="X272" s="21" t="s">
        <v>651</v>
      </c>
      <c r="Y272" s="21"/>
      <c r="Z272" s="12"/>
      <c r="AA272" s="2"/>
      <c r="AB272" s="23"/>
      <c r="AC272" s="2"/>
      <c r="AD272" s="52"/>
    </row>
    <row r="273" spans="1:30" s="51" customFormat="1" ht="30" x14ac:dyDescent="0.25">
      <c r="A273" s="4"/>
      <c r="B273" s="4">
        <v>45679</v>
      </c>
      <c r="C273" s="6" t="s">
        <v>1693</v>
      </c>
      <c r="D273" s="6" t="s">
        <v>1979</v>
      </c>
      <c r="E273" s="6" t="s">
        <v>670</v>
      </c>
      <c r="F273" s="1" t="s">
        <v>670</v>
      </c>
      <c r="G273" s="8">
        <v>2</v>
      </c>
      <c r="H273" s="8"/>
      <c r="I273" s="115">
        <f>Table223[[#This Row],[Qty]]-Table223[[#This Row],[Issue Qty]]</f>
        <v>2</v>
      </c>
      <c r="J273" s="5">
        <v>237.29</v>
      </c>
      <c r="K273" s="5">
        <f t="shared" si="13"/>
        <v>474.58</v>
      </c>
      <c r="L273" s="82">
        <v>0.18</v>
      </c>
      <c r="M273" s="9">
        <f t="shared" si="14"/>
        <v>85.424399999999991</v>
      </c>
      <c r="N273" s="5">
        <v>8.56</v>
      </c>
      <c r="O273" s="5"/>
      <c r="P273" s="5">
        <f t="shared" si="15"/>
        <v>568.56439999999998</v>
      </c>
      <c r="Q273" s="1" t="s">
        <v>637</v>
      </c>
      <c r="R273" s="1" t="s">
        <v>20</v>
      </c>
      <c r="S273" s="1" t="s">
        <v>243</v>
      </c>
      <c r="T273" s="1"/>
      <c r="U273" s="1"/>
      <c r="V273" s="1"/>
      <c r="W273" s="8" t="s">
        <v>650</v>
      </c>
      <c r="X273" s="21" t="s">
        <v>651</v>
      </c>
      <c r="Y273" s="8"/>
      <c r="Z273" s="22"/>
      <c r="AA273" s="1"/>
      <c r="AB273" s="23" t="s">
        <v>671</v>
      </c>
      <c r="AC273" s="6"/>
      <c r="AD273" s="50"/>
    </row>
    <row r="274" spans="1:30" s="51" customFormat="1" x14ac:dyDescent="0.25">
      <c r="A274" s="4"/>
      <c r="B274" s="4">
        <v>45679</v>
      </c>
      <c r="C274" s="6" t="s">
        <v>1693</v>
      </c>
      <c r="D274" s="26" t="s">
        <v>1980</v>
      </c>
      <c r="E274" s="26" t="s">
        <v>672</v>
      </c>
      <c r="F274" s="1" t="s">
        <v>672</v>
      </c>
      <c r="G274" s="8">
        <v>1</v>
      </c>
      <c r="H274" s="8"/>
      <c r="I274" s="115">
        <f>Table223[[#This Row],[Qty]]-Table223[[#This Row],[Issue Qty]]</f>
        <v>1</v>
      </c>
      <c r="J274" s="5">
        <v>1737.29</v>
      </c>
      <c r="K274" s="5">
        <f t="shared" si="13"/>
        <v>1737.29</v>
      </c>
      <c r="L274" s="82">
        <v>0.18</v>
      </c>
      <c r="M274" s="9">
        <f t="shared" si="14"/>
        <v>312.7122</v>
      </c>
      <c r="N274" s="5">
        <v>8.56</v>
      </c>
      <c r="O274" s="5"/>
      <c r="P274" s="5">
        <f t="shared" si="15"/>
        <v>2058.5621999999998</v>
      </c>
      <c r="Q274" s="1" t="s">
        <v>637</v>
      </c>
      <c r="R274" s="1" t="s">
        <v>20</v>
      </c>
      <c r="S274" s="1" t="s">
        <v>243</v>
      </c>
      <c r="T274" s="1"/>
      <c r="U274" s="1"/>
      <c r="V274" s="1"/>
      <c r="W274" s="8" t="s">
        <v>650</v>
      </c>
      <c r="X274" s="21" t="s">
        <v>651</v>
      </c>
      <c r="Y274" s="8"/>
      <c r="Z274" s="22"/>
      <c r="AA274" s="1"/>
      <c r="AB274" s="23"/>
      <c r="AC274" s="6"/>
      <c r="AD274" s="50"/>
    </row>
    <row r="275" spans="1:30" s="51" customFormat="1" x14ac:dyDescent="0.25">
      <c r="A275" s="4"/>
      <c r="B275" s="4">
        <v>45681</v>
      </c>
      <c r="C275" s="6" t="s">
        <v>1693</v>
      </c>
      <c r="D275" s="26" t="s">
        <v>1981</v>
      </c>
      <c r="E275" s="26" t="s">
        <v>673</v>
      </c>
      <c r="F275" s="1" t="s">
        <v>673</v>
      </c>
      <c r="G275" s="8">
        <v>2</v>
      </c>
      <c r="H275" s="8"/>
      <c r="I275" s="115">
        <f>Table223[[#This Row],[Qty]]-Table223[[#This Row],[Issue Qty]]</f>
        <v>2</v>
      </c>
      <c r="J275" s="5">
        <v>2990</v>
      </c>
      <c r="K275" s="5">
        <f t="shared" si="13"/>
        <v>5980</v>
      </c>
      <c r="L275" s="82">
        <v>0.18</v>
      </c>
      <c r="M275" s="9">
        <f t="shared" si="14"/>
        <v>1076.3999999999999</v>
      </c>
      <c r="N275" s="5">
        <v>38.35</v>
      </c>
      <c r="O275" s="5"/>
      <c r="P275" s="5">
        <f t="shared" si="15"/>
        <v>7094.75</v>
      </c>
      <c r="Q275" s="1" t="s">
        <v>637</v>
      </c>
      <c r="R275" s="1" t="s">
        <v>20</v>
      </c>
      <c r="S275" s="1" t="s">
        <v>564</v>
      </c>
      <c r="T275" s="1"/>
      <c r="U275" s="1"/>
      <c r="V275" s="1"/>
      <c r="W275" s="21" t="s">
        <v>650</v>
      </c>
      <c r="X275" s="21" t="s">
        <v>674</v>
      </c>
      <c r="Y275" s="8"/>
      <c r="Z275" s="22"/>
      <c r="AA275" s="1"/>
      <c r="AB275" s="23"/>
      <c r="AC275" s="6"/>
      <c r="AD275" s="50"/>
    </row>
    <row r="276" spans="1:30" s="51" customFormat="1" x14ac:dyDescent="0.25">
      <c r="A276" s="4"/>
      <c r="B276" s="4">
        <v>45681</v>
      </c>
      <c r="C276" s="6" t="s">
        <v>1693</v>
      </c>
      <c r="D276" s="6" t="s">
        <v>1982</v>
      </c>
      <c r="E276" s="170" t="s">
        <v>675</v>
      </c>
      <c r="F276" s="1" t="s">
        <v>675</v>
      </c>
      <c r="G276" s="8">
        <v>2</v>
      </c>
      <c r="H276" s="8">
        <v>2</v>
      </c>
      <c r="I276" s="115">
        <f>Table223[[#This Row],[Qty]]-Table223[[#This Row],[Issue Qty]]</f>
        <v>0</v>
      </c>
      <c r="J276" s="5">
        <v>168.65</v>
      </c>
      <c r="K276" s="5">
        <f t="shared" si="13"/>
        <v>337.3</v>
      </c>
      <c r="L276" s="82">
        <v>0.18</v>
      </c>
      <c r="M276" s="9">
        <f t="shared" si="14"/>
        <v>60.713999999999999</v>
      </c>
      <c r="N276" s="5">
        <v>125</v>
      </c>
      <c r="O276" s="5"/>
      <c r="P276" s="5">
        <f t="shared" si="15"/>
        <v>523.01400000000001</v>
      </c>
      <c r="Q276" s="1" t="s">
        <v>637</v>
      </c>
      <c r="R276" s="1" t="s">
        <v>20</v>
      </c>
      <c r="S276" s="1" t="s">
        <v>394</v>
      </c>
      <c r="T276" s="1"/>
      <c r="U276" s="6"/>
      <c r="V276" s="2"/>
      <c r="W276" s="21" t="s">
        <v>650</v>
      </c>
      <c r="X276" s="21" t="s">
        <v>674</v>
      </c>
      <c r="Y276" s="21">
        <v>2</v>
      </c>
      <c r="Z276" s="12" t="s">
        <v>81</v>
      </c>
      <c r="AA276" s="2"/>
      <c r="AB276" s="23" t="s">
        <v>676</v>
      </c>
      <c r="AC276" s="2"/>
      <c r="AD276" s="50"/>
    </row>
    <row r="277" spans="1:30" s="51" customFormat="1" ht="30" x14ac:dyDescent="0.25">
      <c r="A277" s="4"/>
      <c r="B277" s="4">
        <v>45681</v>
      </c>
      <c r="C277" s="6" t="s">
        <v>1693</v>
      </c>
      <c r="D277" s="26" t="s">
        <v>1983</v>
      </c>
      <c r="E277" s="168" t="s">
        <v>677</v>
      </c>
      <c r="F277" s="1" t="s">
        <v>677</v>
      </c>
      <c r="G277" s="8">
        <v>1</v>
      </c>
      <c r="H277" s="8">
        <v>1</v>
      </c>
      <c r="I277" s="115">
        <f>Table223[[#This Row],[Qty]]-Table223[[#This Row],[Issue Qty]]</f>
        <v>0</v>
      </c>
      <c r="J277" s="5">
        <v>340</v>
      </c>
      <c r="K277" s="5">
        <f t="shared" si="13"/>
        <v>340</v>
      </c>
      <c r="L277" s="82">
        <v>0.18</v>
      </c>
      <c r="M277" s="9">
        <f t="shared" si="14"/>
        <v>61.199999999999996</v>
      </c>
      <c r="N277" s="5">
        <v>38.35</v>
      </c>
      <c r="O277" s="5"/>
      <c r="P277" s="5">
        <f t="shared" si="15"/>
        <v>439.55</v>
      </c>
      <c r="Q277" s="1" t="s">
        <v>637</v>
      </c>
      <c r="R277" s="1" t="s">
        <v>20</v>
      </c>
      <c r="S277" s="1" t="s">
        <v>564</v>
      </c>
      <c r="T277" s="1"/>
      <c r="U277" s="1"/>
      <c r="V277" s="1"/>
      <c r="W277" s="21" t="s">
        <v>650</v>
      </c>
      <c r="X277" s="21" t="s">
        <v>674</v>
      </c>
      <c r="Y277" s="8">
        <v>1</v>
      </c>
      <c r="Z277" s="12" t="s">
        <v>81</v>
      </c>
      <c r="AA277" s="1"/>
      <c r="AB277" s="23"/>
      <c r="AC277" s="6"/>
      <c r="AD277" s="50"/>
    </row>
    <row r="278" spans="1:30" s="51" customFormat="1" ht="30" x14ac:dyDescent="0.25">
      <c r="A278" s="4"/>
      <c r="B278" s="4">
        <v>45681</v>
      </c>
      <c r="C278" s="6" t="s">
        <v>1693</v>
      </c>
      <c r="D278" s="6" t="s">
        <v>1984</v>
      </c>
      <c r="E278" s="170" t="s">
        <v>678</v>
      </c>
      <c r="F278" s="1" t="s">
        <v>678</v>
      </c>
      <c r="G278" s="8">
        <v>1</v>
      </c>
      <c r="H278" s="8">
        <v>1</v>
      </c>
      <c r="I278" s="115">
        <f>Table223[[#This Row],[Qty]]-Table223[[#This Row],[Issue Qty]]</f>
        <v>0</v>
      </c>
      <c r="J278" s="5">
        <v>14</v>
      </c>
      <c r="K278" s="5">
        <f t="shared" si="13"/>
        <v>14</v>
      </c>
      <c r="L278" s="82">
        <v>0.18</v>
      </c>
      <c r="M278" s="9">
        <f t="shared" si="14"/>
        <v>2.52</v>
      </c>
      <c r="N278" s="5">
        <v>38.35</v>
      </c>
      <c r="O278" s="5"/>
      <c r="P278" s="5">
        <f t="shared" si="15"/>
        <v>54.870000000000005</v>
      </c>
      <c r="Q278" s="1" t="s">
        <v>637</v>
      </c>
      <c r="R278" s="1" t="s">
        <v>20</v>
      </c>
      <c r="S278" s="1" t="s">
        <v>564</v>
      </c>
      <c r="T278" s="1"/>
      <c r="U278" s="6"/>
      <c r="V278" s="2"/>
      <c r="W278" s="21" t="s">
        <v>650</v>
      </c>
      <c r="X278" s="21" t="s">
        <v>674</v>
      </c>
      <c r="Y278" s="21">
        <v>1</v>
      </c>
      <c r="Z278" s="12" t="s">
        <v>81</v>
      </c>
      <c r="AA278" s="2"/>
      <c r="AB278" s="23"/>
      <c r="AC278" s="2"/>
      <c r="AD278" s="50"/>
    </row>
    <row r="279" spans="1:30" s="51" customFormat="1" x14ac:dyDescent="0.25">
      <c r="A279" s="4"/>
      <c r="B279" s="4">
        <v>45681</v>
      </c>
      <c r="C279" s="6" t="s">
        <v>1693</v>
      </c>
      <c r="D279" s="6" t="s">
        <v>1985</v>
      </c>
      <c r="E279" s="6" t="s">
        <v>679</v>
      </c>
      <c r="F279" s="1" t="s">
        <v>679</v>
      </c>
      <c r="G279" s="8">
        <v>1</v>
      </c>
      <c r="H279" s="8"/>
      <c r="I279" s="115">
        <f>Table223[[#This Row],[Qty]]-Table223[[#This Row],[Issue Qty]]</f>
        <v>1</v>
      </c>
      <c r="J279" s="5">
        <v>5.5</v>
      </c>
      <c r="K279" s="5">
        <f t="shared" si="13"/>
        <v>5.5</v>
      </c>
      <c r="L279" s="82">
        <v>0.18</v>
      </c>
      <c r="M279" s="9">
        <f t="shared" si="14"/>
        <v>0.99</v>
      </c>
      <c r="N279" s="5">
        <v>38.35</v>
      </c>
      <c r="O279" s="5"/>
      <c r="P279" s="5">
        <f t="shared" si="15"/>
        <v>44.84</v>
      </c>
      <c r="Q279" s="1" t="s">
        <v>637</v>
      </c>
      <c r="R279" s="1" t="s">
        <v>20</v>
      </c>
      <c r="S279" s="1" t="s">
        <v>564</v>
      </c>
      <c r="T279" s="1"/>
      <c r="U279" s="6"/>
      <c r="V279" s="2"/>
      <c r="W279" s="21" t="s">
        <v>650</v>
      </c>
      <c r="X279" s="21" t="s">
        <v>674</v>
      </c>
      <c r="Y279" s="21">
        <v>1</v>
      </c>
      <c r="Z279" s="12" t="s">
        <v>81</v>
      </c>
      <c r="AA279" s="2"/>
      <c r="AB279" s="23"/>
      <c r="AC279" s="2"/>
      <c r="AD279" s="50"/>
    </row>
    <row r="280" spans="1:30" s="51" customFormat="1" x14ac:dyDescent="0.25">
      <c r="A280" s="4"/>
      <c r="B280" s="4">
        <v>45686</v>
      </c>
      <c r="C280" s="6" t="s">
        <v>1693</v>
      </c>
      <c r="D280" s="26" t="s">
        <v>1986</v>
      </c>
      <c r="E280" s="175" t="s">
        <v>680</v>
      </c>
      <c r="F280" s="1" t="s">
        <v>681</v>
      </c>
      <c r="G280" s="8">
        <v>12</v>
      </c>
      <c r="H280" s="8">
        <v>12</v>
      </c>
      <c r="I280" s="115">
        <f>Table223[[#This Row],[Qty]]-Table223[[#This Row],[Issue Qty]]</f>
        <v>0</v>
      </c>
      <c r="J280" s="5">
        <v>73.900000000000006</v>
      </c>
      <c r="K280" s="5">
        <f t="shared" si="13"/>
        <v>886.80000000000007</v>
      </c>
      <c r="L280" s="82">
        <v>0.18</v>
      </c>
      <c r="M280" s="9">
        <f t="shared" si="14"/>
        <v>159.624</v>
      </c>
      <c r="N280" s="5">
        <v>0</v>
      </c>
      <c r="O280" s="5"/>
      <c r="P280" s="5">
        <f t="shared" si="15"/>
        <v>1046.424</v>
      </c>
      <c r="Q280" s="1" t="s">
        <v>637</v>
      </c>
      <c r="R280" s="1" t="s">
        <v>20</v>
      </c>
      <c r="S280" s="1" t="s">
        <v>682</v>
      </c>
      <c r="T280" s="1"/>
      <c r="U280" s="1"/>
      <c r="V280" s="1"/>
      <c r="W280" s="8" t="s">
        <v>650</v>
      </c>
      <c r="X280" s="8"/>
      <c r="Y280" s="8">
        <v>12</v>
      </c>
      <c r="Z280" s="22" t="s">
        <v>81</v>
      </c>
      <c r="AA280" s="1"/>
      <c r="AB280" s="23"/>
      <c r="AC280" s="6"/>
      <c r="AD280" s="50"/>
    </row>
    <row r="281" spans="1:30" s="51" customFormat="1" x14ac:dyDescent="0.25">
      <c r="A281" s="4"/>
      <c r="B281" s="4">
        <v>45686</v>
      </c>
      <c r="C281" s="6" t="s">
        <v>1693</v>
      </c>
      <c r="D281" s="6" t="s">
        <v>1987</v>
      </c>
      <c r="E281" s="170" t="s">
        <v>683</v>
      </c>
      <c r="F281" s="1" t="s">
        <v>683</v>
      </c>
      <c r="G281" s="8">
        <v>20</v>
      </c>
      <c r="H281" s="8">
        <v>20</v>
      </c>
      <c r="I281" s="115">
        <f>Table223[[#This Row],[Qty]]-Table223[[#This Row],[Issue Qty]]</f>
        <v>0</v>
      </c>
      <c r="J281" s="5">
        <v>60.99</v>
      </c>
      <c r="K281" s="5">
        <f t="shared" si="13"/>
        <v>1219.8</v>
      </c>
      <c r="L281" s="82">
        <v>0.18</v>
      </c>
      <c r="M281" s="9">
        <f t="shared" si="14"/>
        <v>219.56399999999999</v>
      </c>
      <c r="N281" s="5">
        <v>0</v>
      </c>
      <c r="O281" s="5"/>
      <c r="P281" s="5">
        <f t="shared" si="15"/>
        <v>1439.364</v>
      </c>
      <c r="Q281" s="1" t="s">
        <v>637</v>
      </c>
      <c r="R281" s="1" t="s">
        <v>20</v>
      </c>
      <c r="S281" s="1" t="s">
        <v>682</v>
      </c>
      <c r="T281" s="1"/>
      <c r="U281" s="1"/>
      <c r="V281" s="1"/>
      <c r="W281" s="8"/>
      <c r="X281" s="8"/>
      <c r="Y281" s="8">
        <v>20</v>
      </c>
      <c r="Z281" s="22" t="s">
        <v>81</v>
      </c>
      <c r="AA281" s="1"/>
      <c r="AB281" s="23" t="s">
        <v>684</v>
      </c>
      <c r="AC281" s="6"/>
      <c r="AD281" s="50"/>
    </row>
    <row r="282" spans="1:30" s="51" customFormat="1" x14ac:dyDescent="0.25">
      <c r="A282" s="4"/>
      <c r="B282" s="4">
        <v>45687</v>
      </c>
      <c r="C282" s="6" t="s">
        <v>1693</v>
      </c>
      <c r="D282" s="6" t="s">
        <v>1988</v>
      </c>
      <c r="E282" s="6" t="s">
        <v>685</v>
      </c>
      <c r="F282" s="1" t="s">
        <v>686</v>
      </c>
      <c r="G282" s="8">
        <v>1</v>
      </c>
      <c r="H282" s="8"/>
      <c r="I282" s="115">
        <f>Table223[[#This Row],[Qty]]-Table223[[#This Row],[Issue Qty]]</f>
        <v>1</v>
      </c>
      <c r="J282" s="5">
        <v>2900</v>
      </c>
      <c r="K282" s="5">
        <f t="shared" si="13"/>
        <v>2900</v>
      </c>
      <c r="L282" s="82">
        <v>0</v>
      </c>
      <c r="M282" s="9">
        <f t="shared" si="14"/>
        <v>0</v>
      </c>
      <c r="N282" s="5">
        <v>0</v>
      </c>
      <c r="O282" s="5"/>
      <c r="P282" s="5">
        <f t="shared" si="15"/>
        <v>2900</v>
      </c>
      <c r="Q282" s="1" t="s">
        <v>637</v>
      </c>
      <c r="R282" s="1" t="s">
        <v>20</v>
      </c>
      <c r="S282" s="1" t="s">
        <v>687</v>
      </c>
      <c r="T282" s="1"/>
      <c r="U282" s="6"/>
      <c r="V282" s="2"/>
      <c r="W282" s="21" t="s">
        <v>688</v>
      </c>
      <c r="X282" s="21"/>
      <c r="Y282" s="21"/>
      <c r="Z282" s="12"/>
      <c r="AA282" s="2"/>
      <c r="AB282" s="23" t="s">
        <v>689</v>
      </c>
      <c r="AC282" s="2"/>
      <c r="AD282" s="50"/>
    </row>
    <row r="283" spans="1:30" s="51" customFormat="1" x14ac:dyDescent="0.25">
      <c r="A283" s="4"/>
      <c r="B283" s="4">
        <v>45695</v>
      </c>
      <c r="C283" s="1" t="s">
        <v>1989</v>
      </c>
      <c r="D283" s="1" t="s">
        <v>1945</v>
      </c>
      <c r="E283" s="1" t="s">
        <v>608</v>
      </c>
      <c r="F283" s="1" t="s">
        <v>690</v>
      </c>
      <c r="G283" s="8">
        <v>28</v>
      </c>
      <c r="H283" s="8">
        <v>9</v>
      </c>
      <c r="I283" s="115">
        <f>Table223[[#This Row],[Qty]]-Table223[[#This Row],[Issue Qty]]</f>
        <v>19</v>
      </c>
      <c r="J283" s="5">
        <v>7.627129</v>
      </c>
      <c r="K283" s="5">
        <f t="shared" si="13"/>
        <v>213.55961200000002</v>
      </c>
      <c r="L283" s="82">
        <v>0.18</v>
      </c>
      <c r="M283" s="9">
        <f t="shared" si="14"/>
        <v>38.440730160000001</v>
      </c>
      <c r="N283" s="5">
        <f t="shared" ref="N283:N290" si="16">469.5/9</f>
        <v>52.166666666666664</v>
      </c>
      <c r="O283" s="5"/>
      <c r="P283" s="5">
        <f t="shared" si="15"/>
        <v>304.16700882666669</v>
      </c>
      <c r="Q283" s="1" t="s">
        <v>606</v>
      </c>
      <c r="R283" s="1" t="s">
        <v>606</v>
      </c>
      <c r="S283" s="1" t="s">
        <v>691</v>
      </c>
      <c r="T283" s="1" t="s">
        <v>1990</v>
      </c>
      <c r="U283" s="1"/>
      <c r="V283" s="2"/>
      <c r="W283" s="21" t="s">
        <v>22</v>
      </c>
      <c r="X283" s="21"/>
      <c r="Y283" s="21">
        <v>18</v>
      </c>
      <c r="Z283" s="12" t="s">
        <v>2960</v>
      </c>
      <c r="AA283" s="2"/>
      <c r="AB283" s="29"/>
      <c r="AC283" s="2"/>
      <c r="AD283" s="50"/>
    </row>
    <row r="284" spans="1:30" s="51" customFormat="1" ht="30" x14ac:dyDescent="0.25">
      <c r="A284" s="4"/>
      <c r="B284" s="4">
        <v>45695</v>
      </c>
      <c r="C284" s="1" t="s">
        <v>1991</v>
      </c>
      <c r="D284" s="26" t="s">
        <v>1913</v>
      </c>
      <c r="E284" s="26" t="s">
        <v>556</v>
      </c>
      <c r="F284" s="1" t="s">
        <v>556</v>
      </c>
      <c r="G284" s="8">
        <v>11</v>
      </c>
      <c r="H284" s="8">
        <v>2</v>
      </c>
      <c r="I284" s="115">
        <f>Table223[[#This Row],[Qty]]-Table223[[#This Row],[Issue Qty]]</f>
        <v>9</v>
      </c>
      <c r="J284" s="5">
        <v>406.77960000000002</v>
      </c>
      <c r="K284" s="5">
        <f t="shared" si="13"/>
        <v>4474.5756000000001</v>
      </c>
      <c r="L284" s="82">
        <v>0.18</v>
      </c>
      <c r="M284" s="9">
        <f t="shared" si="14"/>
        <v>805.42360799999994</v>
      </c>
      <c r="N284" s="5">
        <f t="shared" si="16"/>
        <v>52.166666666666664</v>
      </c>
      <c r="O284" s="5"/>
      <c r="P284" s="5">
        <f t="shared" si="15"/>
        <v>5332.1658746666672</v>
      </c>
      <c r="Q284" s="1" t="s">
        <v>606</v>
      </c>
      <c r="R284" s="1" t="s">
        <v>606</v>
      </c>
      <c r="S284" s="1" t="s">
        <v>691</v>
      </c>
      <c r="T284" s="1" t="s">
        <v>1990</v>
      </c>
      <c r="U284" s="1"/>
      <c r="V284" s="27"/>
      <c r="W284" s="21" t="s">
        <v>89</v>
      </c>
      <c r="X284" s="21" t="s">
        <v>692</v>
      </c>
      <c r="Y284" s="21">
        <v>3</v>
      </c>
      <c r="Z284" s="12" t="s">
        <v>2965</v>
      </c>
      <c r="AA284" s="12" t="s">
        <v>693</v>
      </c>
      <c r="AB284" s="29"/>
      <c r="AC284" s="27"/>
      <c r="AD284" s="50"/>
    </row>
    <row r="285" spans="1:30" s="53" customFormat="1" ht="30" x14ac:dyDescent="0.25">
      <c r="A285" s="4"/>
      <c r="B285" s="4">
        <v>45695</v>
      </c>
      <c r="C285" s="1" t="s">
        <v>1989</v>
      </c>
      <c r="D285" s="1" t="s">
        <v>1889</v>
      </c>
      <c r="E285" s="1" t="s">
        <v>494</v>
      </c>
      <c r="F285" s="1" t="s">
        <v>694</v>
      </c>
      <c r="G285" s="8">
        <v>4</v>
      </c>
      <c r="H285" s="8">
        <v>2</v>
      </c>
      <c r="I285" s="115">
        <f>Table223[[#This Row],[Qty]]-Table223[[#This Row],[Issue Qty]]</f>
        <v>2</v>
      </c>
      <c r="J285" s="5">
        <v>49.567895</v>
      </c>
      <c r="K285" s="5">
        <f t="shared" si="13"/>
        <v>198.27158</v>
      </c>
      <c r="L285" s="82">
        <v>0.18</v>
      </c>
      <c r="M285" s="9">
        <f t="shared" si="14"/>
        <v>35.688884399999999</v>
      </c>
      <c r="N285" s="5">
        <f t="shared" si="16"/>
        <v>52.166666666666664</v>
      </c>
      <c r="O285" s="5"/>
      <c r="P285" s="5">
        <f t="shared" si="15"/>
        <v>286.12713106666666</v>
      </c>
      <c r="Q285" s="1" t="s">
        <v>606</v>
      </c>
      <c r="R285" s="1" t="s">
        <v>606</v>
      </c>
      <c r="S285" s="1" t="s">
        <v>691</v>
      </c>
      <c r="T285" s="1" t="s">
        <v>1990</v>
      </c>
      <c r="U285" s="1"/>
      <c r="V285" s="1"/>
      <c r="W285" s="21" t="s">
        <v>107</v>
      </c>
      <c r="X285" s="21" t="s">
        <v>496</v>
      </c>
      <c r="Y285" s="8">
        <v>5</v>
      </c>
      <c r="Z285" s="12" t="s">
        <v>2956</v>
      </c>
      <c r="AA285" s="12" t="s">
        <v>2898</v>
      </c>
      <c r="AB285" s="29" t="s">
        <v>497</v>
      </c>
      <c r="AC285" s="1"/>
      <c r="AD285" s="52"/>
    </row>
    <row r="286" spans="1:30" s="53" customFormat="1" ht="30" x14ac:dyDescent="0.25">
      <c r="A286" s="4"/>
      <c r="B286" s="4">
        <v>45695</v>
      </c>
      <c r="C286" s="1" t="s">
        <v>1989</v>
      </c>
      <c r="D286" s="1" t="s">
        <v>1992</v>
      </c>
      <c r="E286" s="1" t="s">
        <v>695</v>
      </c>
      <c r="F286" s="1" t="s">
        <v>696</v>
      </c>
      <c r="G286" s="8">
        <v>32</v>
      </c>
      <c r="H286" s="8">
        <v>4</v>
      </c>
      <c r="I286" s="115">
        <f>Table223[[#This Row],[Qty]]-Table223[[#This Row],[Issue Qty]]</f>
        <v>28</v>
      </c>
      <c r="J286" s="5">
        <v>42.271223999999997</v>
      </c>
      <c r="K286" s="5">
        <f t="shared" si="13"/>
        <v>1352.6791679999999</v>
      </c>
      <c r="L286" s="82">
        <v>0.18</v>
      </c>
      <c r="M286" s="9">
        <f t="shared" si="14"/>
        <v>243.48225023999998</v>
      </c>
      <c r="N286" s="5">
        <f t="shared" si="16"/>
        <v>52.166666666666664</v>
      </c>
      <c r="O286" s="5"/>
      <c r="P286" s="5">
        <f t="shared" si="15"/>
        <v>1648.3280849066666</v>
      </c>
      <c r="Q286" s="1" t="s">
        <v>606</v>
      </c>
      <c r="R286" s="1" t="s">
        <v>606</v>
      </c>
      <c r="S286" s="1" t="s">
        <v>691</v>
      </c>
      <c r="T286" s="1" t="s">
        <v>1990</v>
      </c>
      <c r="U286" s="1"/>
      <c r="V286" s="1"/>
      <c r="W286" s="21" t="s">
        <v>107</v>
      </c>
      <c r="X286" s="21" t="s">
        <v>496</v>
      </c>
      <c r="Y286" s="8">
        <v>5</v>
      </c>
      <c r="Z286" s="22" t="s">
        <v>2955</v>
      </c>
      <c r="AA286" s="1"/>
      <c r="AB286" s="29" t="s">
        <v>697</v>
      </c>
      <c r="AC286" s="1"/>
      <c r="AD286" s="52"/>
    </row>
    <row r="287" spans="1:30" s="53" customFormat="1" ht="60" x14ac:dyDescent="0.25">
      <c r="A287" s="4"/>
      <c r="B287" s="4">
        <v>45695</v>
      </c>
      <c r="C287" s="1" t="s">
        <v>1993</v>
      </c>
      <c r="D287" s="1" t="s">
        <v>1994</v>
      </c>
      <c r="E287" s="1" t="s">
        <v>698</v>
      </c>
      <c r="F287" s="1" t="s">
        <v>698</v>
      </c>
      <c r="G287" s="8">
        <v>34</v>
      </c>
      <c r="H287" s="8">
        <v>28</v>
      </c>
      <c r="I287" s="115">
        <f>Table223[[#This Row],[Qty]]-Table223[[#This Row],[Issue Qty]]</f>
        <v>6</v>
      </c>
      <c r="J287" s="5">
        <v>79.762679000000006</v>
      </c>
      <c r="K287" s="5">
        <f t="shared" si="13"/>
        <v>2711.9310860000001</v>
      </c>
      <c r="L287" s="82">
        <v>0.18</v>
      </c>
      <c r="M287" s="9">
        <f t="shared" si="14"/>
        <v>488.14759548000001</v>
      </c>
      <c r="N287" s="5">
        <f t="shared" si="16"/>
        <v>52.166666666666664</v>
      </c>
      <c r="O287" s="5"/>
      <c r="P287" s="5">
        <f t="shared" si="15"/>
        <v>3252.2453481466664</v>
      </c>
      <c r="Q287" s="1" t="s">
        <v>606</v>
      </c>
      <c r="R287" s="1" t="s">
        <v>606</v>
      </c>
      <c r="S287" s="1" t="s">
        <v>691</v>
      </c>
      <c r="T287" s="1" t="s">
        <v>1990</v>
      </c>
      <c r="U287" s="1"/>
      <c r="V287" s="1"/>
      <c r="W287" s="21" t="s">
        <v>699</v>
      </c>
      <c r="X287" s="21" t="s">
        <v>700</v>
      </c>
      <c r="Y287" s="8">
        <v>30</v>
      </c>
      <c r="Z287" s="22" t="s">
        <v>2952</v>
      </c>
      <c r="AA287" s="1"/>
      <c r="AB287" s="29" t="s">
        <v>701</v>
      </c>
      <c r="AC287" s="1"/>
      <c r="AD287" s="52"/>
    </row>
    <row r="288" spans="1:30" s="53" customFormat="1" x14ac:dyDescent="0.25">
      <c r="A288" s="4"/>
      <c r="B288" s="4">
        <v>45695</v>
      </c>
      <c r="C288" s="1" t="s">
        <v>1989</v>
      </c>
      <c r="D288" s="26" t="s">
        <v>1943</v>
      </c>
      <c r="E288" s="26" t="s">
        <v>604</v>
      </c>
      <c r="F288" s="1" t="s">
        <v>702</v>
      </c>
      <c r="G288" s="8">
        <v>97</v>
      </c>
      <c r="H288" s="8"/>
      <c r="I288" s="115">
        <f>Table223[[#This Row],[Qty]]-Table223[[#This Row],[Issue Qty]]</f>
        <v>97</v>
      </c>
      <c r="J288" s="5">
        <v>7.627154</v>
      </c>
      <c r="K288" s="5">
        <f t="shared" si="13"/>
        <v>739.83393799999999</v>
      </c>
      <c r="L288" s="82">
        <v>0.18</v>
      </c>
      <c r="M288" s="9">
        <f t="shared" si="14"/>
        <v>133.17010883999998</v>
      </c>
      <c r="N288" s="5">
        <f t="shared" si="16"/>
        <v>52.166666666666664</v>
      </c>
      <c r="O288" s="5"/>
      <c r="P288" s="5">
        <f t="shared" si="15"/>
        <v>925.17071350666663</v>
      </c>
      <c r="Q288" s="1" t="s">
        <v>606</v>
      </c>
      <c r="R288" s="1" t="s">
        <v>606</v>
      </c>
      <c r="S288" s="1" t="s">
        <v>691</v>
      </c>
      <c r="T288" s="1" t="s">
        <v>1990</v>
      </c>
      <c r="U288" s="1"/>
      <c r="V288" s="1"/>
      <c r="W288" s="21" t="s">
        <v>573</v>
      </c>
      <c r="X288" s="21" t="s">
        <v>1963</v>
      </c>
      <c r="Y288" s="8">
        <v>3</v>
      </c>
      <c r="Z288" s="22" t="s">
        <v>2961</v>
      </c>
      <c r="AA288" s="1"/>
      <c r="AB288" s="29"/>
      <c r="AC288" s="1"/>
      <c r="AD288" s="52"/>
    </row>
    <row r="289" spans="1:30" s="53" customFormat="1" ht="30" x14ac:dyDescent="0.25">
      <c r="A289" s="4"/>
      <c r="B289" s="4">
        <v>45695</v>
      </c>
      <c r="C289" s="1" t="s">
        <v>1993</v>
      </c>
      <c r="D289" s="1" t="s">
        <v>1995</v>
      </c>
      <c r="E289" s="39" t="s">
        <v>703</v>
      </c>
      <c r="F289" s="1" t="s">
        <v>703</v>
      </c>
      <c r="G289" s="8">
        <v>5</v>
      </c>
      <c r="H289" s="8">
        <v>5</v>
      </c>
      <c r="I289" s="115">
        <f>Table223[[#This Row],[Qty]]-Table223[[#This Row],[Issue Qty]]</f>
        <v>0</v>
      </c>
      <c r="J289" s="5">
        <v>153.7456</v>
      </c>
      <c r="K289" s="5">
        <f t="shared" si="13"/>
        <v>768.72799999999995</v>
      </c>
      <c r="L289" s="82">
        <v>0.18</v>
      </c>
      <c r="M289" s="9">
        <f t="shared" si="14"/>
        <v>138.37103999999999</v>
      </c>
      <c r="N289" s="5">
        <f t="shared" si="16"/>
        <v>52.166666666666664</v>
      </c>
      <c r="O289" s="5"/>
      <c r="P289" s="5">
        <f t="shared" si="15"/>
        <v>959.26570666666657</v>
      </c>
      <c r="Q289" s="1" t="s">
        <v>606</v>
      </c>
      <c r="R289" s="1" t="s">
        <v>606</v>
      </c>
      <c r="S289" s="1" t="s">
        <v>691</v>
      </c>
      <c r="T289" s="1" t="s">
        <v>1990</v>
      </c>
      <c r="U289" s="1"/>
      <c r="V289" s="2"/>
      <c r="W289" s="21" t="s">
        <v>22</v>
      </c>
      <c r="X289" s="21"/>
      <c r="Y289" s="21">
        <v>6</v>
      </c>
      <c r="Z289" s="12" t="s">
        <v>2967</v>
      </c>
      <c r="AA289" s="2"/>
      <c r="AB289" s="29" t="s">
        <v>704</v>
      </c>
      <c r="AC289" s="2"/>
      <c r="AD289" s="52"/>
    </row>
    <row r="290" spans="1:30" s="53" customFormat="1" ht="30" x14ac:dyDescent="0.25">
      <c r="A290" s="4"/>
      <c r="B290" s="4">
        <v>45695</v>
      </c>
      <c r="C290" s="1" t="s">
        <v>1989</v>
      </c>
      <c r="D290" s="1" t="s">
        <v>1996</v>
      </c>
      <c r="E290" s="1" t="s">
        <v>705</v>
      </c>
      <c r="F290" s="1" t="s">
        <v>706</v>
      </c>
      <c r="G290" s="8">
        <v>92</v>
      </c>
      <c r="H290" s="8">
        <f>10+8+10+10+6</f>
        <v>44</v>
      </c>
      <c r="I290" s="115">
        <f>Table223[[#This Row],[Qty]]-Table223[[#This Row],[Issue Qty]]</f>
        <v>48</v>
      </c>
      <c r="J290" s="5">
        <v>27.118649999999999</v>
      </c>
      <c r="K290" s="5">
        <f t="shared" si="13"/>
        <v>2494.9157999999998</v>
      </c>
      <c r="L290" s="82">
        <v>0.18</v>
      </c>
      <c r="M290" s="9">
        <f t="shared" si="14"/>
        <v>449.08484399999992</v>
      </c>
      <c r="N290" s="5">
        <f t="shared" si="16"/>
        <v>52.166666666666664</v>
      </c>
      <c r="O290" s="5"/>
      <c r="P290" s="5">
        <f t="shared" si="15"/>
        <v>2996.1673106666663</v>
      </c>
      <c r="Q290" s="1" t="s">
        <v>606</v>
      </c>
      <c r="R290" s="1" t="s">
        <v>606</v>
      </c>
      <c r="S290" s="1" t="s">
        <v>691</v>
      </c>
      <c r="T290" s="1" t="s">
        <v>1990</v>
      </c>
      <c r="U290" s="1"/>
      <c r="V290" s="2"/>
      <c r="W290" s="21" t="s">
        <v>78</v>
      </c>
      <c r="X290" s="21"/>
      <c r="Y290" s="21">
        <v>92</v>
      </c>
      <c r="Z290" s="12" t="s">
        <v>2905</v>
      </c>
      <c r="AA290" s="2"/>
      <c r="AB290" s="29" t="s">
        <v>707</v>
      </c>
      <c r="AC290" s="2"/>
      <c r="AD290" s="52"/>
    </row>
    <row r="291" spans="1:30" s="53" customFormat="1" ht="30" x14ac:dyDescent="0.25">
      <c r="A291" s="4"/>
      <c r="B291" s="4">
        <v>45698</v>
      </c>
      <c r="C291" s="1" t="s">
        <v>54</v>
      </c>
      <c r="D291" s="1" t="s">
        <v>1997</v>
      </c>
      <c r="E291" s="1" t="s">
        <v>708</v>
      </c>
      <c r="F291" s="1" t="s">
        <v>708</v>
      </c>
      <c r="G291" s="8">
        <v>7</v>
      </c>
      <c r="H291" s="8">
        <v>7</v>
      </c>
      <c r="I291" s="115">
        <f>Table223[[#This Row],[Qty]]-Table223[[#This Row],[Issue Qty]]</f>
        <v>0</v>
      </c>
      <c r="J291" s="5">
        <v>32000</v>
      </c>
      <c r="K291" s="5">
        <f t="shared" si="13"/>
        <v>224000</v>
      </c>
      <c r="L291" s="82">
        <v>0.05</v>
      </c>
      <c r="M291" s="9">
        <f t="shared" si="14"/>
        <v>11200</v>
      </c>
      <c r="N291" s="5">
        <f>(30312.5+30312.5*0.18)/9</f>
        <v>3974.3055555555557</v>
      </c>
      <c r="O291" s="5"/>
      <c r="P291" s="5">
        <f t="shared" si="15"/>
        <v>239174.30555555556</v>
      </c>
      <c r="Q291" s="1" t="s">
        <v>606</v>
      </c>
      <c r="R291" s="1" t="s">
        <v>606</v>
      </c>
      <c r="S291" s="1" t="s">
        <v>709</v>
      </c>
      <c r="T291" s="1" t="s">
        <v>1998</v>
      </c>
      <c r="U291" s="1"/>
      <c r="V291" s="27"/>
      <c r="W291" s="28" t="s">
        <v>3185</v>
      </c>
      <c r="X291" s="28"/>
      <c r="Y291" s="21">
        <v>7</v>
      </c>
      <c r="Z291" s="12" t="s">
        <v>2906</v>
      </c>
      <c r="AA291" s="27"/>
      <c r="AB291" s="29"/>
      <c r="AC291" s="27"/>
      <c r="AD291" s="52"/>
    </row>
    <row r="292" spans="1:30" s="53" customFormat="1" ht="45" x14ac:dyDescent="0.25">
      <c r="A292" s="4"/>
      <c r="B292" s="4">
        <v>45698</v>
      </c>
      <c r="C292" s="1" t="s">
        <v>1989</v>
      </c>
      <c r="D292" s="1" t="s">
        <v>1873</v>
      </c>
      <c r="E292" s="1" t="s">
        <v>458</v>
      </c>
      <c r="F292" s="1" t="s">
        <v>458</v>
      </c>
      <c r="G292" s="8">
        <f>27-3</f>
        <v>24</v>
      </c>
      <c r="H292" s="8">
        <f>24-8</f>
        <v>16</v>
      </c>
      <c r="I292" s="115">
        <f>Table223[[#This Row],[Qty]]-Table223[[#This Row],[Issue Qty]]</f>
        <v>8</v>
      </c>
      <c r="J292" s="5">
        <v>7200</v>
      </c>
      <c r="K292" s="5">
        <f t="shared" si="13"/>
        <v>172800</v>
      </c>
      <c r="L292" s="82">
        <v>0.05</v>
      </c>
      <c r="M292" s="9">
        <f t="shared" si="14"/>
        <v>8640</v>
      </c>
      <c r="N292" s="5">
        <f>(30312.5+30312.5*0.18)/9</f>
        <v>3974.3055555555557</v>
      </c>
      <c r="O292" s="5"/>
      <c r="P292" s="5">
        <f t="shared" si="15"/>
        <v>185414.30555555556</v>
      </c>
      <c r="Q292" s="1" t="s">
        <v>606</v>
      </c>
      <c r="R292" s="1" t="s">
        <v>606</v>
      </c>
      <c r="S292" s="1" t="s">
        <v>709</v>
      </c>
      <c r="T292" s="1" t="s">
        <v>1998</v>
      </c>
      <c r="U292" s="1"/>
      <c r="V292" s="27"/>
      <c r="W292" s="21" t="s">
        <v>710</v>
      </c>
      <c r="X292" s="21" t="s">
        <v>711</v>
      </c>
      <c r="Y292" s="21">
        <v>19</v>
      </c>
      <c r="Z292" s="12" t="s">
        <v>3370</v>
      </c>
      <c r="AA292" s="2"/>
      <c r="AB292" s="29"/>
      <c r="AC292" s="27"/>
      <c r="AD292" s="52"/>
    </row>
    <row r="293" spans="1:30" s="51" customFormat="1" ht="45" x14ac:dyDescent="0.25">
      <c r="A293" s="4"/>
      <c r="B293" s="4">
        <v>45698</v>
      </c>
      <c r="C293" s="1" t="s">
        <v>1989</v>
      </c>
      <c r="D293" s="1" t="s">
        <v>1874</v>
      </c>
      <c r="E293" s="1" t="s">
        <v>461</v>
      </c>
      <c r="F293" s="1" t="s">
        <v>461</v>
      </c>
      <c r="G293" s="8">
        <f>27-3</f>
        <v>24</v>
      </c>
      <c r="H293" s="8">
        <f>24-7</f>
        <v>17</v>
      </c>
      <c r="I293" s="115">
        <f>Table223[[#This Row],[Qty]]-Table223[[#This Row],[Issue Qty]]</f>
        <v>7</v>
      </c>
      <c r="J293" s="5">
        <v>7200</v>
      </c>
      <c r="K293" s="5">
        <f t="shared" si="13"/>
        <v>172800</v>
      </c>
      <c r="L293" s="82">
        <v>0.05</v>
      </c>
      <c r="M293" s="9">
        <f t="shared" si="14"/>
        <v>8640</v>
      </c>
      <c r="N293" s="5">
        <f>(30312.5+30312.5*0.18)/9</f>
        <v>3974.3055555555557</v>
      </c>
      <c r="O293" s="5"/>
      <c r="P293" s="5">
        <f t="shared" si="15"/>
        <v>185414.30555555556</v>
      </c>
      <c r="Q293" s="1" t="s">
        <v>606</v>
      </c>
      <c r="R293" s="1" t="s">
        <v>606</v>
      </c>
      <c r="S293" s="1" t="s">
        <v>709</v>
      </c>
      <c r="T293" s="1" t="s">
        <v>1998</v>
      </c>
      <c r="U293" s="1"/>
      <c r="V293" s="27"/>
      <c r="W293" s="21" t="s">
        <v>710</v>
      </c>
      <c r="X293" s="21" t="s">
        <v>711</v>
      </c>
      <c r="Y293" s="21">
        <v>20</v>
      </c>
      <c r="Z293" s="22" t="s">
        <v>3371</v>
      </c>
      <c r="AA293" s="2"/>
      <c r="AB293" s="29"/>
      <c r="AC293" s="27"/>
      <c r="AD293" s="50"/>
    </row>
    <row r="294" spans="1:30" s="51" customFormat="1" x14ac:dyDescent="0.25">
      <c r="A294" s="4"/>
      <c r="B294" s="4">
        <v>45698</v>
      </c>
      <c r="C294" s="1" t="s">
        <v>1989</v>
      </c>
      <c r="D294" s="1" t="s">
        <v>1999</v>
      </c>
      <c r="E294" s="1" t="s">
        <v>712</v>
      </c>
      <c r="F294" s="1" t="s">
        <v>713</v>
      </c>
      <c r="G294" s="8">
        <v>19</v>
      </c>
      <c r="H294" s="8">
        <v>12</v>
      </c>
      <c r="I294" s="115">
        <f>Table223[[#This Row],[Qty]]-Table223[[#This Row],[Issue Qty]]</f>
        <v>7</v>
      </c>
      <c r="J294" s="5">
        <v>1100</v>
      </c>
      <c r="K294" s="5">
        <f t="shared" si="13"/>
        <v>20900</v>
      </c>
      <c r="L294" s="82">
        <v>0.05</v>
      </c>
      <c r="M294" s="9">
        <f t="shared" si="14"/>
        <v>1045</v>
      </c>
      <c r="N294" s="5">
        <f>(30312.5+30312.5*0.18)/9</f>
        <v>3974.3055555555557</v>
      </c>
      <c r="O294" s="5"/>
      <c r="P294" s="5">
        <f t="shared" si="15"/>
        <v>25919.305555555555</v>
      </c>
      <c r="Q294" s="1" t="s">
        <v>606</v>
      </c>
      <c r="R294" s="1" t="s">
        <v>606</v>
      </c>
      <c r="S294" s="1" t="s">
        <v>709</v>
      </c>
      <c r="T294" s="1" t="s">
        <v>1998</v>
      </c>
      <c r="U294" s="1"/>
      <c r="V294" s="27"/>
      <c r="W294" s="21" t="s">
        <v>252</v>
      </c>
      <c r="X294" s="28"/>
      <c r="Y294" s="21">
        <v>12</v>
      </c>
      <c r="Z294" s="12" t="s">
        <v>2969</v>
      </c>
      <c r="AA294" s="27"/>
      <c r="AB294" s="29"/>
      <c r="AC294" s="27"/>
      <c r="AD294" s="50"/>
    </row>
    <row r="295" spans="1:30" s="51" customFormat="1" x14ac:dyDescent="0.25">
      <c r="A295" s="4"/>
      <c r="B295" s="4">
        <v>45698</v>
      </c>
      <c r="C295" s="1" t="s">
        <v>1989</v>
      </c>
      <c r="D295" s="1" t="s">
        <v>2000</v>
      </c>
      <c r="E295" s="1" t="s">
        <v>714</v>
      </c>
      <c r="F295" s="1" t="s">
        <v>715</v>
      </c>
      <c r="G295" s="8">
        <v>19</v>
      </c>
      <c r="H295" s="8">
        <v>12</v>
      </c>
      <c r="I295" s="115">
        <f>Table223[[#This Row],[Qty]]-Table223[[#This Row],[Issue Qty]]</f>
        <v>7</v>
      </c>
      <c r="J295" s="5">
        <v>1100</v>
      </c>
      <c r="K295" s="5">
        <f t="shared" si="13"/>
        <v>20900</v>
      </c>
      <c r="L295" s="82">
        <v>0.05</v>
      </c>
      <c r="M295" s="9">
        <f t="shared" si="14"/>
        <v>1045</v>
      </c>
      <c r="N295" s="5">
        <f>(30312.5+30312.5*0.18)/9</f>
        <v>3974.3055555555557</v>
      </c>
      <c r="O295" s="5"/>
      <c r="P295" s="5">
        <f t="shared" si="15"/>
        <v>25919.305555555555</v>
      </c>
      <c r="Q295" s="1" t="s">
        <v>606</v>
      </c>
      <c r="R295" s="1" t="s">
        <v>606</v>
      </c>
      <c r="S295" s="1" t="s">
        <v>709</v>
      </c>
      <c r="T295" s="1" t="s">
        <v>1998</v>
      </c>
      <c r="U295" s="1"/>
      <c r="V295" s="2"/>
      <c r="W295" s="21" t="s">
        <v>252</v>
      </c>
      <c r="X295" s="21"/>
      <c r="Y295" s="21">
        <v>12</v>
      </c>
      <c r="Z295" s="12" t="s">
        <v>2969</v>
      </c>
      <c r="AA295" s="2"/>
      <c r="AB295" s="29"/>
      <c r="AC295" s="2"/>
      <c r="AD295" s="50"/>
    </row>
    <row r="296" spans="1:30" s="51" customFormat="1" ht="30" x14ac:dyDescent="0.25">
      <c r="A296" s="4"/>
      <c r="B296" s="4">
        <v>45698</v>
      </c>
      <c r="C296" s="1" t="s">
        <v>1991</v>
      </c>
      <c r="D296" s="26" t="s">
        <v>2001</v>
      </c>
      <c r="E296" s="26" t="s">
        <v>716</v>
      </c>
      <c r="F296" s="1" t="s">
        <v>716</v>
      </c>
      <c r="G296" s="8">
        <v>24</v>
      </c>
      <c r="H296" s="8">
        <v>7</v>
      </c>
      <c r="I296" s="115">
        <f>Table223[[#This Row],[Qty]]-Table223[[#This Row],[Issue Qty]]</f>
        <v>17</v>
      </c>
      <c r="J296" s="5">
        <v>14250</v>
      </c>
      <c r="K296" s="5">
        <f t="shared" si="13"/>
        <v>342000</v>
      </c>
      <c r="L296" s="82">
        <v>0.18</v>
      </c>
      <c r="M296" s="9">
        <f t="shared" si="14"/>
        <v>61560</v>
      </c>
      <c r="N296" s="5"/>
      <c r="O296" s="5"/>
      <c r="P296" s="5">
        <f t="shared" si="15"/>
        <v>403560</v>
      </c>
      <c r="Q296" s="1" t="s">
        <v>606</v>
      </c>
      <c r="R296" s="1" t="s">
        <v>606</v>
      </c>
      <c r="S296" s="1" t="s">
        <v>444</v>
      </c>
      <c r="T296" s="1" t="s">
        <v>2002</v>
      </c>
      <c r="U296" s="1"/>
      <c r="V296" s="1"/>
      <c r="W296" s="21" t="s">
        <v>717</v>
      </c>
      <c r="X296" s="8"/>
      <c r="Y296" s="8">
        <v>7</v>
      </c>
      <c r="Z296" s="22" t="s">
        <v>2998</v>
      </c>
      <c r="AA296" s="1"/>
      <c r="AB296" s="29"/>
      <c r="AC296" s="1"/>
      <c r="AD296" s="50"/>
    </row>
    <row r="297" spans="1:30" s="51" customFormat="1" x14ac:dyDescent="0.25">
      <c r="A297" s="4"/>
      <c r="B297" s="4">
        <v>45698</v>
      </c>
      <c r="C297" s="1" t="s">
        <v>1989</v>
      </c>
      <c r="D297" s="26" t="s">
        <v>1875</v>
      </c>
      <c r="E297" s="26" t="s">
        <v>463</v>
      </c>
      <c r="F297" s="1" t="s">
        <v>463</v>
      </c>
      <c r="G297" s="8">
        <f>24+10+12</f>
        <v>46</v>
      </c>
      <c r="H297" s="8"/>
      <c r="I297" s="115">
        <f>Table223[[#This Row],[Qty]]-Table223[[#This Row],[Issue Qty]]</f>
        <v>46</v>
      </c>
      <c r="J297" s="5">
        <v>12400</v>
      </c>
      <c r="K297" s="5">
        <f t="shared" si="13"/>
        <v>570400</v>
      </c>
      <c r="L297" s="82">
        <v>0.18</v>
      </c>
      <c r="M297" s="9">
        <f t="shared" si="14"/>
        <v>102672</v>
      </c>
      <c r="N297" s="5"/>
      <c r="O297" s="5"/>
      <c r="P297" s="5">
        <f t="shared" si="15"/>
        <v>673072</v>
      </c>
      <c r="Q297" s="1" t="s">
        <v>606</v>
      </c>
      <c r="R297" s="1" t="s">
        <v>606</v>
      </c>
      <c r="S297" s="1" t="s">
        <v>444</v>
      </c>
      <c r="T297" s="1" t="s">
        <v>2002</v>
      </c>
      <c r="U297" s="1"/>
      <c r="V297" s="1"/>
      <c r="W297" s="8" t="s">
        <v>398</v>
      </c>
      <c r="X297" s="8"/>
      <c r="Y297" s="8">
        <v>22</v>
      </c>
      <c r="Z297" s="22" t="s">
        <v>718</v>
      </c>
      <c r="AA297" s="1"/>
      <c r="AB297" s="29"/>
      <c r="AC297" s="1"/>
      <c r="AD297" s="50"/>
    </row>
    <row r="298" spans="1:30" s="51" customFormat="1" x14ac:dyDescent="0.25">
      <c r="A298" s="4"/>
      <c r="B298" s="4">
        <v>45698</v>
      </c>
      <c r="C298" s="1" t="s">
        <v>2003</v>
      </c>
      <c r="D298" s="1" t="s">
        <v>2004</v>
      </c>
      <c r="E298" s="1" t="s">
        <v>719</v>
      </c>
      <c r="F298" s="1" t="s">
        <v>719</v>
      </c>
      <c r="G298" s="8">
        <v>21</v>
      </c>
      <c r="H298" s="8"/>
      <c r="I298" s="115">
        <f>Table223[[#This Row],[Qty]]-Table223[[#This Row],[Issue Qty]]</f>
        <v>21</v>
      </c>
      <c r="J298" s="5">
        <v>1500</v>
      </c>
      <c r="K298" s="5">
        <f t="shared" si="13"/>
        <v>31500</v>
      </c>
      <c r="L298" s="82">
        <v>0.05</v>
      </c>
      <c r="M298" s="9">
        <f t="shared" si="14"/>
        <v>1575</v>
      </c>
      <c r="N298" s="5">
        <f>(30312.5+30312.5*0.18)/9</f>
        <v>3974.3055555555557</v>
      </c>
      <c r="O298" s="5"/>
      <c r="P298" s="5">
        <f t="shared" si="15"/>
        <v>37049.305555555555</v>
      </c>
      <c r="Q298" s="1" t="s">
        <v>606</v>
      </c>
      <c r="R298" s="1" t="s">
        <v>606</v>
      </c>
      <c r="S298" s="1" t="s">
        <v>709</v>
      </c>
      <c r="T298" s="1" t="s">
        <v>1998</v>
      </c>
      <c r="U298" s="1"/>
      <c r="V298" s="2"/>
      <c r="W298" s="21" t="s">
        <v>261</v>
      </c>
      <c r="X298" s="21"/>
      <c r="Y298" s="21">
        <v>21</v>
      </c>
      <c r="Z298" s="12" t="s">
        <v>607</v>
      </c>
      <c r="AA298" s="2"/>
      <c r="AB298" s="29" t="s">
        <v>720</v>
      </c>
      <c r="AC298" s="2"/>
      <c r="AD298" s="50"/>
    </row>
    <row r="299" spans="1:30" s="51" customFormat="1" ht="30" x14ac:dyDescent="0.25">
      <c r="A299" s="4"/>
      <c r="B299" s="4">
        <v>45698</v>
      </c>
      <c r="C299" s="1" t="s">
        <v>1989</v>
      </c>
      <c r="D299" s="26" t="s">
        <v>2005</v>
      </c>
      <c r="E299" s="88" t="s">
        <v>721</v>
      </c>
      <c r="F299" s="1" t="s">
        <v>721</v>
      </c>
      <c r="G299" s="8">
        <v>8</v>
      </c>
      <c r="H299" s="8">
        <v>3</v>
      </c>
      <c r="I299" s="115">
        <f>Table223[[#This Row],[Qty]]-Table223[[#This Row],[Issue Qty]]</f>
        <v>5</v>
      </c>
      <c r="J299" s="5">
        <v>15450</v>
      </c>
      <c r="K299" s="5">
        <f t="shared" si="13"/>
        <v>123600</v>
      </c>
      <c r="L299" s="82">
        <v>0.18</v>
      </c>
      <c r="M299" s="9">
        <f t="shared" si="14"/>
        <v>22248</v>
      </c>
      <c r="N299" s="5"/>
      <c r="O299" s="5"/>
      <c r="P299" s="5">
        <f t="shared" si="15"/>
        <v>145848</v>
      </c>
      <c r="Q299" s="1" t="s">
        <v>606</v>
      </c>
      <c r="R299" s="1" t="s">
        <v>606</v>
      </c>
      <c r="S299" s="1" t="s">
        <v>444</v>
      </c>
      <c r="T299" s="1" t="s">
        <v>2002</v>
      </c>
      <c r="U299" s="1"/>
      <c r="V299" s="1"/>
      <c r="W299" s="8" t="s">
        <v>398</v>
      </c>
      <c r="X299" s="8"/>
      <c r="Y299" s="8">
        <v>3</v>
      </c>
      <c r="Z299" s="12" t="s">
        <v>2994</v>
      </c>
      <c r="AA299" s="1"/>
      <c r="AB299" s="29"/>
      <c r="AC299" s="1"/>
      <c r="AD299" s="50"/>
    </row>
    <row r="300" spans="1:30" s="51" customFormat="1" x14ac:dyDescent="0.25">
      <c r="A300" s="4"/>
      <c r="B300" s="4">
        <v>45698</v>
      </c>
      <c r="C300" s="1" t="s">
        <v>2003</v>
      </c>
      <c r="D300" s="1" t="s">
        <v>1876</v>
      </c>
      <c r="E300" s="1" t="s">
        <v>469</v>
      </c>
      <c r="F300" s="1" t="s">
        <v>469</v>
      </c>
      <c r="G300" s="8">
        <v>10</v>
      </c>
      <c r="H300" s="8">
        <v>5</v>
      </c>
      <c r="I300" s="115">
        <f>Table223[[#This Row],[Qty]]-Table223[[#This Row],[Issue Qty]]</f>
        <v>5</v>
      </c>
      <c r="J300" s="5">
        <v>5500</v>
      </c>
      <c r="K300" s="5">
        <f t="shared" si="13"/>
        <v>55000</v>
      </c>
      <c r="L300" s="82">
        <v>0.05</v>
      </c>
      <c r="M300" s="9">
        <f t="shared" si="14"/>
        <v>2750</v>
      </c>
      <c r="N300" s="5">
        <f>(30312.5+30312.5*0.18)/9</f>
        <v>3974.3055555555557</v>
      </c>
      <c r="O300" s="5"/>
      <c r="P300" s="5">
        <f t="shared" si="15"/>
        <v>61724.305555555555</v>
      </c>
      <c r="Q300" s="1" t="s">
        <v>606</v>
      </c>
      <c r="R300" s="1" t="s">
        <v>606</v>
      </c>
      <c r="S300" s="1" t="s">
        <v>709</v>
      </c>
      <c r="T300" s="1" t="s">
        <v>1998</v>
      </c>
      <c r="U300" s="1"/>
      <c r="V300" s="2"/>
      <c r="W300" s="21" t="s">
        <v>44</v>
      </c>
      <c r="X300" s="21"/>
      <c r="Y300" s="21">
        <v>5</v>
      </c>
      <c r="Z300" s="12" t="s">
        <v>607</v>
      </c>
      <c r="AA300" s="2"/>
      <c r="AB300" s="29" t="s">
        <v>720</v>
      </c>
      <c r="AC300" s="2"/>
      <c r="AD300" s="50"/>
    </row>
    <row r="301" spans="1:30" s="51" customFormat="1" x14ac:dyDescent="0.25">
      <c r="A301" s="4"/>
      <c r="B301" s="4">
        <v>45698</v>
      </c>
      <c r="C301" s="1" t="s">
        <v>1991</v>
      </c>
      <c r="D301" s="26" t="s">
        <v>2006</v>
      </c>
      <c r="E301" s="26" t="s">
        <v>722</v>
      </c>
      <c r="F301" s="1" t="s">
        <v>722</v>
      </c>
      <c r="G301" s="8">
        <v>21</v>
      </c>
      <c r="H301" s="8">
        <v>6</v>
      </c>
      <c r="I301" s="115">
        <f>Table223[[#This Row],[Qty]]-Table223[[#This Row],[Issue Qty]]</f>
        <v>15</v>
      </c>
      <c r="J301" s="5">
        <v>27416</v>
      </c>
      <c r="K301" s="5">
        <f t="shared" si="13"/>
        <v>575736</v>
      </c>
      <c r="L301" s="82">
        <v>0.05</v>
      </c>
      <c r="M301" s="9">
        <f t="shared" si="14"/>
        <v>28786.800000000003</v>
      </c>
      <c r="N301" s="5">
        <f>(30312.5+30312.5*0.18)/9</f>
        <v>3974.3055555555557</v>
      </c>
      <c r="O301" s="5"/>
      <c r="P301" s="5">
        <f t="shared" si="15"/>
        <v>608497.10555555555</v>
      </c>
      <c r="Q301" s="1" t="s">
        <v>606</v>
      </c>
      <c r="R301" s="1" t="s">
        <v>606</v>
      </c>
      <c r="S301" s="1" t="s">
        <v>709</v>
      </c>
      <c r="T301" s="1" t="s">
        <v>1998</v>
      </c>
      <c r="U301" s="1"/>
      <c r="V301" s="1"/>
      <c r="W301" s="21" t="s">
        <v>244</v>
      </c>
      <c r="X301" s="8"/>
      <c r="Y301" s="8">
        <v>6</v>
      </c>
      <c r="Z301" s="22" t="s">
        <v>3313</v>
      </c>
      <c r="AA301" s="1"/>
      <c r="AB301" s="29"/>
      <c r="AC301" s="1"/>
      <c r="AD301" s="50"/>
    </row>
    <row r="302" spans="1:30" s="53" customFormat="1" x14ac:dyDescent="0.25">
      <c r="A302" s="4"/>
      <c r="B302" s="4">
        <v>45698</v>
      </c>
      <c r="C302" s="1" t="s">
        <v>2003</v>
      </c>
      <c r="D302" s="1" t="s">
        <v>2007</v>
      </c>
      <c r="E302" s="169" t="s">
        <v>723</v>
      </c>
      <c r="F302" s="1" t="s">
        <v>724</v>
      </c>
      <c r="G302" s="8">
        <v>14</v>
      </c>
      <c r="H302" s="8">
        <v>14</v>
      </c>
      <c r="I302" s="115">
        <f>Table223[[#This Row],[Qty]]-Table223[[#This Row],[Issue Qty]]</f>
        <v>0</v>
      </c>
      <c r="J302" s="5">
        <v>2500</v>
      </c>
      <c r="K302" s="5">
        <f t="shared" si="13"/>
        <v>35000</v>
      </c>
      <c r="L302" s="82">
        <v>0.05</v>
      </c>
      <c r="M302" s="9">
        <f t="shared" si="14"/>
        <v>1750</v>
      </c>
      <c r="N302" s="5">
        <f>(30312.5+30312.5*0.18)/9</f>
        <v>3974.3055555555557</v>
      </c>
      <c r="O302" s="5"/>
      <c r="P302" s="5">
        <f t="shared" si="15"/>
        <v>40724.305555555555</v>
      </c>
      <c r="Q302" s="1" t="s">
        <v>606</v>
      </c>
      <c r="R302" s="1" t="s">
        <v>606</v>
      </c>
      <c r="S302" s="1" t="s">
        <v>709</v>
      </c>
      <c r="T302" s="1" t="s">
        <v>1998</v>
      </c>
      <c r="U302" s="1"/>
      <c r="V302" s="27"/>
      <c r="W302" s="21" t="s">
        <v>68</v>
      </c>
      <c r="X302" s="28"/>
      <c r="Y302" s="21">
        <v>14</v>
      </c>
      <c r="Z302" s="22" t="s">
        <v>81</v>
      </c>
      <c r="AA302" s="27"/>
      <c r="AB302" s="29" t="s">
        <v>720</v>
      </c>
      <c r="AC302" s="27"/>
      <c r="AD302" s="52"/>
    </row>
    <row r="303" spans="1:30" s="51" customFormat="1" x14ac:dyDescent="0.25">
      <c r="A303" s="4"/>
      <c r="B303" s="4">
        <v>45699</v>
      </c>
      <c r="C303" s="1" t="s">
        <v>1989</v>
      </c>
      <c r="D303" s="26" t="s">
        <v>2008</v>
      </c>
      <c r="E303" s="168" t="s">
        <v>725</v>
      </c>
      <c r="F303" s="1" t="s">
        <v>725</v>
      </c>
      <c r="G303" s="8">
        <v>12</v>
      </c>
      <c r="H303" s="8">
        <v>12</v>
      </c>
      <c r="I303" s="115">
        <f>Table223[[#This Row],[Qty]]-Table223[[#This Row],[Issue Qty]]</f>
        <v>0</v>
      </c>
      <c r="J303" s="5">
        <v>21.186667</v>
      </c>
      <c r="K303" s="5">
        <f t="shared" si="13"/>
        <v>254.240004</v>
      </c>
      <c r="L303" s="82">
        <v>0.18</v>
      </c>
      <c r="M303" s="9">
        <f t="shared" si="14"/>
        <v>45.76320072</v>
      </c>
      <c r="N303" s="5">
        <v>99</v>
      </c>
      <c r="O303" s="5"/>
      <c r="P303" s="5">
        <f t="shared" si="15"/>
        <v>399.00320471999999</v>
      </c>
      <c r="Q303" s="1" t="s">
        <v>726</v>
      </c>
      <c r="R303" s="1" t="s">
        <v>726</v>
      </c>
      <c r="S303" s="1" t="s">
        <v>691</v>
      </c>
      <c r="T303" s="1" t="s">
        <v>2009</v>
      </c>
      <c r="U303" s="1"/>
      <c r="V303" s="1"/>
      <c r="W303" s="8" t="s">
        <v>2754</v>
      </c>
      <c r="X303" s="8"/>
      <c r="Y303" s="8">
        <v>12</v>
      </c>
      <c r="Z303" s="22" t="s">
        <v>81</v>
      </c>
      <c r="AA303" s="1"/>
      <c r="AB303" s="29"/>
      <c r="AC303" s="1"/>
      <c r="AD303" s="50"/>
    </row>
    <row r="304" spans="1:30" s="51" customFormat="1" ht="30" x14ac:dyDescent="0.25">
      <c r="A304" s="4"/>
      <c r="B304" s="4">
        <v>45702</v>
      </c>
      <c r="C304" s="1" t="s">
        <v>1991</v>
      </c>
      <c r="D304" s="26" t="s">
        <v>2010</v>
      </c>
      <c r="E304" s="168" t="s">
        <v>727</v>
      </c>
      <c r="F304" s="1" t="s">
        <v>727</v>
      </c>
      <c r="G304" s="8">
        <v>1</v>
      </c>
      <c r="H304" s="8">
        <v>1</v>
      </c>
      <c r="I304" s="115">
        <f>Table223[[#This Row],[Qty]]-Table223[[#This Row],[Issue Qty]]</f>
        <v>0</v>
      </c>
      <c r="J304" s="5">
        <v>101.69</v>
      </c>
      <c r="K304" s="5">
        <f t="shared" si="13"/>
        <v>101.69</v>
      </c>
      <c r="L304" s="82">
        <v>0.18</v>
      </c>
      <c r="M304" s="9">
        <f t="shared" si="14"/>
        <v>18.304199999999998</v>
      </c>
      <c r="N304" s="5">
        <v>45.01</v>
      </c>
      <c r="O304" s="5"/>
      <c r="P304" s="5">
        <f t="shared" si="15"/>
        <v>165.0042</v>
      </c>
      <c r="Q304" s="1" t="s">
        <v>726</v>
      </c>
      <c r="R304" s="1" t="s">
        <v>726</v>
      </c>
      <c r="S304" s="1" t="s">
        <v>384</v>
      </c>
      <c r="T304" s="1" t="s">
        <v>2011</v>
      </c>
      <c r="U304" s="1"/>
      <c r="V304" s="1"/>
      <c r="W304" s="8"/>
      <c r="X304" s="8"/>
      <c r="Y304" s="8">
        <v>1</v>
      </c>
      <c r="Z304" s="22" t="s">
        <v>81</v>
      </c>
      <c r="AA304" s="1"/>
      <c r="AB304" s="29"/>
      <c r="AC304" s="1"/>
      <c r="AD304" s="50"/>
    </row>
    <row r="305" spans="1:30" s="51" customFormat="1" x14ac:dyDescent="0.25">
      <c r="A305" s="4"/>
      <c r="B305" s="4">
        <v>45707</v>
      </c>
      <c r="C305" s="1" t="s">
        <v>54</v>
      </c>
      <c r="D305" s="1" t="s">
        <v>2012</v>
      </c>
      <c r="E305" s="1" t="s">
        <v>728</v>
      </c>
      <c r="F305" s="1" t="s">
        <v>729</v>
      </c>
      <c r="G305" s="8">
        <v>18</v>
      </c>
      <c r="H305" s="8">
        <v>18</v>
      </c>
      <c r="I305" s="115">
        <f>Table223[[#This Row],[Qty]]-Table223[[#This Row],[Issue Qty]]</f>
        <v>0</v>
      </c>
      <c r="J305" s="5">
        <v>5397</v>
      </c>
      <c r="K305" s="5">
        <f t="shared" ref="K305:K368" si="17">G305*J305</f>
        <v>97146</v>
      </c>
      <c r="L305" s="82">
        <v>0.18</v>
      </c>
      <c r="M305" s="9">
        <f t="shared" ref="M305:M368" si="18">K305*L305</f>
        <v>17486.28</v>
      </c>
      <c r="N305" s="5"/>
      <c r="O305" s="5"/>
      <c r="P305" s="5">
        <f t="shared" ref="P305:P368" si="19">K305+M305+N305+O305</f>
        <v>114632.28</v>
      </c>
      <c r="Q305" s="1" t="s">
        <v>606</v>
      </c>
      <c r="R305" s="1" t="s">
        <v>606</v>
      </c>
      <c r="S305" s="1" t="s">
        <v>730</v>
      </c>
      <c r="T305" s="1" t="s">
        <v>2013</v>
      </c>
      <c r="U305" s="1"/>
      <c r="V305" s="2"/>
      <c r="W305" s="21"/>
      <c r="X305" s="21"/>
      <c r="Y305" s="21">
        <v>18</v>
      </c>
      <c r="Z305" s="12" t="s">
        <v>606</v>
      </c>
      <c r="AA305" s="2"/>
      <c r="AB305" s="29"/>
      <c r="AC305" s="2"/>
      <c r="AD305" s="50"/>
    </row>
    <row r="306" spans="1:30" s="51" customFormat="1" x14ac:dyDescent="0.25">
      <c r="A306" s="4"/>
      <c r="B306" s="4">
        <v>45707</v>
      </c>
      <c r="C306" s="1" t="s">
        <v>54</v>
      </c>
      <c r="D306" s="1" t="s">
        <v>2014</v>
      </c>
      <c r="E306" s="1" t="s">
        <v>731</v>
      </c>
      <c r="F306" s="1" t="s">
        <v>732</v>
      </c>
      <c r="G306" s="8">
        <v>9</v>
      </c>
      <c r="H306" s="8">
        <v>9</v>
      </c>
      <c r="I306" s="115">
        <f>Table223[[#This Row],[Qty]]-Table223[[#This Row],[Issue Qty]]</f>
        <v>0</v>
      </c>
      <c r="J306" s="5">
        <v>775</v>
      </c>
      <c r="K306" s="5">
        <f t="shared" si="17"/>
        <v>6975</v>
      </c>
      <c r="L306" s="82">
        <v>0.18</v>
      </c>
      <c r="M306" s="9">
        <f t="shared" si="18"/>
        <v>1255.5</v>
      </c>
      <c r="N306" s="5"/>
      <c r="O306" s="5"/>
      <c r="P306" s="5">
        <f t="shared" si="19"/>
        <v>8230.5</v>
      </c>
      <c r="Q306" s="1" t="s">
        <v>606</v>
      </c>
      <c r="R306" s="1" t="s">
        <v>606</v>
      </c>
      <c r="S306" s="1" t="s">
        <v>730</v>
      </c>
      <c r="T306" s="1" t="s">
        <v>2013</v>
      </c>
      <c r="U306" s="1"/>
      <c r="V306" s="2"/>
      <c r="W306" s="21"/>
      <c r="X306" s="21"/>
      <c r="Y306" s="21">
        <v>9</v>
      </c>
      <c r="Z306" s="12" t="s">
        <v>606</v>
      </c>
      <c r="AA306" s="2"/>
      <c r="AB306" s="29"/>
      <c r="AC306" s="2"/>
      <c r="AD306" s="50"/>
    </row>
    <row r="307" spans="1:30" s="51" customFormat="1" ht="30" x14ac:dyDescent="0.25">
      <c r="A307" s="4"/>
      <c r="B307" s="4">
        <v>45708</v>
      </c>
      <c r="C307" s="1" t="s">
        <v>54</v>
      </c>
      <c r="D307" s="26" t="s">
        <v>2015</v>
      </c>
      <c r="E307" s="168" t="s">
        <v>733</v>
      </c>
      <c r="F307" s="1" t="s">
        <v>734</v>
      </c>
      <c r="G307" s="8">
        <v>3</v>
      </c>
      <c r="H307" s="8">
        <v>3</v>
      </c>
      <c r="I307" s="115">
        <f>Table223[[#This Row],[Qty]]-Table223[[#This Row],[Issue Qty]]</f>
        <v>0</v>
      </c>
      <c r="J307" s="5">
        <v>94.096666999999997</v>
      </c>
      <c r="K307" s="5">
        <f t="shared" si="17"/>
        <v>282.29000099999996</v>
      </c>
      <c r="L307" s="82">
        <v>0.05</v>
      </c>
      <c r="M307" s="9">
        <f t="shared" si="18"/>
        <v>14.114500049999998</v>
      </c>
      <c r="N307" s="5">
        <f>130/5</f>
        <v>26</v>
      </c>
      <c r="O307" s="5"/>
      <c r="P307" s="5">
        <f t="shared" si="19"/>
        <v>322.40450104999996</v>
      </c>
      <c r="Q307" s="1" t="s">
        <v>726</v>
      </c>
      <c r="R307" s="1" t="s">
        <v>726</v>
      </c>
      <c r="S307" s="1" t="s">
        <v>691</v>
      </c>
      <c r="T307" s="1" t="s">
        <v>2016</v>
      </c>
      <c r="U307" s="1"/>
      <c r="V307" s="1"/>
      <c r="W307" s="8" t="s">
        <v>650</v>
      </c>
      <c r="X307" s="8" t="s">
        <v>735</v>
      </c>
      <c r="Y307" s="8">
        <v>3</v>
      </c>
      <c r="Z307" s="22" t="s">
        <v>3334</v>
      </c>
      <c r="AA307" s="1"/>
      <c r="AB307" s="29"/>
      <c r="AC307" s="1"/>
      <c r="AD307" s="50"/>
    </row>
    <row r="308" spans="1:30" s="51" customFormat="1" ht="30" x14ac:dyDescent="0.25">
      <c r="A308" s="4"/>
      <c r="B308" s="4">
        <v>45708</v>
      </c>
      <c r="C308" s="1" t="s">
        <v>1989</v>
      </c>
      <c r="D308" s="26" t="s">
        <v>2017</v>
      </c>
      <c r="E308" s="168" t="s">
        <v>737</v>
      </c>
      <c r="F308" s="1" t="s">
        <v>737</v>
      </c>
      <c r="G308" s="8">
        <v>25</v>
      </c>
      <c r="H308" s="8">
        <v>25</v>
      </c>
      <c r="I308" s="115">
        <f>Table223[[#This Row],[Qty]]-Table223[[#This Row],[Issue Qty]]</f>
        <v>0</v>
      </c>
      <c r="J308" s="5">
        <v>0.14399999999999999</v>
      </c>
      <c r="K308" s="5">
        <f t="shared" si="17"/>
        <v>3.5999999999999996</v>
      </c>
      <c r="L308" s="82">
        <v>0.18</v>
      </c>
      <c r="M308" s="9">
        <f t="shared" si="18"/>
        <v>0.64799999999999991</v>
      </c>
      <c r="N308" s="5">
        <f>130/5</f>
        <v>26</v>
      </c>
      <c r="O308" s="5"/>
      <c r="P308" s="5">
        <f t="shared" si="19"/>
        <v>30.247999999999998</v>
      </c>
      <c r="Q308" s="1" t="s">
        <v>726</v>
      </c>
      <c r="R308" s="1" t="s">
        <v>726</v>
      </c>
      <c r="S308" s="1" t="s">
        <v>691</v>
      </c>
      <c r="T308" s="1" t="s">
        <v>2016</v>
      </c>
      <c r="U308" s="1"/>
      <c r="V308" s="1"/>
      <c r="W308" s="21" t="s">
        <v>650</v>
      </c>
      <c r="X308" s="21" t="s">
        <v>651</v>
      </c>
      <c r="Y308" s="8">
        <v>25</v>
      </c>
      <c r="Z308" s="22" t="s">
        <v>81</v>
      </c>
      <c r="AA308" s="1"/>
      <c r="AB308" s="29"/>
      <c r="AC308" s="1"/>
      <c r="AD308" s="50"/>
    </row>
    <row r="309" spans="1:30" s="51" customFormat="1" x14ac:dyDescent="0.25">
      <c r="A309" s="4"/>
      <c r="B309" s="4">
        <v>45708</v>
      </c>
      <c r="C309" s="1" t="s">
        <v>1989</v>
      </c>
      <c r="D309" s="1" t="s">
        <v>2018</v>
      </c>
      <c r="E309" s="169" t="s">
        <v>738</v>
      </c>
      <c r="F309" s="1" t="s">
        <v>738</v>
      </c>
      <c r="G309" s="8">
        <v>1</v>
      </c>
      <c r="H309" s="8">
        <v>1</v>
      </c>
      <c r="I309" s="115">
        <f>Table223[[#This Row],[Qty]]-Table223[[#This Row],[Issue Qty]]</f>
        <v>0</v>
      </c>
      <c r="J309" s="5">
        <v>79.959999999999994</v>
      </c>
      <c r="K309" s="5">
        <f t="shared" si="17"/>
        <v>79.959999999999994</v>
      </c>
      <c r="L309" s="82">
        <v>0.18</v>
      </c>
      <c r="M309" s="9">
        <f t="shared" si="18"/>
        <v>14.392799999999998</v>
      </c>
      <c r="N309" s="5">
        <f>130/5</f>
        <v>26</v>
      </c>
      <c r="O309" s="5"/>
      <c r="P309" s="5">
        <f t="shared" si="19"/>
        <v>120.35279999999999</v>
      </c>
      <c r="Q309" s="1" t="s">
        <v>726</v>
      </c>
      <c r="R309" s="1" t="s">
        <v>726</v>
      </c>
      <c r="S309" s="1" t="s">
        <v>691</v>
      </c>
      <c r="T309" s="1" t="s">
        <v>2016</v>
      </c>
      <c r="U309" s="1"/>
      <c r="V309" s="2"/>
      <c r="W309" s="21" t="s">
        <v>650</v>
      </c>
      <c r="X309" s="21" t="s">
        <v>651</v>
      </c>
      <c r="Y309" s="21">
        <v>1</v>
      </c>
      <c r="Z309" s="12" t="s">
        <v>474</v>
      </c>
      <c r="AA309" s="2"/>
      <c r="AB309" s="29"/>
      <c r="AC309" s="2"/>
      <c r="AD309" s="50"/>
    </row>
    <row r="310" spans="1:30" s="51" customFormat="1" x14ac:dyDescent="0.25">
      <c r="A310" s="4"/>
      <c r="B310" s="4">
        <v>45708</v>
      </c>
      <c r="C310" s="1" t="s">
        <v>1989</v>
      </c>
      <c r="D310" s="1" t="s">
        <v>2019</v>
      </c>
      <c r="E310" s="1" t="s">
        <v>739</v>
      </c>
      <c r="F310" s="1" t="s">
        <v>739</v>
      </c>
      <c r="G310" s="8">
        <v>2</v>
      </c>
      <c r="H310" s="8"/>
      <c r="I310" s="115">
        <f>Table223[[#This Row],[Qty]]-Table223[[#This Row],[Issue Qty]]</f>
        <v>2</v>
      </c>
      <c r="J310" s="5">
        <v>75.424999999999997</v>
      </c>
      <c r="K310" s="5">
        <f t="shared" si="17"/>
        <v>150.85</v>
      </c>
      <c r="L310" s="82">
        <v>0.18</v>
      </c>
      <c r="M310" s="9">
        <f t="shared" si="18"/>
        <v>27.152999999999999</v>
      </c>
      <c r="N310" s="5">
        <f>130/5</f>
        <v>26</v>
      </c>
      <c r="O310" s="5"/>
      <c r="P310" s="5">
        <f t="shared" si="19"/>
        <v>204.00299999999999</v>
      </c>
      <c r="Q310" s="1" t="s">
        <v>726</v>
      </c>
      <c r="R310" s="1" t="s">
        <v>726</v>
      </c>
      <c r="S310" s="1" t="s">
        <v>691</v>
      </c>
      <c r="T310" s="1" t="s">
        <v>2016</v>
      </c>
      <c r="U310" s="1"/>
      <c r="V310" s="2"/>
      <c r="W310" s="21" t="s">
        <v>650</v>
      </c>
      <c r="X310" s="21" t="s">
        <v>651</v>
      </c>
      <c r="Y310" s="21"/>
      <c r="Z310" s="12"/>
      <c r="AA310" s="2"/>
      <c r="AB310" s="29"/>
      <c r="AC310" s="2"/>
      <c r="AD310" s="50"/>
    </row>
    <row r="311" spans="1:30" s="51" customFormat="1" ht="30" x14ac:dyDescent="0.25">
      <c r="A311" s="4"/>
      <c r="B311" s="4">
        <v>45708</v>
      </c>
      <c r="C311" s="1" t="s">
        <v>1989</v>
      </c>
      <c r="D311" s="26" t="s">
        <v>2020</v>
      </c>
      <c r="E311" s="26" t="s">
        <v>740</v>
      </c>
      <c r="F311" s="1" t="s">
        <v>741</v>
      </c>
      <c r="G311" s="8">
        <v>3</v>
      </c>
      <c r="H311" s="8">
        <v>1</v>
      </c>
      <c r="I311" s="115">
        <f>Table223[[#This Row],[Qty]]-Table223[[#This Row],[Issue Qty]]</f>
        <v>2</v>
      </c>
      <c r="J311" s="5">
        <v>380</v>
      </c>
      <c r="K311" s="5">
        <f t="shared" si="17"/>
        <v>1140</v>
      </c>
      <c r="L311" s="82">
        <v>0.05</v>
      </c>
      <c r="M311" s="9">
        <f t="shared" si="18"/>
        <v>57</v>
      </c>
      <c r="N311" s="5">
        <f>130/5</f>
        <v>26</v>
      </c>
      <c r="O311" s="5"/>
      <c r="P311" s="5">
        <f t="shared" si="19"/>
        <v>1223</v>
      </c>
      <c r="Q311" s="1" t="s">
        <v>726</v>
      </c>
      <c r="R311" s="1" t="s">
        <v>726</v>
      </c>
      <c r="S311" s="1" t="s">
        <v>691</v>
      </c>
      <c r="T311" s="1" t="s">
        <v>2016</v>
      </c>
      <c r="U311" s="1"/>
      <c r="V311" s="1"/>
      <c r="W311" s="8" t="s">
        <v>22</v>
      </c>
      <c r="X311" s="8" t="s">
        <v>1963</v>
      </c>
      <c r="Y311" s="8">
        <v>1</v>
      </c>
      <c r="Z311" s="22" t="s">
        <v>736</v>
      </c>
      <c r="AA311" s="1"/>
      <c r="AB311" s="29"/>
      <c r="AC311" s="1"/>
      <c r="AD311" s="50"/>
    </row>
    <row r="312" spans="1:30" s="51" customFormat="1" ht="30" x14ac:dyDescent="0.25">
      <c r="A312" s="4"/>
      <c r="B312" s="4">
        <v>45717</v>
      </c>
      <c r="C312" s="1" t="s">
        <v>1991</v>
      </c>
      <c r="D312" s="26" t="s">
        <v>2021</v>
      </c>
      <c r="E312" s="168" t="s">
        <v>742</v>
      </c>
      <c r="F312" s="1" t="s">
        <v>743</v>
      </c>
      <c r="G312" s="8">
        <v>12</v>
      </c>
      <c r="H312" s="8">
        <v>12</v>
      </c>
      <c r="I312" s="115">
        <f>Table223[[#This Row],[Qty]]-Table223[[#This Row],[Issue Qty]]</f>
        <v>0</v>
      </c>
      <c r="J312" s="5">
        <v>0.83083300000000004</v>
      </c>
      <c r="K312" s="5">
        <f t="shared" si="17"/>
        <v>9.9699960000000001</v>
      </c>
      <c r="L312" s="82">
        <v>0.18</v>
      </c>
      <c r="M312" s="9">
        <f t="shared" si="18"/>
        <v>1.7945992799999999</v>
      </c>
      <c r="N312" s="5">
        <f>99/2</f>
        <v>49.5</v>
      </c>
      <c r="O312" s="5"/>
      <c r="P312" s="5">
        <f t="shared" si="19"/>
        <v>61.264595280000002</v>
      </c>
      <c r="Q312" s="1" t="s">
        <v>726</v>
      </c>
      <c r="R312" s="1" t="s">
        <v>726</v>
      </c>
      <c r="S312" s="1" t="s">
        <v>691</v>
      </c>
      <c r="T312" s="1" t="s">
        <v>2022</v>
      </c>
      <c r="U312" s="1"/>
      <c r="V312" s="1"/>
      <c r="W312" s="8" t="s">
        <v>38</v>
      </c>
      <c r="X312" s="8"/>
      <c r="Y312" s="8">
        <v>12</v>
      </c>
      <c r="Z312" s="22" t="s">
        <v>81</v>
      </c>
      <c r="AA312" s="1"/>
      <c r="AB312" s="29"/>
      <c r="AC312" s="1"/>
      <c r="AD312" s="50"/>
    </row>
    <row r="313" spans="1:30" s="51" customFormat="1" ht="30" x14ac:dyDescent="0.25">
      <c r="A313" s="4"/>
      <c r="B313" s="4">
        <v>45720</v>
      </c>
      <c r="C313" s="1" t="s">
        <v>54</v>
      </c>
      <c r="D313" s="26" t="s">
        <v>2023</v>
      </c>
      <c r="E313" s="26" t="s">
        <v>744</v>
      </c>
      <c r="F313" s="1" t="s">
        <v>745</v>
      </c>
      <c r="G313" s="8">
        <v>1</v>
      </c>
      <c r="H313" s="8"/>
      <c r="I313" s="115">
        <f>Table223[[#This Row],[Qty]]-Table223[[#This Row],[Issue Qty]]</f>
        <v>1</v>
      </c>
      <c r="J313" s="5">
        <v>213.81</v>
      </c>
      <c r="K313" s="5">
        <f t="shared" si="17"/>
        <v>213.81</v>
      </c>
      <c r="L313" s="82">
        <v>0.18</v>
      </c>
      <c r="M313" s="9">
        <f t="shared" si="18"/>
        <v>38.485799999999998</v>
      </c>
      <c r="N313" s="5">
        <v>118</v>
      </c>
      <c r="O313" s="5"/>
      <c r="P313" s="5">
        <f t="shared" si="19"/>
        <v>370.29579999999999</v>
      </c>
      <c r="Q313" s="1" t="s">
        <v>726</v>
      </c>
      <c r="R313" s="1" t="s">
        <v>726</v>
      </c>
      <c r="S313" s="1" t="s">
        <v>746</v>
      </c>
      <c r="T313" s="1" t="s">
        <v>2024</v>
      </c>
      <c r="U313" s="1"/>
      <c r="V313" s="1"/>
      <c r="W313" s="8" t="s">
        <v>688</v>
      </c>
      <c r="X313" s="8"/>
      <c r="Y313" s="8"/>
      <c r="Z313" s="22"/>
      <c r="AA313" s="1"/>
      <c r="AB313" s="29"/>
      <c r="AC313" s="1"/>
      <c r="AD313" s="50"/>
    </row>
    <row r="314" spans="1:30" s="51" customFormat="1" x14ac:dyDescent="0.25">
      <c r="A314" s="4"/>
      <c r="B314" s="4">
        <v>45720</v>
      </c>
      <c r="C314" s="1" t="s">
        <v>1989</v>
      </c>
      <c r="D314" s="26" t="s">
        <v>2025</v>
      </c>
      <c r="E314" s="168" t="s">
        <v>747</v>
      </c>
      <c r="F314" s="1" t="s">
        <v>748</v>
      </c>
      <c r="G314" s="8">
        <v>1</v>
      </c>
      <c r="H314" s="8">
        <v>1</v>
      </c>
      <c r="I314" s="115">
        <f>Table223[[#This Row],[Qty]]-Table223[[#This Row],[Issue Qty]]</f>
        <v>0</v>
      </c>
      <c r="J314" s="5">
        <v>649</v>
      </c>
      <c r="K314" s="5">
        <f t="shared" si="17"/>
        <v>649</v>
      </c>
      <c r="L314" s="82">
        <v>0.18</v>
      </c>
      <c r="M314" s="9">
        <f t="shared" si="18"/>
        <v>116.82</v>
      </c>
      <c r="N314" s="5">
        <v>99</v>
      </c>
      <c r="O314" s="5"/>
      <c r="P314" s="5">
        <f t="shared" si="19"/>
        <v>864.81999999999994</v>
      </c>
      <c r="Q314" s="1" t="s">
        <v>726</v>
      </c>
      <c r="R314" s="1" t="s">
        <v>726</v>
      </c>
      <c r="S314" s="1" t="s">
        <v>749</v>
      </c>
      <c r="T314" s="1" t="s">
        <v>2026</v>
      </c>
      <c r="U314" s="1"/>
      <c r="V314" s="1"/>
      <c r="W314" s="21" t="s">
        <v>638</v>
      </c>
      <c r="X314" s="21" t="s">
        <v>1960</v>
      </c>
      <c r="Y314" s="8">
        <v>1</v>
      </c>
      <c r="Z314" s="22" t="s">
        <v>481</v>
      </c>
      <c r="AA314" s="1"/>
      <c r="AB314" s="29"/>
      <c r="AC314" s="1"/>
      <c r="AD314" s="50"/>
    </row>
    <row r="315" spans="1:30" s="51" customFormat="1" x14ac:dyDescent="0.25">
      <c r="A315" s="4"/>
      <c r="B315" s="4">
        <v>45721</v>
      </c>
      <c r="C315" s="1" t="s">
        <v>54</v>
      </c>
      <c r="D315" s="26" t="s">
        <v>1988</v>
      </c>
      <c r="E315" s="168" t="s">
        <v>685</v>
      </c>
      <c r="F315" s="1" t="s">
        <v>750</v>
      </c>
      <c r="G315" s="8">
        <v>2</v>
      </c>
      <c r="H315" s="8">
        <v>2</v>
      </c>
      <c r="I315" s="115">
        <f>Table223[[#This Row],[Qty]]-Table223[[#This Row],[Issue Qty]]</f>
        <v>0</v>
      </c>
      <c r="J315" s="5">
        <v>2900</v>
      </c>
      <c r="K315" s="5">
        <f t="shared" si="17"/>
        <v>5800</v>
      </c>
      <c r="L315" s="82">
        <v>0</v>
      </c>
      <c r="M315" s="9">
        <f t="shared" si="18"/>
        <v>0</v>
      </c>
      <c r="N315" s="5">
        <v>80</v>
      </c>
      <c r="O315" s="5"/>
      <c r="P315" s="5">
        <f t="shared" si="19"/>
        <v>5880</v>
      </c>
      <c r="Q315" s="1" t="s">
        <v>726</v>
      </c>
      <c r="R315" s="1" t="s">
        <v>726</v>
      </c>
      <c r="S315" s="1" t="s">
        <v>687</v>
      </c>
      <c r="T315" s="1" t="s">
        <v>2027</v>
      </c>
      <c r="U315" s="1"/>
      <c r="V315" s="2"/>
      <c r="W315" s="8" t="s">
        <v>965</v>
      </c>
      <c r="X315" s="21"/>
      <c r="Y315" s="21">
        <v>2</v>
      </c>
      <c r="Z315" s="22" t="s">
        <v>81</v>
      </c>
      <c r="AA315" s="2"/>
      <c r="AB315" s="29"/>
      <c r="AC315" s="2"/>
      <c r="AD315" s="50"/>
    </row>
    <row r="316" spans="1:30" s="51" customFormat="1" x14ac:dyDescent="0.25">
      <c r="A316" s="4"/>
      <c r="B316" s="4">
        <v>45721</v>
      </c>
      <c r="C316" s="1" t="s">
        <v>1989</v>
      </c>
      <c r="D316" s="26" t="s">
        <v>2028</v>
      </c>
      <c r="E316" s="26" t="s">
        <v>751</v>
      </c>
      <c r="F316" s="1" t="s">
        <v>752</v>
      </c>
      <c r="G316" s="8">
        <v>1</v>
      </c>
      <c r="H316" s="8"/>
      <c r="I316" s="115">
        <f>Table223[[#This Row],[Qty]]-Table223[[#This Row],[Issue Qty]]</f>
        <v>1</v>
      </c>
      <c r="J316" s="5">
        <v>220.34</v>
      </c>
      <c r="K316" s="5">
        <f t="shared" si="17"/>
        <v>220.34</v>
      </c>
      <c r="L316" s="82">
        <v>0.18</v>
      </c>
      <c r="M316" s="9">
        <f t="shared" si="18"/>
        <v>39.661200000000001</v>
      </c>
      <c r="N316" s="5">
        <f>400/11</f>
        <v>36.363636363636367</v>
      </c>
      <c r="O316" s="5"/>
      <c r="P316" s="5">
        <f t="shared" si="19"/>
        <v>296.36483636363636</v>
      </c>
      <c r="Q316" s="1" t="s">
        <v>726</v>
      </c>
      <c r="R316" s="1" t="s">
        <v>726</v>
      </c>
      <c r="S316" s="1" t="s">
        <v>691</v>
      </c>
      <c r="T316" s="1" t="s">
        <v>2029</v>
      </c>
      <c r="U316" s="1"/>
      <c r="V316" s="1"/>
      <c r="W316" s="8" t="s">
        <v>638</v>
      </c>
      <c r="X316" s="8" t="s">
        <v>1960</v>
      </c>
      <c r="Y316" s="8">
        <v>1</v>
      </c>
      <c r="Z316" s="22" t="s">
        <v>736</v>
      </c>
      <c r="AA316" s="1"/>
      <c r="AB316" s="29"/>
      <c r="AC316" s="1"/>
      <c r="AD316" s="50"/>
    </row>
    <row r="317" spans="1:30" s="51" customFormat="1" x14ac:dyDescent="0.25">
      <c r="A317" s="4"/>
      <c r="B317" s="4">
        <v>45721</v>
      </c>
      <c r="C317" s="1" t="s">
        <v>1991</v>
      </c>
      <c r="D317" s="26" t="s">
        <v>2008</v>
      </c>
      <c r="E317" s="168" t="s">
        <v>725</v>
      </c>
      <c r="F317" s="1" t="s">
        <v>725</v>
      </c>
      <c r="G317" s="8">
        <v>12</v>
      </c>
      <c r="H317" s="8">
        <v>12</v>
      </c>
      <c r="I317" s="115">
        <f>Table223[[#This Row],[Qty]]-Table223[[#This Row],[Issue Qty]]</f>
        <v>0</v>
      </c>
      <c r="J317" s="5">
        <v>17.1525</v>
      </c>
      <c r="K317" s="5">
        <f t="shared" si="17"/>
        <v>205.82999999999998</v>
      </c>
      <c r="L317" s="82">
        <v>0.18</v>
      </c>
      <c r="M317" s="9">
        <f t="shared" si="18"/>
        <v>37.049399999999999</v>
      </c>
      <c r="N317" s="5">
        <f>400/11</f>
        <v>36.363636363636367</v>
      </c>
      <c r="O317" s="5"/>
      <c r="P317" s="5">
        <f t="shared" si="19"/>
        <v>279.24303636363635</v>
      </c>
      <c r="Q317" s="1" t="s">
        <v>726</v>
      </c>
      <c r="R317" s="1" t="s">
        <v>726</v>
      </c>
      <c r="S317" s="1" t="s">
        <v>691</v>
      </c>
      <c r="T317" s="1" t="s">
        <v>2029</v>
      </c>
      <c r="U317" s="1"/>
      <c r="V317" s="1"/>
      <c r="W317" s="8"/>
      <c r="X317" s="8"/>
      <c r="Y317" s="8">
        <v>12</v>
      </c>
      <c r="Z317" s="22" t="s">
        <v>81</v>
      </c>
      <c r="AA317" s="1"/>
      <c r="AB317" s="29"/>
      <c r="AC317" s="1"/>
      <c r="AD317" s="50"/>
    </row>
    <row r="318" spans="1:30" s="51" customFormat="1" x14ac:dyDescent="0.25">
      <c r="A318" s="4"/>
      <c r="B318" s="4">
        <v>45721</v>
      </c>
      <c r="C318" s="1" t="s">
        <v>54</v>
      </c>
      <c r="D318" s="1" t="s">
        <v>2030</v>
      </c>
      <c r="E318" s="1" t="s">
        <v>753</v>
      </c>
      <c r="F318" s="1" t="s">
        <v>754</v>
      </c>
      <c r="G318" s="8">
        <f>13-8</f>
        <v>5</v>
      </c>
      <c r="H318" s="8">
        <v>5</v>
      </c>
      <c r="I318" s="115">
        <f>Table223[[#This Row],[Qty]]-Table223[[#This Row],[Issue Qty]]</f>
        <v>0</v>
      </c>
      <c r="J318" s="5">
        <v>88.39</v>
      </c>
      <c r="K318" s="5">
        <f t="shared" si="17"/>
        <v>441.95</v>
      </c>
      <c r="L318" s="82">
        <v>0.18</v>
      </c>
      <c r="M318" s="9">
        <f t="shared" si="18"/>
        <v>79.551000000000002</v>
      </c>
      <c r="N318" s="5">
        <v>49</v>
      </c>
      <c r="O318" s="5"/>
      <c r="P318" s="5">
        <f t="shared" si="19"/>
        <v>570.50099999999998</v>
      </c>
      <c r="Q318" s="1" t="s">
        <v>606</v>
      </c>
      <c r="R318" s="1" t="s">
        <v>606</v>
      </c>
      <c r="S318" s="1" t="s">
        <v>691</v>
      </c>
      <c r="T318" s="1" t="s">
        <v>2031</v>
      </c>
      <c r="U318" s="1"/>
      <c r="V318" s="2"/>
      <c r="W318" s="21"/>
      <c r="X318" s="21"/>
      <c r="Y318" s="21">
        <v>5</v>
      </c>
      <c r="Z318" s="22" t="s">
        <v>81</v>
      </c>
      <c r="AA318" s="2"/>
      <c r="AB318" s="29" t="s">
        <v>755</v>
      </c>
      <c r="AC318" s="2"/>
      <c r="AD318" s="50"/>
    </row>
    <row r="319" spans="1:30" s="51" customFormat="1" x14ac:dyDescent="0.25">
      <c r="A319" s="4"/>
      <c r="B319" s="4">
        <v>45721</v>
      </c>
      <c r="C319" s="1" t="s">
        <v>1989</v>
      </c>
      <c r="D319" s="1" t="s">
        <v>2032</v>
      </c>
      <c r="E319" s="1" t="s">
        <v>756</v>
      </c>
      <c r="F319" s="1" t="s">
        <v>757</v>
      </c>
      <c r="G319" s="8">
        <v>1</v>
      </c>
      <c r="H319" s="8"/>
      <c r="I319" s="115">
        <f>Table223[[#This Row],[Qty]]-Table223[[#This Row],[Issue Qty]]</f>
        <v>1</v>
      </c>
      <c r="J319" s="5">
        <v>340.69</v>
      </c>
      <c r="K319" s="5">
        <f t="shared" si="17"/>
        <v>340.69</v>
      </c>
      <c r="L319" s="82">
        <v>0.18</v>
      </c>
      <c r="M319" s="9">
        <f t="shared" si="18"/>
        <v>61.324199999999998</v>
      </c>
      <c r="N319" s="5">
        <f>400/11</f>
        <v>36.363636363636367</v>
      </c>
      <c r="O319" s="5"/>
      <c r="P319" s="5">
        <f t="shared" si="19"/>
        <v>438.37783636363639</v>
      </c>
      <c r="Q319" s="1" t="s">
        <v>726</v>
      </c>
      <c r="R319" s="1" t="s">
        <v>726</v>
      </c>
      <c r="S319" s="1" t="s">
        <v>691</v>
      </c>
      <c r="T319" s="1" t="s">
        <v>2029</v>
      </c>
      <c r="U319" s="1"/>
      <c r="V319" s="1"/>
      <c r="W319" s="21" t="s">
        <v>638</v>
      </c>
      <c r="X319" s="21" t="s">
        <v>1960</v>
      </c>
      <c r="Y319" s="8"/>
      <c r="Z319" s="22" t="s">
        <v>736</v>
      </c>
      <c r="AA319" s="1"/>
      <c r="AB319" s="29" t="s">
        <v>758</v>
      </c>
      <c r="AC319" s="1"/>
      <c r="AD319" s="50"/>
    </row>
    <row r="320" spans="1:30" s="51" customFormat="1" ht="30" x14ac:dyDescent="0.25">
      <c r="A320" s="4"/>
      <c r="B320" s="4">
        <v>45721</v>
      </c>
      <c r="C320" s="1" t="s">
        <v>1991</v>
      </c>
      <c r="D320" s="26" t="s">
        <v>2033</v>
      </c>
      <c r="E320" s="26" t="s">
        <v>759</v>
      </c>
      <c r="F320" s="1" t="s">
        <v>759</v>
      </c>
      <c r="G320" s="8">
        <v>3</v>
      </c>
      <c r="H320" s="8"/>
      <c r="I320" s="115">
        <f>Table223[[#This Row],[Qty]]-Table223[[#This Row],[Issue Qty]]</f>
        <v>3</v>
      </c>
      <c r="J320" s="5">
        <v>109.653333</v>
      </c>
      <c r="K320" s="5">
        <f t="shared" si="17"/>
        <v>328.95999900000004</v>
      </c>
      <c r="L320" s="82">
        <v>0.18</v>
      </c>
      <c r="M320" s="9">
        <f t="shared" si="18"/>
        <v>59.212799820000008</v>
      </c>
      <c r="N320" s="5">
        <f>400/11</f>
        <v>36.363636363636367</v>
      </c>
      <c r="O320" s="5"/>
      <c r="P320" s="5">
        <f t="shared" si="19"/>
        <v>424.5364351836364</v>
      </c>
      <c r="Q320" s="1" t="s">
        <v>726</v>
      </c>
      <c r="R320" s="1" t="s">
        <v>726</v>
      </c>
      <c r="S320" s="1" t="s">
        <v>691</v>
      </c>
      <c r="T320" s="1" t="s">
        <v>2029</v>
      </c>
      <c r="U320" s="1"/>
      <c r="V320" s="1"/>
      <c r="W320" s="8" t="s">
        <v>650</v>
      </c>
      <c r="X320" s="8" t="s">
        <v>651</v>
      </c>
      <c r="Y320" s="8"/>
      <c r="Z320" s="22"/>
      <c r="AA320" s="1"/>
      <c r="AB320" s="29"/>
      <c r="AC320" s="1"/>
      <c r="AD320" s="50"/>
    </row>
    <row r="321" spans="1:30" s="51" customFormat="1" ht="30" x14ac:dyDescent="0.25">
      <c r="A321" s="4"/>
      <c r="B321" s="4">
        <v>45723</v>
      </c>
      <c r="C321" s="1" t="s">
        <v>1991</v>
      </c>
      <c r="D321" s="1" t="s">
        <v>1918</v>
      </c>
      <c r="E321" s="1" t="s">
        <v>562</v>
      </c>
      <c r="F321" s="1" t="s">
        <v>562</v>
      </c>
      <c r="G321" s="8">
        <f>20-9</f>
        <v>11</v>
      </c>
      <c r="H321" s="8">
        <v>1</v>
      </c>
      <c r="I321" s="115">
        <f>Table223[[#This Row],[Qty]]-Table223[[#This Row],[Issue Qty]]</f>
        <v>10</v>
      </c>
      <c r="J321" s="5">
        <v>152.54249999999999</v>
      </c>
      <c r="K321" s="5">
        <f t="shared" si="17"/>
        <v>1677.9675</v>
      </c>
      <c r="L321" s="82">
        <v>0.18</v>
      </c>
      <c r="M321" s="9">
        <f t="shared" si="18"/>
        <v>302.03415000000001</v>
      </c>
      <c r="N321" s="5"/>
      <c r="O321" s="5"/>
      <c r="P321" s="5">
        <f t="shared" si="19"/>
        <v>1980.0016499999999</v>
      </c>
      <c r="Q321" s="1" t="s">
        <v>606</v>
      </c>
      <c r="R321" s="1" t="s">
        <v>606</v>
      </c>
      <c r="S321" s="1" t="s">
        <v>691</v>
      </c>
      <c r="T321" s="1" t="s">
        <v>2034</v>
      </c>
      <c r="U321" s="1"/>
      <c r="V321" s="2"/>
      <c r="W321" s="21" t="s">
        <v>89</v>
      </c>
      <c r="X321" s="28" t="s">
        <v>760</v>
      </c>
      <c r="Y321" s="21">
        <v>9</v>
      </c>
      <c r="Z321" s="12" t="s">
        <v>2902</v>
      </c>
      <c r="AA321" s="12" t="s">
        <v>761</v>
      </c>
      <c r="AB321" s="29"/>
      <c r="AC321" s="2"/>
      <c r="AD321" s="50"/>
    </row>
    <row r="322" spans="1:30" s="51" customFormat="1" ht="30" x14ac:dyDescent="0.25">
      <c r="A322" s="4"/>
      <c r="B322" s="4">
        <v>45723</v>
      </c>
      <c r="C322" s="1" t="s">
        <v>1993</v>
      </c>
      <c r="D322" s="1" t="s">
        <v>1994</v>
      </c>
      <c r="E322" s="150" t="s">
        <v>698</v>
      </c>
      <c r="F322" s="1" t="s">
        <v>698</v>
      </c>
      <c r="G322" s="8">
        <v>28</v>
      </c>
      <c r="H322" s="8">
        <v>10</v>
      </c>
      <c r="I322" s="115">
        <f>Table223[[#This Row],[Qty]]-Table223[[#This Row],[Issue Qty]]</f>
        <v>18</v>
      </c>
      <c r="J322" s="5">
        <v>79.762679000000006</v>
      </c>
      <c r="K322" s="5">
        <f t="shared" si="17"/>
        <v>2233.355012</v>
      </c>
      <c r="L322" s="82">
        <v>0.18</v>
      </c>
      <c r="M322" s="9">
        <f t="shared" si="18"/>
        <v>402.00390216</v>
      </c>
      <c r="N322" s="5"/>
      <c r="O322" s="5"/>
      <c r="P322" s="5">
        <f t="shared" si="19"/>
        <v>2635.35891416</v>
      </c>
      <c r="Q322" s="1" t="s">
        <v>606</v>
      </c>
      <c r="R322" s="1" t="s">
        <v>606</v>
      </c>
      <c r="S322" s="1" t="s">
        <v>691</v>
      </c>
      <c r="T322" s="1" t="s">
        <v>2034</v>
      </c>
      <c r="U322" s="1"/>
      <c r="V322" s="1"/>
      <c r="W322" s="21" t="s">
        <v>699</v>
      </c>
      <c r="X322" s="21" t="s">
        <v>700</v>
      </c>
      <c r="Y322" s="8">
        <v>10</v>
      </c>
      <c r="Z322" s="22" t="s">
        <v>3303</v>
      </c>
      <c r="AA322" s="1"/>
      <c r="AB322" s="29" t="s">
        <v>701</v>
      </c>
      <c r="AC322" s="1"/>
      <c r="AD322" s="50"/>
    </row>
    <row r="323" spans="1:30" s="51" customFormat="1" ht="30" x14ac:dyDescent="0.25">
      <c r="A323" s="4"/>
      <c r="B323" s="4">
        <v>45723</v>
      </c>
      <c r="C323" s="1" t="s">
        <v>1993</v>
      </c>
      <c r="D323" s="1" t="s">
        <v>1994</v>
      </c>
      <c r="E323" s="1" t="s">
        <v>698</v>
      </c>
      <c r="F323" s="1" t="s">
        <v>698</v>
      </c>
      <c r="G323" s="8">
        <v>10</v>
      </c>
      <c r="H323" s="8"/>
      <c r="I323" s="115">
        <f>Table223[[#This Row],[Qty]]-Table223[[#This Row],[Issue Qty]]</f>
        <v>10</v>
      </c>
      <c r="J323" s="5">
        <v>79.762679000000006</v>
      </c>
      <c r="K323" s="5">
        <f t="shared" si="17"/>
        <v>797.62679000000003</v>
      </c>
      <c r="L323" s="82">
        <v>0.18</v>
      </c>
      <c r="M323" s="9">
        <f t="shared" si="18"/>
        <v>143.57282219999999</v>
      </c>
      <c r="N323" s="5"/>
      <c r="O323" s="5"/>
      <c r="P323" s="5">
        <f t="shared" si="19"/>
        <v>941.19961220000005</v>
      </c>
      <c r="Q323" s="1" t="s">
        <v>606</v>
      </c>
      <c r="R323" s="1" t="s">
        <v>606</v>
      </c>
      <c r="S323" s="1" t="s">
        <v>691</v>
      </c>
      <c r="T323" s="1" t="s">
        <v>2034</v>
      </c>
      <c r="U323" s="1"/>
      <c r="V323" s="2"/>
      <c r="W323" s="21" t="s">
        <v>699</v>
      </c>
      <c r="X323" s="21" t="s">
        <v>700</v>
      </c>
      <c r="Y323" s="21"/>
      <c r="Z323" s="12"/>
      <c r="AA323" s="2"/>
      <c r="AB323" s="29" t="s">
        <v>701</v>
      </c>
      <c r="AC323" s="2"/>
      <c r="AD323" s="50"/>
    </row>
    <row r="324" spans="1:30" s="51" customFormat="1" x14ac:dyDescent="0.25">
      <c r="A324" s="4"/>
      <c r="B324" s="4">
        <v>45723</v>
      </c>
      <c r="C324" s="1" t="s">
        <v>1993</v>
      </c>
      <c r="D324" s="1" t="s">
        <v>2035</v>
      </c>
      <c r="E324" s="1" t="s">
        <v>762</v>
      </c>
      <c r="F324" s="1" t="s">
        <v>762</v>
      </c>
      <c r="G324" s="8">
        <v>1</v>
      </c>
      <c r="H324" s="8"/>
      <c r="I324" s="115">
        <f>Table223[[#This Row],[Qty]]-Table223[[#This Row],[Issue Qty]]</f>
        <v>1</v>
      </c>
      <c r="J324" s="5">
        <v>4921</v>
      </c>
      <c r="K324" s="5">
        <f t="shared" si="17"/>
        <v>4921</v>
      </c>
      <c r="L324" s="82">
        <v>0.18</v>
      </c>
      <c r="M324" s="9">
        <f t="shared" si="18"/>
        <v>885.78</v>
      </c>
      <c r="N324" s="5"/>
      <c r="O324" s="5"/>
      <c r="P324" s="5">
        <f t="shared" si="19"/>
        <v>5806.78</v>
      </c>
      <c r="Q324" s="1" t="s">
        <v>763</v>
      </c>
      <c r="R324" s="1" t="s">
        <v>763</v>
      </c>
      <c r="S324" s="1" t="s">
        <v>764</v>
      </c>
      <c r="T324" s="1" t="s">
        <v>2036</v>
      </c>
      <c r="U324" s="1"/>
      <c r="V324" s="2"/>
      <c r="W324" s="21" t="s">
        <v>64</v>
      </c>
      <c r="X324" s="21"/>
      <c r="Y324" s="21"/>
      <c r="Z324" s="12"/>
      <c r="AA324" s="2"/>
      <c r="AB324" s="29" t="s">
        <v>765</v>
      </c>
      <c r="AC324" s="2"/>
      <c r="AD324" s="50"/>
    </row>
    <row r="325" spans="1:30" s="51" customFormat="1" x14ac:dyDescent="0.25">
      <c r="A325" s="4"/>
      <c r="B325" s="4">
        <v>45723</v>
      </c>
      <c r="C325" s="1" t="s">
        <v>1993</v>
      </c>
      <c r="D325" s="1" t="s">
        <v>2037</v>
      </c>
      <c r="E325" s="1" t="s">
        <v>766</v>
      </c>
      <c r="F325" s="1" t="s">
        <v>766</v>
      </c>
      <c r="G325" s="8">
        <v>2</v>
      </c>
      <c r="H325" s="8"/>
      <c r="I325" s="115">
        <f>Table223[[#This Row],[Qty]]-Table223[[#This Row],[Issue Qty]]</f>
        <v>2</v>
      </c>
      <c r="J325" s="5">
        <v>2829</v>
      </c>
      <c r="K325" s="5">
        <f t="shared" si="17"/>
        <v>5658</v>
      </c>
      <c r="L325" s="82">
        <v>0.18</v>
      </c>
      <c r="M325" s="9">
        <f t="shared" si="18"/>
        <v>1018.4399999999999</v>
      </c>
      <c r="N325" s="5"/>
      <c r="O325" s="5"/>
      <c r="P325" s="5">
        <f t="shared" si="19"/>
        <v>6676.44</v>
      </c>
      <c r="Q325" s="1" t="s">
        <v>763</v>
      </c>
      <c r="R325" s="1" t="s">
        <v>763</v>
      </c>
      <c r="S325" s="1" t="s">
        <v>764</v>
      </c>
      <c r="T325" s="1" t="s">
        <v>2036</v>
      </c>
      <c r="U325" s="1"/>
      <c r="V325" s="2"/>
      <c r="W325" s="21" t="s">
        <v>64</v>
      </c>
      <c r="X325" s="21"/>
      <c r="Y325" s="21"/>
      <c r="Z325" s="12"/>
      <c r="AA325" s="2"/>
      <c r="AB325" s="29" t="s">
        <v>767</v>
      </c>
      <c r="AC325" s="2"/>
      <c r="AD325" s="50"/>
    </row>
    <row r="326" spans="1:30" s="53" customFormat="1" ht="45" x14ac:dyDescent="0.25">
      <c r="A326" s="4"/>
      <c r="B326" s="4">
        <v>45726</v>
      </c>
      <c r="C326" s="1" t="s">
        <v>54</v>
      </c>
      <c r="D326" s="1" t="s">
        <v>2038</v>
      </c>
      <c r="E326" s="1" t="s">
        <v>768</v>
      </c>
      <c r="F326" s="1" t="s">
        <v>769</v>
      </c>
      <c r="G326" s="8">
        <f>8-1</f>
        <v>7</v>
      </c>
      <c r="H326" s="8">
        <v>7</v>
      </c>
      <c r="I326" s="115">
        <f>Table223[[#This Row],[Qty]]-Table223[[#This Row],[Issue Qty]]</f>
        <v>0</v>
      </c>
      <c r="J326" s="5">
        <v>1032</v>
      </c>
      <c r="K326" s="5">
        <f t="shared" si="17"/>
        <v>7224</v>
      </c>
      <c r="L326" s="82">
        <v>0.12</v>
      </c>
      <c r="M326" s="9">
        <f t="shared" si="18"/>
        <v>866.88</v>
      </c>
      <c r="N326" s="5"/>
      <c r="O326" s="5"/>
      <c r="P326" s="5">
        <f t="shared" si="19"/>
        <v>8090.88</v>
      </c>
      <c r="Q326" s="1" t="s">
        <v>606</v>
      </c>
      <c r="R326" s="1" t="s">
        <v>606</v>
      </c>
      <c r="S326" s="1" t="s">
        <v>601</v>
      </c>
      <c r="T326" s="1">
        <v>40883</v>
      </c>
      <c r="U326" s="1"/>
      <c r="V326" s="2"/>
      <c r="W326" s="21" t="s">
        <v>445</v>
      </c>
      <c r="X326" s="21" t="s">
        <v>446</v>
      </c>
      <c r="Y326" s="21">
        <v>8</v>
      </c>
      <c r="Z326" s="12" t="s">
        <v>2957</v>
      </c>
      <c r="AA326" s="2"/>
      <c r="AB326" s="29" t="s">
        <v>770</v>
      </c>
      <c r="AC326" s="2"/>
      <c r="AD326" s="52"/>
    </row>
    <row r="327" spans="1:30" s="53" customFormat="1" ht="45" x14ac:dyDescent="0.25">
      <c r="A327" s="4"/>
      <c r="B327" s="4">
        <v>45726</v>
      </c>
      <c r="C327" s="1" t="s">
        <v>54</v>
      </c>
      <c r="D327" s="1" t="s">
        <v>2039</v>
      </c>
      <c r="E327" s="1" t="s">
        <v>771</v>
      </c>
      <c r="F327" s="1" t="s">
        <v>772</v>
      </c>
      <c r="G327" s="8">
        <v>7</v>
      </c>
      <c r="H327" s="8">
        <v>5</v>
      </c>
      <c r="I327" s="115">
        <f>Table223[[#This Row],[Qty]]-Table223[[#This Row],[Issue Qty]]</f>
        <v>2</v>
      </c>
      <c r="J327" s="5">
        <v>1088</v>
      </c>
      <c r="K327" s="5">
        <f t="shared" si="17"/>
        <v>7616</v>
      </c>
      <c r="L327" s="82">
        <v>0.12</v>
      </c>
      <c r="M327" s="9">
        <f t="shared" si="18"/>
        <v>913.92</v>
      </c>
      <c r="N327" s="5"/>
      <c r="O327" s="5"/>
      <c r="P327" s="5">
        <f t="shared" si="19"/>
        <v>8529.92</v>
      </c>
      <c r="Q327" s="1" t="s">
        <v>606</v>
      </c>
      <c r="R327" s="1" t="s">
        <v>606</v>
      </c>
      <c r="S327" s="1" t="s">
        <v>601</v>
      </c>
      <c r="T327" s="1">
        <v>40883</v>
      </c>
      <c r="U327" s="1"/>
      <c r="V327" s="2"/>
      <c r="W327" s="21" t="s">
        <v>445</v>
      </c>
      <c r="X327" s="21" t="s">
        <v>446</v>
      </c>
      <c r="Y327" s="21">
        <v>7</v>
      </c>
      <c r="Z327" s="12" t="s">
        <v>2948</v>
      </c>
      <c r="AA327" s="2"/>
      <c r="AB327" s="29" t="s">
        <v>773</v>
      </c>
      <c r="AC327" s="2"/>
      <c r="AD327" s="52"/>
    </row>
    <row r="328" spans="1:30" s="51" customFormat="1" x14ac:dyDescent="0.25">
      <c r="A328" s="4"/>
      <c r="B328" s="4">
        <v>45729</v>
      </c>
      <c r="C328" s="1" t="s">
        <v>54</v>
      </c>
      <c r="D328" s="1" t="s">
        <v>1997</v>
      </c>
      <c r="E328" s="1" t="s">
        <v>708</v>
      </c>
      <c r="F328" s="1" t="s">
        <v>708</v>
      </c>
      <c r="G328" s="8">
        <v>2</v>
      </c>
      <c r="H328" s="8">
        <v>2</v>
      </c>
      <c r="I328" s="115">
        <f>Table223[[#This Row],[Qty]]-Table223[[#This Row],[Issue Qty]]</f>
        <v>0</v>
      </c>
      <c r="J328" s="5">
        <v>32000</v>
      </c>
      <c r="K328" s="5">
        <f t="shared" si="17"/>
        <v>64000</v>
      </c>
      <c r="L328" s="82">
        <v>0.05</v>
      </c>
      <c r="M328" s="9">
        <f t="shared" si="18"/>
        <v>3200</v>
      </c>
      <c r="N328" s="5">
        <v>0</v>
      </c>
      <c r="O328" s="5"/>
      <c r="P328" s="5">
        <f t="shared" si="19"/>
        <v>67200</v>
      </c>
      <c r="Q328" s="1" t="s">
        <v>606</v>
      </c>
      <c r="R328" s="1" t="s">
        <v>606</v>
      </c>
      <c r="S328" s="1" t="s">
        <v>709</v>
      </c>
      <c r="T328" s="1" t="s">
        <v>2040</v>
      </c>
      <c r="U328" s="1"/>
      <c r="V328" s="2"/>
      <c r="W328" s="21" t="s">
        <v>48</v>
      </c>
      <c r="X328" s="21"/>
      <c r="Y328" s="21">
        <v>2</v>
      </c>
      <c r="Z328" s="12" t="s">
        <v>606</v>
      </c>
      <c r="AA328" s="2"/>
      <c r="AB328" s="29"/>
      <c r="AC328" s="2"/>
      <c r="AD328" s="50"/>
    </row>
    <row r="329" spans="1:30" s="51" customFormat="1" ht="30" x14ac:dyDescent="0.25">
      <c r="A329" s="4"/>
      <c r="B329" s="4">
        <v>45729</v>
      </c>
      <c r="C329" s="1" t="s">
        <v>1991</v>
      </c>
      <c r="D329" s="26" t="s">
        <v>2041</v>
      </c>
      <c r="E329" s="168" t="s">
        <v>774</v>
      </c>
      <c r="F329" s="1" t="s">
        <v>775</v>
      </c>
      <c r="G329" s="8">
        <v>6</v>
      </c>
      <c r="H329" s="8">
        <v>6</v>
      </c>
      <c r="I329" s="115">
        <f>Table223[[#This Row],[Qty]]-Table223[[#This Row],[Issue Qty]]</f>
        <v>0</v>
      </c>
      <c r="J329" s="5">
        <v>0.67</v>
      </c>
      <c r="K329" s="5">
        <f t="shared" si="17"/>
        <v>4.0200000000000005</v>
      </c>
      <c r="L329" s="82">
        <v>0.18</v>
      </c>
      <c r="M329" s="9">
        <f t="shared" si="18"/>
        <v>0.72360000000000002</v>
      </c>
      <c r="N329" s="5"/>
      <c r="O329" s="5"/>
      <c r="P329" s="5">
        <f t="shared" si="19"/>
        <v>4.7436000000000007</v>
      </c>
      <c r="Q329" s="1" t="s">
        <v>726</v>
      </c>
      <c r="R329" s="1" t="s">
        <v>726</v>
      </c>
      <c r="S329" s="1" t="s">
        <v>691</v>
      </c>
      <c r="T329" s="1" t="s">
        <v>2042</v>
      </c>
      <c r="U329" s="1"/>
      <c r="V329" s="1"/>
      <c r="W329" s="8"/>
      <c r="X329" s="8"/>
      <c r="Y329" s="8">
        <v>6</v>
      </c>
      <c r="Z329" s="22" t="s">
        <v>81</v>
      </c>
      <c r="AA329" s="1"/>
      <c r="AB329" s="29"/>
      <c r="AC329" s="1"/>
      <c r="AD329" s="50"/>
    </row>
    <row r="330" spans="1:30" s="51" customFormat="1" ht="30" x14ac:dyDescent="0.25">
      <c r="A330" s="4"/>
      <c r="B330" s="4">
        <v>45729</v>
      </c>
      <c r="C330" s="1" t="s">
        <v>1989</v>
      </c>
      <c r="D330" s="26" t="s">
        <v>1972</v>
      </c>
      <c r="E330" s="168" t="s">
        <v>657</v>
      </c>
      <c r="F330" s="1" t="s">
        <v>776</v>
      </c>
      <c r="G330" s="8">
        <v>2</v>
      </c>
      <c r="H330" s="8">
        <v>2</v>
      </c>
      <c r="I330" s="115">
        <f>Table223[[#This Row],[Qty]]-Table223[[#This Row],[Issue Qty]]</f>
        <v>0</v>
      </c>
      <c r="J330" s="5">
        <v>174.70500000000001</v>
      </c>
      <c r="K330" s="5">
        <f t="shared" si="17"/>
        <v>349.41</v>
      </c>
      <c r="L330" s="82">
        <v>0.05</v>
      </c>
      <c r="M330" s="9">
        <f t="shared" si="18"/>
        <v>17.470500000000001</v>
      </c>
      <c r="N330" s="5"/>
      <c r="O330" s="5"/>
      <c r="P330" s="5">
        <f t="shared" si="19"/>
        <v>366.88050000000004</v>
      </c>
      <c r="Q330" s="1" t="s">
        <v>726</v>
      </c>
      <c r="R330" s="1" t="s">
        <v>726</v>
      </c>
      <c r="S330" s="1" t="s">
        <v>691</v>
      </c>
      <c r="T330" s="1" t="s">
        <v>2042</v>
      </c>
      <c r="U330" s="1"/>
      <c r="V330" s="1"/>
      <c r="W330" s="8" t="s">
        <v>573</v>
      </c>
      <c r="X330" s="8" t="s">
        <v>1963</v>
      </c>
      <c r="Y330" s="8">
        <v>2</v>
      </c>
      <c r="Z330" s="22" t="s">
        <v>81</v>
      </c>
      <c r="AA330" s="1"/>
      <c r="AB330" s="29"/>
      <c r="AC330" s="1"/>
      <c r="AD330" s="50"/>
    </row>
    <row r="331" spans="1:30" s="51" customFormat="1" x14ac:dyDescent="0.25">
      <c r="A331" s="4"/>
      <c r="B331" s="4">
        <v>45729</v>
      </c>
      <c r="C331" s="1" t="s">
        <v>1989</v>
      </c>
      <c r="D331" s="26" t="s">
        <v>2043</v>
      </c>
      <c r="E331" s="168" t="s">
        <v>777</v>
      </c>
      <c r="F331" s="1" t="s">
        <v>778</v>
      </c>
      <c r="G331" s="8">
        <v>8</v>
      </c>
      <c r="H331" s="8">
        <v>8</v>
      </c>
      <c r="I331" s="115">
        <f>Table223[[#This Row],[Qty]]-Table223[[#This Row],[Issue Qty]]</f>
        <v>0</v>
      </c>
      <c r="J331" s="5">
        <v>17.813749999999999</v>
      </c>
      <c r="K331" s="5">
        <f t="shared" si="17"/>
        <v>142.51</v>
      </c>
      <c r="L331" s="82">
        <v>0.18</v>
      </c>
      <c r="M331" s="9">
        <f t="shared" si="18"/>
        <v>25.651799999999998</v>
      </c>
      <c r="N331" s="5"/>
      <c r="O331" s="5"/>
      <c r="P331" s="5">
        <f t="shared" si="19"/>
        <v>168.1618</v>
      </c>
      <c r="Q331" s="1" t="s">
        <v>726</v>
      </c>
      <c r="R331" s="1" t="s">
        <v>726</v>
      </c>
      <c r="S331" s="1" t="s">
        <v>691</v>
      </c>
      <c r="T331" s="1" t="s">
        <v>2042</v>
      </c>
      <c r="U331" s="1"/>
      <c r="V331" s="1"/>
      <c r="W331" s="8"/>
      <c r="X331" s="8"/>
      <c r="Y331" s="8">
        <v>8</v>
      </c>
      <c r="Z331" s="22" t="s">
        <v>81</v>
      </c>
      <c r="AA331" s="1"/>
      <c r="AB331" s="29"/>
      <c r="AC331" s="1"/>
      <c r="AD331" s="50"/>
    </row>
    <row r="332" spans="1:30" s="51" customFormat="1" ht="30" x14ac:dyDescent="0.25">
      <c r="A332" s="4"/>
      <c r="B332" s="4">
        <v>45729</v>
      </c>
      <c r="C332" s="1" t="s">
        <v>1991</v>
      </c>
      <c r="D332" s="26" t="s">
        <v>2021</v>
      </c>
      <c r="E332" s="168" t="s">
        <v>742</v>
      </c>
      <c r="F332" s="1" t="s">
        <v>779</v>
      </c>
      <c r="G332" s="8">
        <v>12</v>
      </c>
      <c r="H332" s="8">
        <v>12</v>
      </c>
      <c r="I332" s="115">
        <f>Table223[[#This Row],[Qty]]-Table223[[#This Row],[Issue Qty]]</f>
        <v>0</v>
      </c>
      <c r="J332" s="5">
        <v>0.3725</v>
      </c>
      <c r="K332" s="5">
        <f t="shared" si="17"/>
        <v>4.47</v>
      </c>
      <c r="L332" s="82">
        <v>0.18</v>
      </c>
      <c r="M332" s="9">
        <f t="shared" si="18"/>
        <v>0.80459999999999987</v>
      </c>
      <c r="N332" s="5"/>
      <c r="O332" s="5"/>
      <c r="P332" s="5">
        <f t="shared" si="19"/>
        <v>5.2745999999999995</v>
      </c>
      <c r="Q332" s="1" t="s">
        <v>726</v>
      </c>
      <c r="R332" s="1" t="s">
        <v>726</v>
      </c>
      <c r="S332" s="1" t="s">
        <v>691</v>
      </c>
      <c r="T332" s="1" t="s">
        <v>2042</v>
      </c>
      <c r="U332" s="1"/>
      <c r="V332" s="1"/>
      <c r="W332" s="8"/>
      <c r="X332" s="8"/>
      <c r="Y332" s="8">
        <v>12</v>
      </c>
      <c r="Z332" s="22" t="s">
        <v>81</v>
      </c>
      <c r="AA332" s="1"/>
      <c r="AB332" s="29"/>
      <c r="AC332" s="1"/>
      <c r="AD332" s="50"/>
    </row>
    <row r="333" spans="1:30" s="51" customFormat="1" x14ac:dyDescent="0.25">
      <c r="A333" s="4"/>
      <c r="B333" s="4">
        <v>45729</v>
      </c>
      <c r="C333" s="1" t="s">
        <v>1991</v>
      </c>
      <c r="D333" s="26" t="s">
        <v>2044</v>
      </c>
      <c r="E333" s="168" t="s">
        <v>780</v>
      </c>
      <c r="F333" s="1" t="s">
        <v>780</v>
      </c>
      <c r="G333" s="8">
        <v>2</v>
      </c>
      <c r="H333" s="8">
        <v>2</v>
      </c>
      <c r="I333" s="115">
        <f>Table223[[#This Row],[Qty]]-Table223[[#This Row],[Issue Qty]]</f>
        <v>0</v>
      </c>
      <c r="J333" s="5">
        <v>229.1</v>
      </c>
      <c r="K333" s="5">
        <f t="shared" si="17"/>
        <v>458.2</v>
      </c>
      <c r="L333" s="82">
        <v>0.18</v>
      </c>
      <c r="M333" s="9">
        <f t="shared" si="18"/>
        <v>82.475999999999999</v>
      </c>
      <c r="N333" s="5"/>
      <c r="O333" s="5"/>
      <c r="P333" s="5">
        <f t="shared" si="19"/>
        <v>540.67599999999993</v>
      </c>
      <c r="Q333" s="1" t="s">
        <v>726</v>
      </c>
      <c r="R333" s="1" t="s">
        <v>726</v>
      </c>
      <c r="S333" s="1" t="s">
        <v>691</v>
      </c>
      <c r="T333" s="1" t="s">
        <v>2042</v>
      </c>
      <c r="U333" s="1"/>
      <c r="V333" s="2"/>
      <c r="W333" s="21" t="s">
        <v>650</v>
      </c>
      <c r="X333" s="21" t="s">
        <v>651</v>
      </c>
      <c r="Y333" s="21">
        <v>2</v>
      </c>
      <c r="Z333" s="12" t="s">
        <v>474</v>
      </c>
      <c r="AA333" s="2"/>
      <c r="AB333" s="29"/>
      <c r="AC333" s="2"/>
      <c r="AD333" s="50"/>
    </row>
    <row r="334" spans="1:30" s="51" customFormat="1" ht="30" x14ac:dyDescent="0.25">
      <c r="A334" s="4"/>
      <c r="B334" s="4">
        <v>45729</v>
      </c>
      <c r="C334" s="1" t="s">
        <v>1991</v>
      </c>
      <c r="D334" s="1" t="s">
        <v>2045</v>
      </c>
      <c r="E334" s="169" t="s">
        <v>781</v>
      </c>
      <c r="F334" s="1" t="s">
        <v>781</v>
      </c>
      <c r="G334" s="8">
        <v>2</v>
      </c>
      <c r="H334" s="8"/>
      <c r="I334" s="115">
        <f>Table223[[#This Row],[Qty]]-Table223[[#This Row],[Issue Qty]]</f>
        <v>2</v>
      </c>
      <c r="J334" s="5">
        <v>386.32</v>
      </c>
      <c r="K334" s="5">
        <f t="shared" si="17"/>
        <v>772.64</v>
      </c>
      <c r="L334" s="82">
        <v>0.18</v>
      </c>
      <c r="M334" s="9">
        <f t="shared" si="18"/>
        <v>139.0752</v>
      </c>
      <c r="N334" s="5"/>
      <c r="O334" s="5"/>
      <c r="P334" s="5">
        <f t="shared" si="19"/>
        <v>911.71519999999998</v>
      </c>
      <c r="Q334" s="1" t="s">
        <v>726</v>
      </c>
      <c r="R334" s="1" t="s">
        <v>726</v>
      </c>
      <c r="S334" s="1" t="s">
        <v>691</v>
      </c>
      <c r="T334" s="1" t="s">
        <v>2042</v>
      </c>
      <c r="U334" s="1"/>
      <c r="V334" s="2"/>
      <c r="W334" s="21" t="s">
        <v>650</v>
      </c>
      <c r="X334" s="21" t="s">
        <v>651</v>
      </c>
      <c r="Y334" s="21">
        <v>2</v>
      </c>
      <c r="Z334" s="12" t="s">
        <v>474</v>
      </c>
      <c r="AA334" s="2"/>
      <c r="AB334" s="29" t="s">
        <v>782</v>
      </c>
      <c r="AC334" s="2"/>
      <c r="AD334" s="50"/>
    </row>
    <row r="335" spans="1:30" s="51" customFormat="1" ht="30" x14ac:dyDescent="0.25">
      <c r="A335" s="4"/>
      <c r="B335" s="4">
        <v>45729</v>
      </c>
      <c r="C335" s="1" t="s">
        <v>1991</v>
      </c>
      <c r="D335" s="1" t="s">
        <v>2046</v>
      </c>
      <c r="E335" s="1" t="s">
        <v>783</v>
      </c>
      <c r="F335" s="1" t="s">
        <v>783</v>
      </c>
      <c r="G335" s="8">
        <v>1</v>
      </c>
      <c r="H335" s="8"/>
      <c r="I335" s="115">
        <f>Table223[[#This Row],[Qty]]-Table223[[#This Row],[Issue Qty]]</f>
        <v>1</v>
      </c>
      <c r="J335" s="5">
        <v>817.77</v>
      </c>
      <c r="K335" s="5">
        <f t="shared" si="17"/>
        <v>817.77</v>
      </c>
      <c r="L335" s="82">
        <v>0.05</v>
      </c>
      <c r="M335" s="9">
        <f t="shared" si="18"/>
        <v>40.888500000000001</v>
      </c>
      <c r="N335" s="5"/>
      <c r="O335" s="5"/>
      <c r="P335" s="5">
        <f t="shared" si="19"/>
        <v>858.6585</v>
      </c>
      <c r="Q335" s="1" t="s">
        <v>726</v>
      </c>
      <c r="R335" s="1" t="s">
        <v>726</v>
      </c>
      <c r="S335" s="1" t="s">
        <v>691</v>
      </c>
      <c r="T335" s="1" t="s">
        <v>2042</v>
      </c>
      <c r="U335" s="1"/>
      <c r="V335" s="1"/>
      <c r="W335" s="21" t="s">
        <v>38</v>
      </c>
      <c r="X335" s="21" t="s">
        <v>784</v>
      </c>
      <c r="Y335" s="8"/>
      <c r="Z335" s="22"/>
      <c r="AA335" s="1"/>
      <c r="AB335" s="29" t="s">
        <v>785</v>
      </c>
      <c r="AC335" s="1"/>
      <c r="AD335" s="50"/>
    </row>
    <row r="336" spans="1:30" s="51" customFormat="1" ht="30" x14ac:dyDescent="0.25">
      <c r="A336" s="4"/>
      <c r="B336" s="4">
        <v>45733</v>
      </c>
      <c r="C336" s="1" t="s">
        <v>1991</v>
      </c>
      <c r="D336" s="1" t="s">
        <v>2047</v>
      </c>
      <c r="E336" s="169" t="s">
        <v>786</v>
      </c>
      <c r="F336" s="1" t="s">
        <v>787</v>
      </c>
      <c r="G336" s="8">
        <v>2</v>
      </c>
      <c r="H336" s="8">
        <v>2</v>
      </c>
      <c r="I336" s="115">
        <f>Table223[[#This Row],[Qty]]-Table223[[#This Row],[Issue Qty]]</f>
        <v>0</v>
      </c>
      <c r="J336" s="5">
        <v>486.71</v>
      </c>
      <c r="K336" s="5">
        <f t="shared" si="17"/>
        <v>973.42</v>
      </c>
      <c r="L336" s="82">
        <v>0.18</v>
      </c>
      <c r="M336" s="9">
        <f t="shared" si="18"/>
        <v>175.21559999999999</v>
      </c>
      <c r="N336" s="5">
        <v>108.0022</v>
      </c>
      <c r="O336" s="5"/>
      <c r="P336" s="5">
        <f t="shared" si="19"/>
        <v>1256.6378</v>
      </c>
      <c r="Q336" s="1" t="s">
        <v>726</v>
      </c>
      <c r="R336" s="1" t="s">
        <v>726</v>
      </c>
      <c r="S336" s="1" t="s">
        <v>788</v>
      </c>
      <c r="T336" s="1" t="s">
        <v>2048</v>
      </c>
      <c r="U336" s="1"/>
      <c r="V336" s="1"/>
      <c r="W336" s="8" t="s">
        <v>650</v>
      </c>
      <c r="X336" s="8" t="s">
        <v>651</v>
      </c>
      <c r="Y336" s="8">
        <v>2</v>
      </c>
      <c r="Z336" s="22" t="s">
        <v>474</v>
      </c>
      <c r="AA336" s="1"/>
      <c r="AB336" s="29" t="s">
        <v>789</v>
      </c>
      <c r="AC336" s="1"/>
      <c r="AD336" s="50"/>
    </row>
    <row r="337" spans="1:30" s="51" customFormat="1" x14ac:dyDescent="0.25">
      <c r="A337" s="4"/>
      <c r="B337" s="4">
        <v>45735</v>
      </c>
      <c r="C337" s="1" t="s">
        <v>1989</v>
      </c>
      <c r="D337" s="1" t="s">
        <v>2049</v>
      </c>
      <c r="E337" s="1" t="s">
        <v>790</v>
      </c>
      <c r="F337" s="1" t="s">
        <v>791</v>
      </c>
      <c r="G337" s="8">
        <v>12</v>
      </c>
      <c r="H337" s="8">
        <v>12</v>
      </c>
      <c r="I337" s="115">
        <f>Table223[[#This Row],[Qty]]-Table223[[#This Row],[Issue Qty]]</f>
        <v>0</v>
      </c>
      <c r="J337" s="5">
        <v>360</v>
      </c>
      <c r="K337" s="5">
        <f t="shared" si="17"/>
        <v>4320</v>
      </c>
      <c r="L337" s="82">
        <v>0.18</v>
      </c>
      <c r="M337" s="9">
        <f t="shared" si="18"/>
        <v>777.6</v>
      </c>
      <c r="N337" s="5">
        <v>472</v>
      </c>
      <c r="O337" s="5"/>
      <c r="P337" s="5">
        <f t="shared" si="19"/>
        <v>5569.6</v>
      </c>
      <c r="Q337" s="1" t="s">
        <v>606</v>
      </c>
      <c r="R337" s="1" t="s">
        <v>606</v>
      </c>
      <c r="S337" s="1" t="s">
        <v>792</v>
      </c>
      <c r="T337" s="1" t="s">
        <v>2050</v>
      </c>
      <c r="U337" s="1"/>
      <c r="V337" s="2"/>
      <c r="W337" s="21" t="s">
        <v>78</v>
      </c>
      <c r="X337" s="21"/>
      <c r="Y337" s="21">
        <v>12</v>
      </c>
      <c r="Z337" s="12" t="s">
        <v>607</v>
      </c>
      <c r="AA337" s="2"/>
      <c r="AB337" s="29" t="s">
        <v>793</v>
      </c>
      <c r="AC337" s="2"/>
      <c r="AD337" s="50"/>
    </row>
    <row r="338" spans="1:30" s="51" customFormat="1" ht="30" x14ac:dyDescent="0.25">
      <c r="A338" s="4"/>
      <c r="B338" s="4">
        <v>45735</v>
      </c>
      <c r="C338" s="1" t="s">
        <v>54</v>
      </c>
      <c r="D338" s="1" t="s">
        <v>1928</v>
      </c>
      <c r="E338" s="1" t="s">
        <v>574</v>
      </c>
      <c r="F338" s="55" t="s">
        <v>574</v>
      </c>
      <c r="G338" s="8">
        <v>54</v>
      </c>
      <c r="H338" s="8">
        <f>6+6+2+6+6</f>
        <v>26</v>
      </c>
      <c r="I338" s="115">
        <f>Table223[[#This Row],[Qty]]-Table223[[#This Row],[Issue Qty]]</f>
        <v>28</v>
      </c>
      <c r="J338" s="5">
        <v>1000</v>
      </c>
      <c r="K338" s="5">
        <f t="shared" si="17"/>
        <v>54000</v>
      </c>
      <c r="L338" s="82">
        <v>0.18</v>
      </c>
      <c r="M338" s="9">
        <f t="shared" si="18"/>
        <v>9720</v>
      </c>
      <c r="N338" s="5">
        <v>0</v>
      </c>
      <c r="O338" s="5"/>
      <c r="P338" s="5">
        <f t="shared" si="19"/>
        <v>63720</v>
      </c>
      <c r="Q338" s="1" t="s">
        <v>606</v>
      </c>
      <c r="R338" s="1" t="s">
        <v>606</v>
      </c>
      <c r="S338" s="1" t="s">
        <v>440</v>
      </c>
      <c r="T338" s="1" t="s">
        <v>2051</v>
      </c>
      <c r="U338" s="1"/>
      <c r="V338" s="2"/>
      <c r="W338" s="21" t="s">
        <v>445</v>
      </c>
      <c r="X338" s="21" t="s">
        <v>446</v>
      </c>
      <c r="Y338" s="21">
        <f>54-6</f>
        <v>48</v>
      </c>
      <c r="Z338" s="12" t="s">
        <v>2905</v>
      </c>
      <c r="AA338" s="2"/>
      <c r="AB338" s="29" t="s">
        <v>574</v>
      </c>
      <c r="AC338" s="2"/>
      <c r="AD338" s="50"/>
    </row>
    <row r="339" spans="1:30" s="24" customFormat="1" x14ac:dyDescent="0.25">
      <c r="A339" s="4"/>
      <c r="B339" s="4">
        <v>45736</v>
      </c>
      <c r="C339" s="1" t="s">
        <v>1991</v>
      </c>
      <c r="D339" s="1" t="s">
        <v>1890</v>
      </c>
      <c r="E339" s="1" t="s">
        <v>498</v>
      </c>
      <c r="F339" s="1" t="s">
        <v>498</v>
      </c>
      <c r="G339" s="8">
        <v>3</v>
      </c>
      <c r="H339" s="8">
        <v>3</v>
      </c>
      <c r="I339" s="115">
        <f>Table223[[#This Row],[Qty]]-Table223[[#This Row],[Issue Qty]]</f>
        <v>0</v>
      </c>
      <c r="J339" s="5">
        <v>17250</v>
      </c>
      <c r="K339" s="5">
        <f t="shared" si="17"/>
        <v>51750</v>
      </c>
      <c r="L339" s="82">
        <v>0.05</v>
      </c>
      <c r="M339" s="9">
        <f t="shared" si="18"/>
        <v>2587.5</v>
      </c>
      <c r="N339" s="5">
        <v>0</v>
      </c>
      <c r="O339" s="5"/>
      <c r="P339" s="5">
        <f t="shared" si="19"/>
        <v>54337.5</v>
      </c>
      <c r="Q339" s="1" t="s">
        <v>606</v>
      </c>
      <c r="R339" s="1" t="s">
        <v>606</v>
      </c>
      <c r="S339" s="1" t="s">
        <v>794</v>
      </c>
      <c r="T339" s="1" t="s">
        <v>2052</v>
      </c>
      <c r="U339" s="1"/>
      <c r="V339" s="27"/>
      <c r="W339" s="21" t="s">
        <v>52</v>
      </c>
      <c r="X339" s="28"/>
      <c r="Y339" s="21">
        <v>3</v>
      </c>
      <c r="Z339" s="12" t="s">
        <v>795</v>
      </c>
      <c r="AA339" s="27"/>
      <c r="AB339" s="29"/>
      <c r="AC339" s="27"/>
      <c r="AD339" s="2"/>
    </row>
    <row r="340" spans="1:30" s="51" customFormat="1" x14ac:dyDescent="0.25">
      <c r="A340" s="4"/>
      <c r="B340" s="4">
        <v>45736</v>
      </c>
      <c r="C340" s="1" t="s">
        <v>1991</v>
      </c>
      <c r="D340" s="6" t="s">
        <v>1892</v>
      </c>
      <c r="E340" s="6" t="s">
        <v>501</v>
      </c>
      <c r="F340" s="1" t="s">
        <v>501</v>
      </c>
      <c r="G340" s="8">
        <v>5</v>
      </c>
      <c r="H340" s="8">
        <v>5</v>
      </c>
      <c r="I340" s="115">
        <f>Table223[[#This Row],[Qty]]-Table223[[#This Row],[Issue Qty]]</f>
        <v>0</v>
      </c>
      <c r="J340" s="5">
        <v>28750</v>
      </c>
      <c r="K340" s="5">
        <f t="shared" si="17"/>
        <v>143750</v>
      </c>
      <c r="L340" s="82">
        <v>0.05</v>
      </c>
      <c r="M340" s="9">
        <f t="shared" si="18"/>
        <v>7187.5</v>
      </c>
      <c r="N340" s="5">
        <v>0</v>
      </c>
      <c r="O340" s="5"/>
      <c r="P340" s="5">
        <f t="shared" si="19"/>
        <v>150937.5</v>
      </c>
      <c r="Q340" s="1" t="s">
        <v>606</v>
      </c>
      <c r="R340" s="1" t="s">
        <v>606</v>
      </c>
      <c r="S340" s="1" t="s">
        <v>794</v>
      </c>
      <c r="T340" s="1" t="s">
        <v>2052</v>
      </c>
      <c r="U340" s="1"/>
      <c r="V340" s="2"/>
      <c r="W340" s="21" t="s">
        <v>244</v>
      </c>
      <c r="X340" s="21" t="s">
        <v>355</v>
      </c>
      <c r="Y340" s="21">
        <v>5</v>
      </c>
      <c r="Z340" s="12" t="s">
        <v>796</v>
      </c>
      <c r="AA340" s="2"/>
      <c r="AB340" s="29"/>
      <c r="AC340" s="2"/>
      <c r="AD340" s="50"/>
    </row>
    <row r="341" spans="1:30" s="51" customFormat="1" x14ac:dyDescent="0.25">
      <c r="A341" s="4"/>
      <c r="B341" s="4">
        <v>45736</v>
      </c>
      <c r="C341" s="1" t="s">
        <v>1989</v>
      </c>
      <c r="D341" s="26" t="s">
        <v>2053</v>
      </c>
      <c r="E341" s="26" t="s">
        <v>797</v>
      </c>
      <c r="F341" s="1" t="s">
        <v>798</v>
      </c>
      <c r="G341" s="8">
        <v>11</v>
      </c>
      <c r="H341" s="8">
        <v>11</v>
      </c>
      <c r="I341" s="115">
        <f>Table223[[#This Row],[Qty]]-Table223[[#This Row],[Issue Qty]]</f>
        <v>0</v>
      </c>
      <c r="J341" s="5">
        <v>134.5</v>
      </c>
      <c r="K341" s="5">
        <f t="shared" si="17"/>
        <v>1479.5</v>
      </c>
      <c r="L341" s="82">
        <v>0.18</v>
      </c>
      <c r="M341" s="9">
        <f t="shared" si="18"/>
        <v>266.31</v>
      </c>
      <c r="N341" s="5">
        <f>1200/6</f>
        <v>200</v>
      </c>
      <c r="O341" s="5"/>
      <c r="P341" s="5">
        <f t="shared" si="19"/>
        <v>1945.81</v>
      </c>
      <c r="Q341" s="1" t="s">
        <v>606</v>
      </c>
      <c r="R341" s="1" t="s">
        <v>606</v>
      </c>
      <c r="S341" s="1" t="s">
        <v>691</v>
      </c>
      <c r="T341" s="1" t="s">
        <v>2054</v>
      </c>
      <c r="U341" s="1"/>
      <c r="V341" s="2"/>
      <c r="W341" s="21" t="s">
        <v>1345</v>
      </c>
      <c r="X341" s="21"/>
      <c r="Y341" s="21"/>
      <c r="Z341" s="12" t="s">
        <v>3346</v>
      </c>
      <c r="AA341" s="2"/>
      <c r="AB341" s="29"/>
      <c r="AC341" s="2"/>
      <c r="AD341" s="50"/>
    </row>
    <row r="342" spans="1:30" s="51" customFormat="1" x14ac:dyDescent="0.25">
      <c r="A342" s="4"/>
      <c r="B342" s="4">
        <v>45736</v>
      </c>
      <c r="C342" s="1" t="s">
        <v>1989</v>
      </c>
      <c r="D342" s="26" t="s">
        <v>2055</v>
      </c>
      <c r="E342" s="26" t="s">
        <v>799</v>
      </c>
      <c r="F342" s="1" t="s">
        <v>800</v>
      </c>
      <c r="G342" s="8">
        <v>11</v>
      </c>
      <c r="H342" s="8">
        <v>11</v>
      </c>
      <c r="I342" s="115">
        <f>Table223[[#This Row],[Qty]]-Table223[[#This Row],[Issue Qty]]</f>
        <v>0</v>
      </c>
      <c r="J342" s="5">
        <v>134.35599999999999</v>
      </c>
      <c r="K342" s="5">
        <f t="shared" si="17"/>
        <v>1477.9159999999999</v>
      </c>
      <c r="L342" s="82">
        <v>0.18</v>
      </c>
      <c r="M342" s="9">
        <f t="shared" si="18"/>
        <v>266.02488</v>
      </c>
      <c r="N342" s="5">
        <f>1200/6</f>
        <v>200</v>
      </c>
      <c r="O342" s="5"/>
      <c r="P342" s="5">
        <f t="shared" si="19"/>
        <v>1943.9408799999999</v>
      </c>
      <c r="Q342" s="1" t="s">
        <v>606</v>
      </c>
      <c r="R342" s="1" t="s">
        <v>606</v>
      </c>
      <c r="S342" s="1" t="s">
        <v>691</v>
      </c>
      <c r="T342" s="1" t="s">
        <v>2054</v>
      </c>
      <c r="U342" s="1"/>
      <c r="V342" s="2"/>
      <c r="W342" s="21" t="s">
        <v>833</v>
      </c>
      <c r="X342" s="21"/>
      <c r="Y342" s="21"/>
      <c r="Z342" s="12"/>
      <c r="AA342" s="2"/>
      <c r="AB342" s="29"/>
      <c r="AC342" s="2"/>
      <c r="AD342" s="50"/>
    </row>
    <row r="343" spans="1:30" s="24" customFormat="1" ht="30" x14ac:dyDescent="0.25">
      <c r="A343" s="4"/>
      <c r="B343" s="4">
        <v>45736</v>
      </c>
      <c r="C343" s="1" t="s">
        <v>1991</v>
      </c>
      <c r="D343" s="1" t="s">
        <v>1955</v>
      </c>
      <c r="E343" s="1" t="s">
        <v>628</v>
      </c>
      <c r="F343" s="1" t="s">
        <v>628</v>
      </c>
      <c r="G343" s="8">
        <v>7</v>
      </c>
      <c r="H343" s="8">
        <v>4</v>
      </c>
      <c r="I343" s="115">
        <f>Table223[[#This Row],[Qty]]-Table223[[#This Row],[Issue Qty]]</f>
        <v>3</v>
      </c>
      <c r="J343" s="5">
        <v>24576.271333000001</v>
      </c>
      <c r="K343" s="5">
        <f t="shared" si="17"/>
        <v>172033.89933099999</v>
      </c>
      <c r="L343" s="82">
        <v>0.18</v>
      </c>
      <c r="M343" s="9">
        <f t="shared" si="18"/>
        <v>30966.101879579997</v>
      </c>
      <c r="N343" s="5">
        <f>1200/6</f>
        <v>200</v>
      </c>
      <c r="O343" s="5"/>
      <c r="P343" s="5">
        <f t="shared" si="19"/>
        <v>203200.00121058</v>
      </c>
      <c r="Q343" s="1" t="s">
        <v>606</v>
      </c>
      <c r="R343" s="1" t="s">
        <v>606</v>
      </c>
      <c r="S343" s="1" t="s">
        <v>691</v>
      </c>
      <c r="T343" s="1" t="s">
        <v>2054</v>
      </c>
      <c r="U343" s="1"/>
      <c r="V343" s="2"/>
      <c r="W343" s="21" t="s">
        <v>89</v>
      </c>
      <c r="X343" s="21" t="s">
        <v>801</v>
      </c>
      <c r="Y343" s="21">
        <v>5</v>
      </c>
      <c r="Z343" s="12" t="s">
        <v>2966</v>
      </c>
      <c r="AA343" s="2"/>
      <c r="AB343" s="29" t="s">
        <v>218</v>
      </c>
      <c r="AC343" s="2"/>
      <c r="AD343" s="2"/>
    </row>
    <row r="344" spans="1:30" s="51" customFormat="1" ht="30" x14ac:dyDescent="0.25">
      <c r="A344" s="4"/>
      <c r="B344" s="4">
        <v>45736</v>
      </c>
      <c r="C344" s="1" t="s">
        <v>1991</v>
      </c>
      <c r="D344" s="1" t="s">
        <v>1955</v>
      </c>
      <c r="E344" s="1" t="s">
        <v>628</v>
      </c>
      <c r="F344" s="1" t="s">
        <v>628</v>
      </c>
      <c r="G344" s="8">
        <v>1</v>
      </c>
      <c r="H344" s="8"/>
      <c r="I344" s="115">
        <f>Table223[[#This Row],[Qty]]-Table223[[#This Row],[Issue Qty]]</f>
        <v>1</v>
      </c>
      <c r="J344" s="5">
        <v>24576.271333000001</v>
      </c>
      <c r="K344" s="5">
        <f t="shared" si="17"/>
        <v>24576.271333000001</v>
      </c>
      <c r="L344" s="82">
        <v>0.18</v>
      </c>
      <c r="M344" s="9">
        <f t="shared" si="18"/>
        <v>4423.7288399400004</v>
      </c>
      <c r="N344" s="5">
        <f>1200/6</f>
        <v>200</v>
      </c>
      <c r="O344" s="5"/>
      <c r="P344" s="5">
        <f t="shared" si="19"/>
        <v>29200.000172940003</v>
      </c>
      <c r="Q344" s="1" t="s">
        <v>606</v>
      </c>
      <c r="R344" s="1" t="s">
        <v>606</v>
      </c>
      <c r="S344" s="1" t="s">
        <v>691</v>
      </c>
      <c r="T344" s="1" t="s">
        <v>2054</v>
      </c>
      <c r="U344" s="1"/>
      <c r="V344" s="1"/>
      <c r="W344" s="8" t="s">
        <v>44</v>
      </c>
      <c r="X344" s="8"/>
      <c r="Y344" s="8"/>
      <c r="Z344" s="22"/>
      <c r="AA344" s="1"/>
      <c r="AB344" s="29" t="s">
        <v>218</v>
      </c>
      <c r="AC344" s="1"/>
      <c r="AD344" s="50"/>
    </row>
    <row r="345" spans="1:30" s="51" customFormat="1" ht="30" x14ac:dyDescent="0.25">
      <c r="A345" s="4"/>
      <c r="B345" s="4">
        <v>45736</v>
      </c>
      <c r="C345" s="1" t="s">
        <v>1989</v>
      </c>
      <c r="D345" s="26" t="s">
        <v>2056</v>
      </c>
      <c r="E345" s="26" t="s">
        <v>803</v>
      </c>
      <c r="F345" s="1" t="s">
        <v>803</v>
      </c>
      <c r="G345" s="8">
        <v>5</v>
      </c>
      <c r="H345" s="8">
        <v>2</v>
      </c>
      <c r="I345" s="115">
        <f>Table223[[#This Row],[Qty]]-Table223[[#This Row],[Issue Qty]]</f>
        <v>3</v>
      </c>
      <c r="J345" s="5">
        <v>430</v>
      </c>
      <c r="K345" s="5">
        <f t="shared" si="17"/>
        <v>2150</v>
      </c>
      <c r="L345" s="82">
        <v>0.05</v>
      </c>
      <c r="M345" s="9">
        <f t="shared" si="18"/>
        <v>107.5</v>
      </c>
      <c r="N345" s="5">
        <v>0.5</v>
      </c>
      <c r="O345" s="5"/>
      <c r="P345" s="5">
        <f t="shared" si="19"/>
        <v>2258</v>
      </c>
      <c r="Q345" s="1" t="s">
        <v>606</v>
      </c>
      <c r="R345" s="1" t="s">
        <v>606</v>
      </c>
      <c r="S345" s="1" t="s">
        <v>794</v>
      </c>
      <c r="T345" s="1" t="s">
        <v>2052</v>
      </c>
      <c r="U345" s="1"/>
      <c r="V345" s="2"/>
      <c r="W345" s="21" t="s">
        <v>52</v>
      </c>
      <c r="X345" s="21"/>
      <c r="Y345" s="21">
        <v>1</v>
      </c>
      <c r="Z345" s="12" t="s">
        <v>2953</v>
      </c>
      <c r="AA345" s="2"/>
      <c r="AB345" s="29"/>
      <c r="AC345" s="2"/>
      <c r="AD345" s="50"/>
    </row>
    <row r="346" spans="1:30" s="51" customFormat="1" x14ac:dyDescent="0.25">
      <c r="A346" s="4"/>
      <c r="B346" s="4">
        <v>45736</v>
      </c>
      <c r="C346" s="1" t="s">
        <v>1991</v>
      </c>
      <c r="D346" s="26" t="s">
        <v>2057</v>
      </c>
      <c r="E346" s="168" t="s">
        <v>804</v>
      </c>
      <c r="F346" s="1" t="s">
        <v>804</v>
      </c>
      <c r="G346" s="8">
        <v>6</v>
      </c>
      <c r="H346" s="8">
        <v>6</v>
      </c>
      <c r="I346" s="115">
        <f>Table223[[#This Row],[Qty]]-Table223[[#This Row],[Issue Qty]]</f>
        <v>0</v>
      </c>
      <c r="J346" s="5">
        <v>3250</v>
      </c>
      <c r="K346" s="5">
        <f t="shared" si="17"/>
        <v>19500</v>
      </c>
      <c r="L346" s="82">
        <v>0.05</v>
      </c>
      <c r="M346" s="9">
        <f t="shared" si="18"/>
        <v>975</v>
      </c>
      <c r="N346" s="5">
        <v>0</v>
      </c>
      <c r="O346" s="5"/>
      <c r="P346" s="5">
        <f t="shared" si="19"/>
        <v>20475</v>
      </c>
      <c r="Q346" s="1" t="s">
        <v>606</v>
      </c>
      <c r="R346" s="1" t="s">
        <v>606</v>
      </c>
      <c r="S346" s="1" t="s">
        <v>794</v>
      </c>
      <c r="T346" s="1" t="s">
        <v>2052</v>
      </c>
      <c r="U346" s="1"/>
      <c r="V346" s="2"/>
      <c r="W346" s="21" t="s">
        <v>52</v>
      </c>
      <c r="X346" s="21"/>
      <c r="Y346" s="21"/>
      <c r="Z346" s="12"/>
      <c r="AA346" s="2"/>
      <c r="AB346" s="29"/>
      <c r="AC346" s="2"/>
      <c r="AD346" s="50"/>
    </row>
    <row r="347" spans="1:30" s="51" customFormat="1" ht="30" x14ac:dyDescent="0.25">
      <c r="A347" s="4"/>
      <c r="B347" s="4">
        <v>45736</v>
      </c>
      <c r="C347" s="1" t="s">
        <v>1991</v>
      </c>
      <c r="D347" s="26" t="s">
        <v>2058</v>
      </c>
      <c r="E347" s="26" t="s">
        <v>805</v>
      </c>
      <c r="F347" s="1" t="s">
        <v>805</v>
      </c>
      <c r="G347" s="8">
        <v>5</v>
      </c>
      <c r="H347" s="8">
        <v>3</v>
      </c>
      <c r="I347" s="115">
        <f>Table223[[#This Row],[Qty]]-Table223[[#This Row],[Issue Qty]]</f>
        <v>2</v>
      </c>
      <c r="J347" s="5">
        <v>3750</v>
      </c>
      <c r="K347" s="5">
        <f t="shared" si="17"/>
        <v>18750</v>
      </c>
      <c r="L347" s="82">
        <v>0.05</v>
      </c>
      <c r="M347" s="9">
        <f t="shared" si="18"/>
        <v>937.5</v>
      </c>
      <c r="N347" s="5">
        <v>0</v>
      </c>
      <c r="O347" s="5"/>
      <c r="P347" s="5">
        <f t="shared" si="19"/>
        <v>19687.5</v>
      </c>
      <c r="Q347" s="1" t="s">
        <v>606</v>
      </c>
      <c r="R347" s="1" t="s">
        <v>606</v>
      </c>
      <c r="S347" s="1" t="s">
        <v>794</v>
      </c>
      <c r="T347" s="1" t="s">
        <v>2052</v>
      </c>
      <c r="U347" s="1"/>
      <c r="V347" s="2"/>
      <c r="W347" s="21" t="s">
        <v>52</v>
      </c>
      <c r="X347" s="21"/>
      <c r="Y347" s="21">
        <v>4</v>
      </c>
      <c r="Z347" s="57" t="s">
        <v>2964</v>
      </c>
      <c r="AA347" s="2"/>
      <c r="AB347" s="29"/>
      <c r="AC347" s="2"/>
      <c r="AD347" s="50"/>
    </row>
    <row r="348" spans="1:30" s="51" customFormat="1" x14ac:dyDescent="0.25">
      <c r="A348" s="4"/>
      <c r="B348" s="4">
        <v>45736</v>
      </c>
      <c r="C348" s="1" t="s">
        <v>1989</v>
      </c>
      <c r="D348" s="26" t="s">
        <v>2053</v>
      </c>
      <c r="E348" s="26" t="s">
        <v>797</v>
      </c>
      <c r="F348" s="1" t="s">
        <v>798</v>
      </c>
      <c r="G348" s="8">
        <v>38</v>
      </c>
      <c r="H348" s="56"/>
      <c r="I348" s="158">
        <f>Table223[[#This Row],[Qty]]-Table223[[#This Row],[Issue Qty]]</f>
        <v>38</v>
      </c>
      <c r="J348" s="5">
        <v>134.5</v>
      </c>
      <c r="K348" s="5">
        <f t="shared" si="17"/>
        <v>5111</v>
      </c>
      <c r="L348" s="82">
        <v>0.18</v>
      </c>
      <c r="M348" s="9">
        <f t="shared" si="18"/>
        <v>919.98</v>
      </c>
      <c r="N348" s="5">
        <f>1200/6</f>
        <v>200</v>
      </c>
      <c r="O348" s="5"/>
      <c r="P348" s="5">
        <f t="shared" si="19"/>
        <v>6230.98</v>
      </c>
      <c r="Q348" s="1" t="s">
        <v>606</v>
      </c>
      <c r="R348" s="1" t="s">
        <v>606</v>
      </c>
      <c r="S348" s="1" t="s">
        <v>691</v>
      </c>
      <c r="T348" s="1" t="s">
        <v>2054</v>
      </c>
      <c r="U348" s="1"/>
      <c r="V348" s="1"/>
      <c r="W348" s="8" t="s">
        <v>833</v>
      </c>
      <c r="X348" s="8"/>
      <c r="Y348" s="8"/>
      <c r="Z348" s="22"/>
      <c r="AA348" s="1"/>
      <c r="AB348" s="29"/>
      <c r="AC348" s="1"/>
      <c r="AD348" s="50"/>
    </row>
    <row r="349" spans="1:30" s="51" customFormat="1" x14ac:dyDescent="0.25">
      <c r="A349" s="4"/>
      <c r="B349" s="4">
        <v>45736</v>
      </c>
      <c r="C349" s="1" t="s">
        <v>1989</v>
      </c>
      <c r="D349" s="26" t="s">
        <v>2055</v>
      </c>
      <c r="E349" s="26" t="s">
        <v>799</v>
      </c>
      <c r="F349" s="1" t="s">
        <v>800</v>
      </c>
      <c r="G349" s="8">
        <v>38</v>
      </c>
      <c r="H349" s="56"/>
      <c r="I349" s="158">
        <f>Table223[[#This Row],[Qty]]-Table223[[#This Row],[Issue Qty]]</f>
        <v>38</v>
      </c>
      <c r="J349" s="5">
        <v>134.35599999999999</v>
      </c>
      <c r="K349" s="5">
        <f t="shared" si="17"/>
        <v>5105.5280000000002</v>
      </c>
      <c r="L349" s="82">
        <v>0.18</v>
      </c>
      <c r="M349" s="9">
        <f t="shared" si="18"/>
        <v>918.99504000000002</v>
      </c>
      <c r="N349" s="5">
        <f>1200/6</f>
        <v>200</v>
      </c>
      <c r="O349" s="5"/>
      <c r="P349" s="5">
        <f t="shared" si="19"/>
        <v>6224.52304</v>
      </c>
      <c r="Q349" s="1" t="s">
        <v>606</v>
      </c>
      <c r="R349" s="1" t="s">
        <v>606</v>
      </c>
      <c r="S349" s="1" t="s">
        <v>691</v>
      </c>
      <c r="T349" s="1" t="s">
        <v>2054</v>
      </c>
      <c r="U349" s="1"/>
      <c r="V349" s="1"/>
      <c r="W349" s="8" t="s">
        <v>1345</v>
      </c>
      <c r="X349" s="8"/>
      <c r="Y349" s="8"/>
      <c r="Z349" s="22"/>
      <c r="AA349" s="1"/>
      <c r="AB349" s="29"/>
      <c r="AC349" s="1"/>
      <c r="AD349" s="50"/>
    </row>
    <row r="350" spans="1:30" s="51" customFormat="1" x14ac:dyDescent="0.25">
      <c r="A350" s="4"/>
      <c r="B350" s="4">
        <v>45737</v>
      </c>
      <c r="C350" s="1" t="s">
        <v>54</v>
      </c>
      <c r="D350" s="26" t="s">
        <v>2060</v>
      </c>
      <c r="E350" s="168" t="s">
        <v>806</v>
      </c>
      <c r="F350" s="1" t="s">
        <v>807</v>
      </c>
      <c r="G350" s="8">
        <v>2</v>
      </c>
      <c r="H350" s="8">
        <f>1+1</f>
        <v>2</v>
      </c>
      <c r="I350" s="115">
        <f>Table223[[#This Row],[Qty]]-Table223[[#This Row],[Issue Qty]]</f>
        <v>0</v>
      </c>
      <c r="J350" s="5">
        <v>6825</v>
      </c>
      <c r="K350" s="5">
        <f t="shared" si="17"/>
        <v>13650</v>
      </c>
      <c r="L350" s="82">
        <v>0.18</v>
      </c>
      <c r="M350" s="9">
        <f t="shared" si="18"/>
        <v>2457</v>
      </c>
      <c r="N350" s="5">
        <v>200</v>
      </c>
      <c r="O350" s="5"/>
      <c r="P350" s="5">
        <f t="shared" si="19"/>
        <v>16307</v>
      </c>
      <c r="Q350" s="1" t="s">
        <v>606</v>
      </c>
      <c r="R350" s="1" t="s">
        <v>606</v>
      </c>
      <c r="S350" s="1" t="s">
        <v>808</v>
      </c>
      <c r="T350" s="1" t="s">
        <v>2061</v>
      </c>
      <c r="U350" s="1"/>
      <c r="V350" s="1"/>
      <c r="W350" s="8" t="s">
        <v>809</v>
      </c>
      <c r="X350" s="8"/>
      <c r="Y350" s="8">
        <v>2</v>
      </c>
      <c r="Z350" s="12" t="s">
        <v>2894</v>
      </c>
      <c r="AA350" s="1"/>
      <c r="AB350" s="29"/>
      <c r="AC350" s="1"/>
      <c r="AD350" s="50"/>
    </row>
    <row r="351" spans="1:30" s="51" customFormat="1" x14ac:dyDescent="0.25">
      <c r="A351" s="4"/>
      <c r="B351" s="4">
        <v>45737</v>
      </c>
      <c r="C351" s="1" t="s">
        <v>54</v>
      </c>
      <c r="D351" s="1" t="s">
        <v>2062</v>
      </c>
      <c r="E351" s="1" t="s">
        <v>810</v>
      </c>
      <c r="F351" s="1" t="s">
        <v>811</v>
      </c>
      <c r="G351" s="8">
        <v>2</v>
      </c>
      <c r="H351" s="8">
        <v>2</v>
      </c>
      <c r="I351" s="115">
        <f>Table223[[#This Row],[Qty]]-Table223[[#This Row],[Issue Qty]]</f>
        <v>0</v>
      </c>
      <c r="J351" s="5">
        <v>21900</v>
      </c>
      <c r="K351" s="5">
        <f t="shared" si="17"/>
        <v>43800</v>
      </c>
      <c r="L351" s="82">
        <v>0.18</v>
      </c>
      <c r="M351" s="9">
        <f t="shared" si="18"/>
        <v>7884</v>
      </c>
      <c r="N351" s="5">
        <v>200</v>
      </c>
      <c r="O351" s="5"/>
      <c r="P351" s="5">
        <f t="shared" si="19"/>
        <v>51884</v>
      </c>
      <c r="Q351" s="1" t="s">
        <v>2897</v>
      </c>
      <c r="R351" s="1" t="s">
        <v>2897</v>
      </c>
      <c r="S351" s="1" t="s">
        <v>808</v>
      </c>
      <c r="T351" s="1" t="s">
        <v>2061</v>
      </c>
      <c r="U351" s="1"/>
      <c r="V351" s="1"/>
      <c r="W351" s="8" t="s">
        <v>809</v>
      </c>
      <c r="X351" s="8"/>
      <c r="Y351" s="8">
        <v>2</v>
      </c>
      <c r="Z351" s="22" t="s">
        <v>812</v>
      </c>
      <c r="AA351" s="1"/>
      <c r="AB351" s="29" t="s">
        <v>813</v>
      </c>
      <c r="AC351" s="1"/>
      <c r="AD351" s="50"/>
    </row>
    <row r="352" spans="1:30" s="51" customFormat="1" x14ac:dyDescent="0.25">
      <c r="A352" s="4"/>
      <c r="B352" s="4">
        <v>45737</v>
      </c>
      <c r="C352" s="1" t="s">
        <v>1989</v>
      </c>
      <c r="D352" s="1" t="s">
        <v>2063</v>
      </c>
      <c r="E352" s="1" t="s">
        <v>814</v>
      </c>
      <c r="F352" s="1" t="s">
        <v>815</v>
      </c>
      <c r="G352" s="8">
        <v>1</v>
      </c>
      <c r="H352" s="8">
        <v>1</v>
      </c>
      <c r="I352" s="115">
        <f>Table223[[#This Row],[Qty]]-Table223[[#This Row],[Issue Qty]]</f>
        <v>0</v>
      </c>
      <c r="J352" s="5">
        <v>295</v>
      </c>
      <c r="K352" s="5">
        <f t="shared" si="17"/>
        <v>295</v>
      </c>
      <c r="L352" s="82">
        <v>0.18</v>
      </c>
      <c r="M352" s="9">
        <f t="shared" si="18"/>
        <v>53.1</v>
      </c>
      <c r="N352" s="5">
        <v>0</v>
      </c>
      <c r="O352" s="5"/>
      <c r="P352" s="5">
        <f t="shared" si="19"/>
        <v>348.1</v>
      </c>
      <c r="Q352" s="1" t="s">
        <v>606</v>
      </c>
      <c r="R352" s="1" t="s">
        <v>606</v>
      </c>
      <c r="S352" s="1" t="s">
        <v>444</v>
      </c>
      <c r="T352" s="1" t="s">
        <v>2064</v>
      </c>
      <c r="U352" s="1"/>
      <c r="V352" s="27"/>
      <c r="W352" s="8" t="s">
        <v>29</v>
      </c>
      <c r="X352" s="28"/>
      <c r="Y352" s="21">
        <v>2</v>
      </c>
      <c r="Z352" s="12" t="s">
        <v>2954</v>
      </c>
      <c r="AA352" s="27"/>
      <c r="AB352" s="29"/>
      <c r="AC352" s="27"/>
      <c r="AD352" s="50"/>
    </row>
    <row r="353" spans="1:30" s="51" customFormat="1" x14ac:dyDescent="0.25">
      <c r="A353" s="4"/>
      <c r="B353" s="4">
        <v>45737</v>
      </c>
      <c r="C353" s="1" t="s">
        <v>1989</v>
      </c>
      <c r="D353" s="26" t="s">
        <v>2065</v>
      </c>
      <c r="E353" s="26" t="s">
        <v>816</v>
      </c>
      <c r="F353" s="1" t="s">
        <v>817</v>
      </c>
      <c r="G353" s="8">
        <v>3</v>
      </c>
      <c r="H353" s="8"/>
      <c r="I353" s="115">
        <f>Table223[[#This Row],[Qty]]-Table223[[#This Row],[Issue Qty]]</f>
        <v>3</v>
      </c>
      <c r="J353" s="5">
        <v>298</v>
      </c>
      <c r="K353" s="5">
        <f t="shared" si="17"/>
        <v>894</v>
      </c>
      <c r="L353" s="82">
        <v>0.18</v>
      </c>
      <c r="M353" s="9">
        <f t="shared" si="18"/>
        <v>160.91999999999999</v>
      </c>
      <c r="N353" s="5">
        <v>0</v>
      </c>
      <c r="O353" s="5"/>
      <c r="P353" s="5">
        <f t="shared" si="19"/>
        <v>1054.92</v>
      </c>
      <c r="Q353" s="1" t="s">
        <v>606</v>
      </c>
      <c r="R353" s="1" t="s">
        <v>606</v>
      </c>
      <c r="S353" s="1" t="s">
        <v>444</v>
      </c>
      <c r="T353" s="1" t="s">
        <v>2064</v>
      </c>
      <c r="U353" s="1"/>
      <c r="V353" s="1"/>
      <c r="W353" s="8" t="s">
        <v>833</v>
      </c>
      <c r="X353" s="8"/>
      <c r="Y353" s="8">
        <v>3</v>
      </c>
      <c r="Z353" s="12" t="s">
        <v>802</v>
      </c>
      <c r="AA353" s="1"/>
      <c r="AB353" s="29"/>
      <c r="AC353" s="1"/>
      <c r="AD353" s="50"/>
    </row>
    <row r="354" spans="1:30" s="51" customFormat="1" x14ac:dyDescent="0.25">
      <c r="A354" s="4"/>
      <c r="B354" s="4">
        <v>45737</v>
      </c>
      <c r="C354" s="1" t="s">
        <v>1989</v>
      </c>
      <c r="D354" s="26" t="s">
        <v>2066</v>
      </c>
      <c r="E354" s="26" t="s">
        <v>818</v>
      </c>
      <c r="F354" s="1" t="s">
        <v>819</v>
      </c>
      <c r="G354" s="8">
        <v>7</v>
      </c>
      <c r="H354" s="8"/>
      <c r="I354" s="115">
        <f>Table223[[#This Row],[Qty]]-Table223[[#This Row],[Issue Qty]]</f>
        <v>7</v>
      </c>
      <c r="J354" s="5">
        <v>298</v>
      </c>
      <c r="K354" s="5">
        <f t="shared" si="17"/>
        <v>2086</v>
      </c>
      <c r="L354" s="82">
        <v>0.18</v>
      </c>
      <c r="M354" s="9">
        <f t="shared" si="18"/>
        <v>375.47999999999996</v>
      </c>
      <c r="N354" s="5">
        <v>0</v>
      </c>
      <c r="O354" s="5"/>
      <c r="P354" s="5">
        <f t="shared" si="19"/>
        <v>2461.48</v>
      </c>
      <c r="Q354" s="1" t="s">
        <v>606</v>
      </c>
      <c r="R354" s="1" t="s">
        <v>606</v>
      </c>
      <c r="S354" s="1" t="s">
        <v>444</v>
      </c>
      <c r="T354" s="1" t="s">
        <v>2064</v>
      </c>
      <c r="U354" s="1"/>
      <c r="V354" s="1"/>
      <c r="W354" s="8" t="s">
        <v>1345</v>
      </c>
      <c r="X354" s="8"/>
      <c r="Y354" s="8">
        <v>6</v>
      </c>
      <c r="Z354" s="12" t="s">
        <v>802</v>
      </c>
      <c r="AA354" s="1"/>
      <c r="AB354" s="29"/>
      <c r="AC354" s="1"/>
      <c r="AD354" s="50"/>
    </row>
    <row r="355" spans="1:30" s="51" customFormat="1" x14ac:dyDescent="0.25">
      <c r="A355" s="4"/>
      <c r="B355" s="4">
        <v>45740</v>
      </c>
      <c r="C355" s="1" t="s">
        <v>54</v>
      </c>
      <c r="D355" s="26" t="s">
        <v>2060</v>
      </c>
      <c r="E355" s="168" t="s">
        <v>806</v>
      </c>
      <c r="F355" s="1" t="s">
        <v>807</v>
      </c>
      <c r="G355" s="8">
        <v>2</v>
      </c>
      <c r="H355" s="8">
        <f>1+1</f>
        <v>2</v>
      </c>
      <c r="I355" s="115">
        <f>Table223[[#This Row],[Qty]]-Table223[[#This Row],[Issue Qty]]</f>
        <v>0</v>
      </c>
      <c r="J355" s="5">
        <v>4762</v>
      </c>
      <c r="K355" s="5">
        <f t="shared" si="17"/>
        <v>9524</v>
      </c>
      <c r="L355" s="82">
        <v>0.18</v>
      </c>
      <c r="M355" s="9">
        <f t="shared" si="18"/>
        <v>1714.32</v>
      </c>
      <c r="N355" s="5">
        <v>0.28000000000000003</v>
      </c>
      <c r="O355" s="5"/>
      <c r="P355" s="5">
        <f t="shared" si="19"/>
        <v>11238.6</v>
      </c>
      <c r="Q355" s="1" t="s">
        <v>606</v>
      </c>
      <c r="R355" s="1" t="s">
        <v>606</v>
      </c>
      <c r="S355" s="1" t="s">
        <v>820</v>
      </c>
      <c r="T355" s="1" t="s">
        <v>2067</v>
      </c>
      <c r="U355" s="1"/>
      <c r="V355" s="1"/>
      <c r="W355" s="8" t="s">
        <v>809</v>
      </c>
      <c r="X355" s="8"/>
      <c r="Y355" s="8">
        <v>2</v>
      </c>
      <c r="Z355" s="22" t="s">
        <v>2901</v>
      </c>
      <c r="AA355" s="1"/>
      <c r="AB355" s="29"/>
      <c r="AC355" s="1"/>
      <c r="AD355" s="50"/>
    </row>
    <row r="356" spans="1:30" s="51" customFormat="1" x14ac:dyDescent="0.25">
      <c r="A356" s="4"/>
      <c r="B356" s="4">
        <v>45740</v>
      </c>
      <c r="C356" s="1" t="s">
        <v>54</v>
      </c>
      <c r="D356" s="1" t="s">
        <v>2062</v>
      </c>
      <c r="E356" s="1" t="s">
        <v>810</v>
      </c>
      <c r="F356" s="1" t="s">
        <v>811</v>
      </c>
      <c r="G356" s="8">
        <v>2</v>
      </c>
      <c r="H356" s="8">
        <f>1+1</f>
        <v>2</v>
      </c>
      <c r="I356" s="115">
        <f>Table223[[#This Row],[Qty]]-Table223[[#This Row],[Issue Qty]]</f>
        <v>0</v>
      </c>
      <c r="J356" s="5">
        <v>17340</v>
      </c>
      <c r="K356" s="5">
        <f t="shared" si="17"/>
        <v>34680</v>
      </c>
      <c r="L356" s="82">
        <v>0.18</v>
      </c>
      <c r="M356" s="9">
        <f t="shared" si="18"/>
        <v>6242.4</v>
      </c>
      <c r="N356" s="5"/>
      <c r="O356" s="5"/>
      <c r="P356" s="5">
        <f t="shared" si="19"/>
        <v>40922.400000000001</v>
      </c>
      <c r="Q356" s="1" t="s">
        <v>606</v>
      </c>
      <c r="R356" s="1" t="s">
        <v>606</v>
      </c>
      <c r="S356" s="1" t="s">
        <v>820</v>
      </c>
      <c r="T356" s="1" t="s">
        <v>2067</v>
      </c>
      <c r="U356" s="1"/>
      <c r="V356" s="1"/>
      <c r="W356" s="8" t="s">
        <v>809</v>
      </c>
      <c r="X356" s="8"/>
      <c r="Y356" s="21">
        <v>2</v>
      </c>
      <c r="Z356" s="12" t="s">
        <v>2894</v>
      </c>
      <c r="AA356" s="1"/>
      <c r="AB356" s="29"/>
      <c r="AC356" s="1"/>
      <c r="AD356" s="50"/>
    </row>
    <row r="357" spans="1:30" s="51" customFormat="1" x14ac:dyDescent="0.25">
      <c r="A357" s="4"/>
      <c r="B357" s="4">
        <v>45740</v>
      </c>
      <c r="C357" s="1" t="s">
        <v>54</v>
      </c>
      <c r="D357" s="1" t="s">
        <v>2068</v>
      </c>
      <c r="E357" s="1" t="s">
        <v>822</v>
      </c>
      <c r="F357" s="1" t="s">
        <v>823</v>
      </c>
      <c r="G357" s="8">
        <v>7</v>
      </c>
      <c r="H357" s="8">
        <v>7</v>
      </c>
      <c r="I357" s="115">
        <f>Table223[[#This Row],[Qty]]-Table223[[#This Row],[Issue Qty]]</f>
        <v>0</v>
      </c>
      <c r="J357" s="5">
        <v>581</v>
      </c>
      <c r="K357" s="5">
        <f t="shared" si="17"/>
        <v>4067</v>
      </c>
      <c r="L357" s="82">
        <v>0.18</v>
      </c>
      <c r="M357" s="9">
        <f t="shared" si="18"/>
        <v>732.06</v>
      </c>
      <c r="N357" s="5">
        <v>0.3</v>
      </c>
      <c r="O357" s="5"/>
      <c r="P357" s="5">
        <f t="shared" si="19"/>
        <v>4799.3599999999997</v>
      </c>
      <c r="Q357" s="1" t="s">
        <v>606</v>
      </c>
      <c r="R357" s="1" t="s">
        <v>606</v>
      </c>
      <c r="S357" s="1" t="s">
        <v>730</v>
      </c>
      <c r="T357" s="1" t="s">
        <v>2069</v>
      </c>
      <c r="U357" s="1"/>
      <c r="V357" s="27"/>
      <c r="W357" s="8" t="s">
        <v>3195</v>
      </c>
      <c r="X357" s="28"/>
      <c r="Y357" s="21">
        <v>7</v>
      </c>
      <c r="Z357" s="12" t="s">
        <v>607</v>
      </c>
      <c r="AA357" s="27"/>
      <c r="AB357" s="29"/>
      <c r="AC357" s="27"/>
      <c r="AD357" s="50"/>
    </row>
    <row r="358" spans="1:30" s="51" customFormat="1" x14ac:dyDescent="0.25">
      <c r="A358" s="4"/>
      <c r="B358" s="4">
        <v>45740</v>
      </c>
      <c r="C358" s="1" t="s">
        <v>1991</v>
      </c>
      <c r="D358" s="26" t="s">
        <v>1975</v>
      </c>
      <c r="E358" s="26" t="s">
        <v>663</v>
      </c>
      <c r="F358" s="1" t="s">
        <v>663</v>
      </c>
      <c r="G358" s="8">
        <v>3</v>
      </c>
      <c r="H358" s="8">
        <v>3</v>
      </c>
      <c r="I358" s="115">
        <f>Table223[[#This Row],[Qty]]-Table223[[#This Row],[Issue Qty]]</f>
        <v>0</v>
      </c>
      <c r="J358" s="5">
        <v>296.61</v>
      </c>
      <c r="K358" s="5">
        <f t="shared" si="17"/>
        <v>889.83</v>
      </c>
      <c r="L358" s="82">
        <v>0.18</v>
      </c>
      <c r="M358" s="9">
        <f t="shared" si="18"/>
        <v>160.1694</v>
      </c>
      <c r="N358" s="5">
        <v>99</v>
      </c>
      <c r="O358" s="5"/>
      <c r="P358" s="5">
        <f t="shared" si="19"/>
        <v>1148.9994000000002</v>
      </c>
      <c r="Q358" s="1" t="s">
        <v>726</v>
      </c>
      <c r="R358" s="1" t="s">
        <v>726</v>
      </c>
      <c r="S358" s="1" t="s">
        <v>691</v>
      </c>
      <c r="T358" s="1" t="s">
        <v>2070</v>
      </c>
      <c r="U358" s="1"/>
      <c r="V358" s="2"/>
      <c r="W358" s="21" t="s">
        <v>650</v>
      </c>
      <c r="X358" s="8" t="s">
        <v>651</v>
      </c>
      <c r="Y358" s="21">
        <v>3</v>
      </c>
      <c r="Z358" s="12" t="s">
        <v>81</v>
      </c>
      <c r="AA358" s="2" t="s">
        <v>3335</v>
      </c>
      <c r="AB358" s="29"/>
      <c r="AC358" s="2"/>
      <c r="AD358" s="50"/>
    </row>
    <row r="359" spans="1:30" s="51" customFormat="1" x14ac:dyDescent="0.25">
      <c r="A359" s="4"/>
      <c r="B359" s="4">
        <v>45741</v>
      </c>
      <c r="C359" s="1" t="s">
        <v>54</v>
      </c>
      <c r="D359" s="1" t="s">
        <v>2071</v>
      </c>
      <c r="E359" s="1" t="s">
        <v>824</v>
      </c>
      <c r="F359" s="1" t="s">
        <v>825</v>
      </c>
      <c r="G359" s="8">
        <v>1</v>
      </c>
      <c r="H359" s="8"/>
      <c r="I359" s="115">
        <f>Table223[[#This Row],[Qty]]-Table223[[#This Row],[Issue Qty]]</f>
        <v>1</v>
      </c>
      <c r="J359" s="5">
        <v>413</v>
      </c>
      <c r="K359" s="5">
        <f t="shared" si="17"/>
        <v>413</v>
      </c>
      <c r="L359" s="82">
        <v>0.12</v>
      </c>
      <c r="M359" s="9">
        <f t="shared" si="18"/>
        <v>49.559999999999995</v>
      </c>
      <c r="N359" s="5">
        <v>0</v>
      </c>
      <c r="O359" s="5"/>
      <c r="P359" s="5">
        <f t="shared" si="19"/>
        <v>462.56</v>
      </c>
      <c r="Q359" s="1" t="s">
        <v>606</v>
      </c>
      <c r="R359" s="1" t="s">
        <v>606</v>
      </c>
      <c r="S359" s="1" t="s">
        <v>601</v>
      </c>
      <c r="T359" s="1">
        <v>40925</v>
      </c>
      <c r="U359" s="1"/>
      <c r="V359" s="2"/>
      <c r="W359" s="21" t="s">
        <v>78</v>
      </c>
      <c r="X359" s="21"/>
      <c r="Y359" s="21"/>
      <c r="Z359" s="12"/>
      <c r="AA359" s="2"/>
      <c r="AB359" s="29" t="s">
        <v>826</v>
      </c>
      <c r="AC359" s="2"/>
      <c r="AD359" s="50"/>
    </row>
    <row r="360" spans="1:30" s="51" customFormat="1" x14ac:dyDescent="0.25">
      <c r="A360" s="4"/>
      <c r="B360" s="4">
        <v>45741</v>
      </c>
      <c r="C360" s="1" t="s">
        <v>54</v>
      </c>
      <c r="D360" s="1" t="s">
        <v>2071</v>
      </c>
      <c r="E360" s="1" t="s">
        <v>824</v>
      </c>
      <c r="F360" s="1" t="s">
        <v>825</v>
      </c>
      <c r="G360" s="8">
        <v>1</v>
      </c>
      <c r="H360" s="8"/>
      <c r="I360" s="115">
        <f>Table223[[#This Row],[Qty]]-Table223[[#This Row],[Issue Qty]]</f>
        <v>1</v>
      </c>
      <c r="J360" s="5">
        <v>413</v>
      </c>
      <c r="K360" s="5">
        <f t="shared" si="17"/>
        <v>413</v>
      </c>
      <c r="L360" s="82">
        <v>0.12</v>
      </c>
      <c r="M360" s="9">
        <f t="shared" si="18"/>
        <v>49.559999999999995</v>
      </c>
      <c r="N360" s="5">
        <v>0</v>
      </c>
      <c r="O360" s="5"/>
      <c r="P360" s="5">
        <f t="shared" si="19"/>
        <v>462.56</v>
      </c>
      <c r="Q360" s="1" t="s">
        <v>606</v>
      </c>
      <c r="R360" s="1" t="s">
        <v>606</v>
      </c>
      <c r="S360" s="1" t="s">
        <v>601</v>
      </c>
      <c r="T360" s="1">
        <v>40925</v>
      </c>
      <c r="U360" s="1"/>
      <c r="V360" s="2"/>
      <c r="W360" s="21" t="s">
        <v>89</v>
      </c>
      <c r="X360" s="21" t="s">
        <v>801</v>
      </c>
      <c r="Y360" s="21"/>
      <c r="Z360" s="12"/>
      <c r="AA360" s="2"/>
      <c r="AB360" s="29" t="s">
        <v>826</v>
      </c>
      <c r="AC360" s="2"/>
      <c r="AD360" s="50"/>
    </row>
    <row r="361" spans="1:30" s="51" customFormat="1" x14ac:dyDescent="0.25">
      <c r="A361" s="4"/>
      <c r="B361" s="4">
        <v>45741</v>
      </c>
      <c r="C361" s="1" t="s">
        <v>54</v>
      </c>
      <c r="D361" s="1" t="s">
        <v>2071</v>
      </c>
      <c r="E361" s="1" t="s">
        <v>824</v>
      </c>
      <c r="F361" s="1" t="s">
        <v>825</v>
      </c>
      <c r="G361" s="8">
        <v>4</v>
      </c>
      <c r="H361" s="8">
        <v>4</v>
      </c>
      <c r="I361" s="115">
        <f>Table223[[#This Row],[Qty]]-Table223[[#This Row],[Issue Qty]]</f>
        <v>0</v>
      </c>
      <c r="J361" s="5">
        <v>413</v>
      </c>
      <c r="K361" s="5">
        <f t="shared" si="17"/>
        <v>1652</v>
      </c>
      <c r="L361" s="82">
        <v>0.12</v>
      </c>
      <c r="M361" s="9">
        <f t="shared" si="18"/>
        <v>198.23999999999998</v>
      </c>
      <c r="N361" s="5">
        <v>0</v>
      </c>
      <c r="O361" s="5"/>
      <c r="P361" s="5">
        <f t="shared" si="19"/>
        <v>1850.24</v>
      </c>
      <c r="Q361" s="1" t="s">
        <v>606</v>
      </c>
      <c r="R361" s="1" t="s">
        <v>606</v>
      </c>
      <c r="S361" s="1" t="s">
        <v>601</v>
      </c>
      <c r="T361" s="1">
        <v>40925</v>
      </c>
      <c r="U361" s="1"/>
      <c r="V361" s="2"/>
      <c r="W361" s="21"/>
      <c r="X361" s="21"/>
      <c r="Y361" s="21">
        <v>4</v>
      </c>
      <c r="Z361" s="12" t="s">
        <v>802</v>
      </c>
      <c r="AA361" s="2"/>
      <c r="AB361" s="29" t="s">
        <v>826</v>
      </c>
      <c r="AC361" s="2"/>
      <c r="AD361" s="50"/>
    </row>
    <row r="362" spans="1:30" s="53" customFormat="1" x14ac:dyDescent="0.25">
      <c r="A362" s="4"/>
      <c r="B362" s="4">
        <v>45745</v>
      </c>
      <c r="C362" s="1" t="s">
        <v>1989</v>
      </c>
      <c r="D362" s="1" t="s">
        <v>2072</v>
      </c>
      <c r="E362" s="1" t="s">
        <v>827</v>
      </c>
      <c r="F362" s="1" t="s">
        <v>827</v>
      </c>
      <c r="G362" s="58">
        <v>5</v>
      </c>
      <c r="H362" s="58"/>
      <c r="I362" s="159">
        <f>Table223[[#This Row],[Qty]]-Table223[[#This Row],[Issue Qty]]</f>
        <v>5</v>
      </c>
      <c r="J362" s="5">
        <v>14500</v>
      </c>
      <c r="K362" s="5">
        <f t="shared" si="17"/>
        <v>72500</v>
      </c>
      <c r="L362" s="82">
        <v>0.18</v>
      </c>
      <c r="M362" s="9">
        <f t="shared" si="18"/>
        <v>13050</v>
      </c>
      <c r="N362" s="5">
        <v>0</v>
      </c>
      <c r="O362" s="5"/>
      <c r="P362" s="5">
        <f t="shared" si="19"/>
        <v>85550</v>
      </c>
      <c r="Q362" s="1" t="s">
        <v>606</v>
      </c>
      <c r="R362" s="1" t="s">
        <v>606</v>
      </c>
      <c r="S362" s="1" t="s">
        <v>828</v>
      </c>
      <c r="T362" s="1" t="s">
        <v>2073</v>
      </c>
      <c r="U362" s="1"/>
      <c r="V362" s="1"/>
      <c r="W362" s="8"/>
      <c r="X362" s="8"/>
      <c r="Y362" s="8">
        <v>4</v>
      </c>
      <c r="Z362" s="22" t="s">
        <v>2949</v>
      </c>
      <c r="AA362" s="1"/>
      <c r="AB362" s="29"/>
      <c r="AC362" s="2"/>
      <c r="AD362" s="52"/>
    </row>
    <row r="363" spans="1:30" s="51" customFormat="1" ht="30" x14ac:dyDescent="0.25">
      <c r="A363" s="4"/>
      <c r="B363" s="4">
        <v>45747</v>
      </c>
      <c r="C363" s="1" t="s">
        <v>54</v>
      </c>
      <c r="D363" s="1" t="s">
        <v>2060</v>
      </c>
      <c r="E363" s="1" t="s">
        <v>806</v>
      </c>
      <c r="F363" s="1" t="s">
        <v>806</v>
      </c>
      <c r="G363" s="8">
        <v>10</v>
      </c>
      <c r="H363" s="8">
        <v>4</v>
      </c>
      <c r="I363" s="115">
        <f>Table223[[#This Row],[Qty]]-Table223[[#This Row],[Issue Qty]]</f>
        <v>6</v>
      </c>
      <c r="J363" s="5">
        <v>4410</v>
      </c>
      <c r="K363" s="5">
        <f t="shared" si="17"/>
        <v>44100</v>
      </c>
      <c r="L363" s="82">
        <v>0.18</v>
      </c>
      <c r="M363" s="9">
        <f t="shared" si="18"/>
        <v>7938</v>
      </c>
      <c r="N363" s="5">
        <v>1180</v>
      </c>
      <c r="O363" s="5"/>
      <c r="P363" s="5">
        <f t="shared" si="19"/>
        <v>53218</v>
      </c>
      <c r="Q363" s="1" t="s">
        <v>606</v>
      </c>
      <c r="R363" s="1" t="s">
        <v>606</v>
      </c>
      <c r="S363" s="1" t="s">
        <v>829</v>
      </c>
      <c r="T363" s="1" t="s">
        <v>2074</v>
      </c>
      <c r="U363" s="1"/>
      <c r="V363" s="2"/>
      <c r="W363" s="8" t="s">
        <v>809</v>
      </c>
      <c r="X363" s="21"/>
      <c r="Y363" s="21">
        <v>5</v>
      </c>
      <c r="Z363" s="12" t="s">
        <v>3345</v>
      </c>
      <c r="AA363" s="12" t="s">
        <v>830</v>
      </c>
      <c r="AB363" s="29" t="s">
        <v>831</v>
      </c>
      <c r="AC363" s="2"/>
      <c r="AD363" s="50"/>
    </row>
    <row r="364" spans="1:30" s="51" customFormat="1" x14ac:dyDescent="0.25">
      <c r="A364" s="4"/>
      <c r="B364" s="4">
        <v>45749</v>
      </c>
      <c r="C364" s="1" t="s">
        <v>1989</v>
      </c>
      <c r="D364" s="1" t="s">
        <v>2075</v>
      </c>
      <c r="E364" s="169" t="s">
        <v>832</v>
      </c>
      <c r="F364" s="1" t="s">
        <v>832</v>
      </c>
      <c r="G364" s="8">
        <v>2</v>
      </c>
      <c r="H364" s="8">
        <v>2</v>
      </c>
      <c r="I364" s="115">
        <f>Table223[[#This Row],[Qty]]-Table223[[#This Row],[Issue Qty]]</f>
        <v>0</v>
      </c>
      <c r="J364" s="5">
        <v>300.3</v>
      </c>
      <c r="K364" s="5">
        <f t="shared" si="17"/>
        <v>600.6</v>
      </c>
      <c r="L364" s="82">
        <v>0.18</v>
      </c>
      <c r="M364" s="9">
        <f t="shared" si="18"/>
        <v>108.108</v>
      </c>
      <c r="N364" s="5">
        <v>0</v>
      </c>
      <c r="O364" s="5"/>
      <c r="P364" s="5">
        <f t="shared" si="19"/>
        <v>708.70800000000008</v>
      </c>
      <c r="Q364" s="1" t="s">
        <v>726</v>
      </c>
      <c r="R364" s="1" t="s">
        <v>726</v>
      </c>
      <c r="S364" s="1" t="s">
        <v>312</v>
      </c>
      <c r="T364" s="1" t="s">
        <v>2076</v>
      </c>
      <c r="U364" s="1"/>
      <c r="V364" s="2"/>
      <c r="W364" s="21" t="s">
        <v>833</v>
      </c>
      <c r="X364" s="21"/>
      <c r="Y364" s="21">
        <v>2</v>
      </c>
      <c r="Z364" s="12" t="s">
        <v>81</v>
      </c>
      <c r="AA364" s="2"/>
      <c r="AB364" s="29"/>
      <c r="AC364" s="2"/>
      <c r="AD364" s="50"/>
    </row>
    <row r="365" spans="1:30" s="51" customFormat="1" x14ac:dyDescent="0.25">
      <c r="A365" s="4"/>
      <c r="B365" s="4">
        <v>45749</v>
      </c>
      <c r="C365" s="1" t="s">
        <v>1991</v>
      </c>
      <c r="D365" s="1" t="s">
        <v>2077</v>
      </c>
      <c r="E365" s="169" t="s">
        <v>834</v>
      </c>
      <c r="F365" s="1" t="s">
        <v>834</v>
      </c>
      <c r="G365" s="8">
        <v>10</v>
      </c>
      <c r="H365" s="8">
        <v>10</v>
      </c>
      <c r="I365" s="115">
        <f>Table223[[#This Row],[Qty]]-Table223[[#This Row],[Issue Qty]]</f>
        <v>0</v>
      </c>
      <c r="J365" s="5">
        <v>0.77</v>
      </c>
      <c r="K365" s="5">
        <f t="shared" si="17"/>
        <v>7.7</v>
      </c>
      <c r="L365" s="82">
        <v>0.18</v>
      </c>
      <c r="M365" s="9">
        <f t="shared" si="18"/>
        <v>1.3859999999999999</v>
      </c>
      <c r="N365" s="5">
        <v>0.21</v>
      </c>
      <c r="O365" s="5"/>
      <c r="P365" s="5">
        <f t="shared" si="19"/>
        <v>9.2960000000000012</v>
      </c>
      <c r="Q365" s="1" t="s">
        <v>726</v>
      </c>
      <c r="R365" s="1" t="s">
        <v>726</v>
      </c>
      <c r="S365" s="1" t="s">
        <v>312</v>
      </c>
      <c r="T365" s="1" t="s">
        <v>2076</v>
      </c>
      <c r="U365" s="1"/>
      <c r="V365" s="2"/>
      <c r="W365" s="21" t="s">
        <v>38</v>
      </c>
      <c r="X365" s="21"/>
      <c r="Y365" s="21">
        <v>10</v>
      </c>
      <c r="Z365" s="12" t="s">
        <v>81</v>
      </c>
      <c r="AA365" s="2"/>
      <c r="AB365" s="29"/>
      <c r="AC365" s="2"/>
      <c r="AD365" s="50"/>
    </row>
    <row r="366" spans="1:30" s="51" customFormat="1" x14ac:dyDescent="0.25">
      <c r="A366" s="4"/>
      <c r="B366" s="4">
        <v>45749</v>
      </c>
      <c r="C366" s="1" t="s">
        <v>1991</v>
      </c>
      <c r="D366" s="1" t="s">
        <v>2078</v>
      </c>
      <c r="E366" s="169" t="s">
        <v>835</v>
      </c>
      <c r="F366" s="1" t="s">
        <v>835</v>
      </c>
      <c r="G366" s="8">
        <v>1</v>
      </c>
      <c r="H366" s="8"/>
      <c r="I366" s="115">
        <f>Table223[[#This Row],[Qty]]-Table223[[#This Row],[Issue Qty]]</f>
        <v>1</v>
      </c>
      <c r="J366" s="5">
        <v>2438.48</v>
      </c>
      <c r="K366" s="5">
        <f t="shared" si="17"/>
        <v>2438.48</v>
      </c>
      <c r="L366" s="82">
        <v>0.18</v>
      </c>
      <c r="M366" s="9">
        <f t="shared" si="18"/>
        <v>438.9264</v>
      </c>
      <c r="N366" s="5">
        <v>236</v>
      </c>
      <c r="O366" s="5"/>
      <c r="P366" s="5">
        <f t="shared" si="19"/>
        <v>3113.4063999999998</v>
      </c>
      <c r="Q366" s="1" t="s">
        <v>726</v>
      </c>
      <c r="R366" s="1" t="s">
        <v>726</v>
      </c>
      <c r="S366" s="1" t="s">
        <v>312</v>
      </c>
      <c r="T366" s="1" t="s">
        <v>2079</v>
      </c>
      <c r="U366" s="1"/>
      <c r="V366" s="2"/>
      <c r="W366" s="21" t="s">
        <v>650</v>
      </c>
      <c r="X366" s="8" t="s">
        <v>651</v>
      </c>
      <c r="Y366" s="21">
        <v>1</v>
      </c>
      <c r="Z366" s="12" t="s">
        <v>81</v>
      </c>
      <c r="AA366" s="2"/>
      <c r="AB366" s="29"/>
      <c r="AC366" s="2"/>
      <c r="AD366" s="50"/>
    </row>
    <row r="367" spans="1:30" s="51" customFormat="1" x14ac:dyDescent="0.25">
      <c r="A367" s="4"/>
      <c r="B367" s="4">
        <v>45749</v>
      </c>
      <c r="C367" s="1" t="s">
        <v>1991</v>
      </c>
      <c r="D367" s="1" t="s">
        <v>2080</v>
      </c>
      <c r="E367" s="169" t="s">
        <v>836</v>
      </c>
      <c r="F367" s="1" t="s">
        <v>836</v>
      </c>
      <c r="G367" s="8">
        <v>8</v>
      </c>
      <c r="H367" s="8">
        <v>8</v>
      </c>
      <c r="I367" s="115">
        <f>Table223[[#This Row],[Qty]]-Table223[[#This Row],[Issue Qty]]</f>
        <v>0</v>
      </c>
      <c r="J367" s="5">
        <v>47.24</v>
      </c>
      <c r="K367" s="5">
        <f t="shared" si="17"/>
        <v>377.92</v>
      </c>
      <c r="L367" s="82">
        <v>0.18</v>
      </c>
      <c r="M367" s="9">
        <f t="shared" si="18"/>
        <v>68.025599999999997</v>
      </c>
      <c r="N367" s="5">
        <v>0</v>
      </c>
      <c r="O367" s="5"/>
      <c r="P367" s="5">
        <f t="shared" si="19"/>
        <v>445.94560000000001</v>
      </c>
      <c r="Q367" s="1" t="s">
        <v>726</v>
      </c>
      <c r="R367" s="1" t="s">
        <v>726</v>
      </c>
      <c r="S367" s="1" t="s">
        <v>312</v>
      </c>
      <c r="T367" s="1" t="s">
        <v>2079</v>
      </c>
      <c r="U367" s="1"/>
      <c r="V367" s="2"/>
      <c r="W367" s="21" t="s">
        <v>650</v>
      </c>
      <c r="X367" s="8" t="s">
        <v>651</v>
      </c>
      <c r="Y367" s="21">
        <v>8</v>
      </c>
      <c r="Z367" s="12" t="s">
        <v>81</v>
      </c>
      <c r="AA367" s="2"/>
      <c r="AB367" s="29"/>
      <c r="AC367" s="2"/>
      <c r="AD367" s="50"/>
    </row>
    <row r="368" spans="1:30" s="51" customFormat="1" x14ac:dyDescent="0.25">
      <c r="A368" s="4"/>
      <c r="B368" s="4">
        <v>45751</v>
      </c>
      <c r="C368" s="1" t="s">
        <v>2003</v>
      </c>
      <c r="D368" s="1" t="s">
        <v>2081</v>
      </c>
      <c r="E368" s="1" t="s">
        <v>837</v>
      </c>
      <c r="F368" s="1" t="s">
        <v>837</v>
      </c>
      <c r="G368" s="8">
        <v>3</v>
      </c>
      <c r="H368" s="8"/>
      <c r="I368" s="115">
        <f>Table223[[#This Row],[Qty]]-Table223[[#This Row],[Issue Qty]]</f>
        <v>3</v>
      </c>
      <c r="J368" s="5">
        <v>112</v>
      </c>
      <c r="K368" s="5">
        <f t="shared" si="17"/>
        <v>336</v>
      </c>
      <c r="L368" s="82">
        <v>0.18</v>
      </c>
      <c r="M368" s="9">
        <f t="shared" si="18"/>
        <v>60.48</v>
      </c>
      <c r="N368" s="5">
        <v>0</v>
      </c>
      <c r="O368" s="5"/>
      <c r="P368" s="5">
        <f t="shared" si="19"/>
        <v>396.48</v>
      </c>
      <c r="Q368" s="1" t="s">
        <v>838</v>
      </c>
      <c r="R368" s="1" t="s">
        <v>838</v>
      </c>
      <c r="S368" s="1" t="s">
        <v>444</v>
      </c>
      <c r="T368" s="1" t="s">
        <v>2082</v>
      </c>
      <c r="U368" s="1"/>
      <c r="V368" s="27"/>
      <c r="W368" s="21" t="s">
        <v>261</v>
      </c>
      <c r="X368" s="28"/>
      <c r="Y368" s="21">
        <v>3</v>
      </c>
      <c r="Z368" s="12" t="s">
        <v>839</v>
      </c>
      <c r="AA368" s="27"/>
      <c r="AB368" s="29"/>
      <c r="AC368" s="27"/>
      <c r="AD368" s="50"/>
    </row>
    <row r="369" spans="1:30" s="51" customFormat="1" x14ac:dyDescent="0.25">
      <c r="A369" s="4"/>
      <c r="B369" s="4">
        <v>45752</v>
      </c>
      <c r="C369" s="1" t="s">
        <v>54</v>
      </c>
      <c r="D369" s="1" t="s">
        <v>2083</v>
      </c>
      <c r="E369" s="1" t="s">
        <v>840</v>
      </c>
      <c r="F369" s="1" t="s">
        <v>841</v>
      </c>
      <c r="G369" s="8">
        <v>1</v>
      </c>
      <c r="H369" s="8"/>
      <c r="I369" s="115">
        <f>Table223[[#This Row],[Qty]]-Table223[[#This Row],[Issue Qty]]</f>
        <v>1</v>
      </c>
      <c r="J369" s="5">
        <v>86</v>
      </c>
      <c r="K369" s="5">
        <f t="shared" ref="K369:K432" si="20">G369*J369</f>
        <v>86</v>
      </c>
      <c r="L369" s="82">
        <v>0.18</v>
      </c>
      <c r="M369" s="9">
        <f t="shared" ref="M369:M432" si="21">K369*L369</f>
        <v>15.479999999999999</v>
      </c>
      <c r="N369" s="5">
        <v>0</v>
      </c>
      <c r="O369" s="5"/>
      <c r="P369" s="5">
        <f t="shared" ref="P369:P432" si="22">K369+M369+N369+O369</f>
        <v>101.48</v>
      </c>
      <c r="Q369" s="1" t="s">
        <v>726</v>
      </c>
      <c r="R369" s="1" t="s">
        <v>726</v>
      </c>
      <c r="S369" s="1" t="s">
        <v>358</v>
      </c>
      <c r="T369" s="1" t="s">
        <v>2084</v>
      </c>
      <c r="U369" s="1"/>
      <c r="V369" s="27"/>
      <c r="W369" s="21" t="s">
        <v>688</v>
      </c>
      <c r="X369" s="28"/>
      <c r="Y369" s="21"/>
      <c r="Z369" s="12"/>
      <c r="AA369" s="27"/>
      <c r="AB369" s="29" t="s">
        <v>842</v>
      </c>
      <c r="AC369" s="27"/>
      <c r="AD369" s="50"/>
    </row>
    <row r="370" spans="1:30" s="51" customFormat="1" x14ac:dyDescent="0.25">
      <c r="A370" s="4"/>
      <c r="B370" s="4">
        <v>45752</v>
      </c>
      <c r="C370" s="1" t="s">
        <v>54</v>
      </c>
      <c r="D370" s="1" t="s">
        <v>2085</v>
      </c>
      <c r="E370" s="1" t="s">
        <v>843</v>
      </c>
      <c r="F370" s="1" t="s">
        <v>844</v>
      </c>
      <c r="G370" s="8">
        <v>1</v>
      </c>
      <c r="H370" s="8">
        <v>1</v>
      </c>
      <c r="I370" s="115">
        <f>Table223[[#This Row],[Qty]]-Table223[[#This Row],[Issue Qty]]</f>
        <v>0</v>
      </c>
      <c r="J370" s="5">
        <v>335.4</v>
      </c>
      <c r="K370" s="5">
        <f t="shared" si="20"/>
        <v>335.4</v>
      </c>
      <c r="L370" s="82">
        <v>0.18</v>
      </c>
      <c r="M370" s="9">
        <f t="shared" si="21"/>
        <v>60.371999999999993</v>
      </c>
      <c r="N370" s="5">
        <v>0</v>
      </c>
      <c r="O370" s="5"/>
      <c r="P370" s="5">
        <f t="shared" si="22"/>
        <v>395.77199999999999</v>
      </c>
      <c r="Q370" s="1" t="s">
        <v>726</v>
      </c>
      <c r="R370" s="1" t="s">
        <v>726</v>
      </c>
      <c r="S370" s="1" t="s">
        <v>358</v>
      </c>
      <c r="T370" s="1" t="s">
        <v>2084</v>
      </c>
      <c r="U370" s="1"/>
      <c r="V370" s="27"/>
      <c r="W370" s="21" t="s">
        <v>650</v>
      </c>
      <c r="X370" s="8" t="s">
        <v>651</v>
      </c>
      <c r="Y370" s="21">
        <v>1</v>
      </c>
      <c r="Z370" s="22" t="s">
        <v>736</v>
      </c>
      <c r="AA370" s="27"/>
      <c r="AB370" s="29" t="s">
        <v>845</v>
      </c>
      <c r="AC370" s="27"/>
      <c r="AD370" s="50"/>
    </row>
    <row r="371" spans="1:30" s="51" customFormat="1" x14ac:dyDescent="0.25">
      <c r="A371" s="4"/>
      <c r="B371" s="4">
        <v>45752</v>
      </c>
      <c r="C371" s="1" t="s">
        <v>2003</v>
      </c>
      <c r="D371" s="1" t="s">
        <v>2086</v>
      </c>
      <c r="E371" s="1" t="s">
        <v>846</v>
      </c>
      <c r="F371" s="1" t="s">
        <v>846</v>
      </c>
      <c r="G371" s="8">
        <v>1</v>
      </c>
      <c r="H371" s="8"/>
      <c r="I371" s="115">
        <f>Table223[[#This Row],[Qty]]-Table223[[#This Row],[Issue Qty]]</f>
        <v>1</v>
      </c>
      <c r="J371" s="5">
        <v>78</v>
      </c>
      <c r="K371" s="5">
        <f t="shared" si="20"/>
        <v>78</v>
      </c>
      <c r="L371" s="82">
        <v>0.18</v>
      </c>
      <c r="M371" s="9">
        <f t="shared" si="21"/>
        <v>14.04</v>
      </c>
      <c r="N371" s="5">
        <v>0</v>
      </c>
      <c r="O371" s="5"/>
      <c r="P371" s="5">
        <f t="shared" si="22"/>
        <v>92.039999999999992</v>
      </c>
      <c r="Q371" s="1" t="s">
        <v>606</v>
      </c>
      <c r="R371" s="1" t="s">
        <v>606</v>
      </c>
      <c r="S371" s="1" t="s">
        <v>444</v>
      </c>
      <c r="T371" s="1" t="s">
        <v>2087</v>
      </c>
      <c r="U371" s="1"/>
      <c r="V371" s="27"/>
      <c r="W371" s="28" t="s">
        <v>261</v>
      </c>
      <c r="X371" s="28"/>
      <c r="Y371" s="8">
        <v>1</v>
      </c>
      <c r="Z371" s="12" t="s">
        <v>847</v>
      </c>
      <c r="AA371" s="27"/>
      <c r="AB371" s="29"/>
      <c r="AC371" s="27"/>
      <c r="AD371" s="50"/>
    </row>
    <row r="372" spans="1:30" s="51" customFormat="1" x14ac:dyDescent="0.25">
      <c r="A372" s="4"/>
      <c r="B372" s="4">
        <v>45752</v>
      </c>
      <c r="C372" s="1" t="s">
        <v>2003</v>
      </c>
      <c r="D372" s="1" t="s">
        <v>2088</v>
      </c>
      <c r="E372" s="1" t="s">
        <v>848</v>
      </c>
      <c r="F372" s="1" t="s">
        <v>848</v>
      </c>
      <c r="G372" s="8">
        <v>1</v>
      </c>
      <c r="H372" s="8"/>
      <c r="I372" s="115">
        <f>Table223[[#This Row],[Qty]]-Table223[[#This Row],[Issue Qty]]</f>
        <v>1</v>
      </c>
      <c r="J372" s="5">
        <v>88</v>
      </c>
      <c r="K372" s="5">
        <f t="shared" si="20"/>
        <v>88</v>
      </c>
      <c r="L372" s="82">
        <v>0.18</v>
      </c>
      <c r="M372" s="9">
        <f t="shared" si="21"/>
        <v>15.84</v>
      </c>
      <c r="N372" s="5">
        <v>0</v>
      </c>
      <c r="O372" s="5"/>
      <c r="P372" s="5">
        <f t="shared" si="22"/>
        <v>103.84</v>
      </c>
      <c r="Q372" s="1" t="s">
        <v>606</v>
      </c>
      <c r="R372" s="1" t="s">
        <v>606</v>
      </c>
      <c r="S372" s="1" t="s">
        <v>444</v>
      </c>
      <c r="T372" s="1" t="s">
        <v>2087</v>
      </c>
      <c r="U372" s="1"/>
      <c r="V372" s="27"/>
      <c r="W372" s="28" t="s">
        <v>261</v>
      </c>
      <c r="X372" s="28"/>
      <c r="Y372" s="8">
        <v>1</v>
      </c>
      <c r="Z372" s="12" t="s">
        <v>847</v>
      </c>
      <c r="AA372" s="27"/>
      <c r="AB372" s="29"/>
      <c r="AC372" s="27"/>
      <c r="AD372" s="50"/>
    </row>
    <row r="373" spans="1:30" s="51" customFormat="1" x14ac:dyDescent="0.25">
      <c r="A373" s="4"/>
      <c r="B373" s="4">
        <v>45752</v>
      </c>
      <c r="C373" s="1" t="s">
        <v>2003</v>
      </c>
      <c r="D373" s="1" t="s">
        <v>2089</v>
      </c>
      <c r="E373" s="1" t="s">
        <v>849</v>
      </c>
      <c r="F373" s="1" t="s">
        <v>849</v>
      </c>
      <c r="G373" s="8">
        <v>4</v>
      </c>
      <c r="H373" s="8"/>
      <c r="I373" s="115">
        <f>Table223[[#This Row],[Qty]]-Table223[[#This Row],[Issue Qty]]</f>
        <v>4</v>
      </c>
      <c r="J373" s="5">
        <v>46</v>
      </c>
      <c r="K373" s="5">
        <f t="shared" si="20"/>
        <v>184</v>
      </c>
      <c r="L373" s="82">
        <v>0.18</v>
      </c>
      <c r="M373" s="9">
        <f t="shared" si="21"/>
        <v>33.119999999999997</v>
      </c>
      <c r="N373" s="5">
        <v>0</v>
      </c>
      <c r="O373" s="5"/>
      <c r="P373" s="5">
        <f t="shared" si="22"/>
        <v>217.12</v>
      </c>
      <c r="Q373" s="1" t="s">
        <v>606</v>
      </c>
      <c r="R373" s="1" t="s">
        <v>606</v>
      </c>
      <c r="S373" s="1" t="s">
        <v>444</v>
      </c>
      <c r="T373" s="1" t="s">
        <v>2087</v>
      </c>
      <c r="U373" s="1"/>
      <c r="V373" s="27"/>
      <c r="W373" s="28" t="s">
        <v>261</v>
      </c>
      <c r="X373" s="28"/>
      <c r="Y373" s="8">
        <v>4</v>
      </c>
      <c r="Z373" s="12" t="s">
        <v>847</v>
      </c>
      <c r="AA373" s="27"/>
      <c r="AB373" s="29"/>
      <c r="AC373" s="27"/>
      <c r="AD373" s="50"/>
    </row>
    <row r="374" spans="1:30" s="51" customFormat="1" x14ac:dyDescent="0.25">
      <c r="A374" s="4"/>
      <c r="B374" s="4">
        <v>45752</v>
      </c>
      <c r="C374" s="1" t="s">
        <v>2003</v>
      </c>
      <c r="D374" s="1" t="s">
        <v>2090</v>
      </c>
      <c r="E374" s="1" t="s">
        <v>850</v>
      </c>
      <c r="F374" s="1" t="s">
        <v>850</v>
      </c>
      <c r="G374" s="8">
        <v>2</v>
      </c>
      <c r="H374" s="8"/>
      <c r="I374" s="115">
        <f>Table223[[#This Row],[Qty]]-Table223[[#This Row],[Issue Qty]]</f>
        <v>2</v>
      </c>
      <c r="J374" s="5">
        <v>58</v>
      </c>
      <c r="K374" s="5">
        <f t="shared" si="20"/>
        <v>116</v>
      </c>
      <c r="L374" s="82">
        <v>0.18</v>
      </c>
      <c r="M374" s="9">
        <f t="shared" si="21"/>
        <v>20.88</v>
      </c>
      <c r="N374" s="5">
        <v>0</v>
      </c>
      <c r="O374" s="5"/>
      <c r="P374" s="5">
        <f t="shared" si="22"/>
        <v>136.88</v>
      </c>
      <c r="Q374" s="1" t="s">
        <v>606</v>
      </c>
      <c r="R374" s="1" t="s">
        <v>606</v>
      </c>
      <c r="S374" s="1" t="s">
        <v>444</v>
      </c>
      <c r="T374" s="1" t="s">
        <v>2087</v>
      </c>
      <c r="U374" s="1"/>
      <c r="V374" s="27"/>
      <c r="W374" s="28" t="s">
        <v>261</v>
      </c>
      <c r="X374" s="28"/>
      <c r="Y374" s="8">
        <v>2</v>
      </c>
      <c r="Z374" s="12" t="s">
        <v>847</v>
      </c>
      <c r="AA374" s="27"/>
      <c r="AB374" s="29"/>
      <c r="AC374" s="27"/>
      <c r="AD374" s="50"/>
    </row>
    <row r="375" spans="1:30" s="51" customFormat="1" x14ac:dyDescent="0.25">
      <c r="A375" s="4"/>
      <c r="B375" s="4">
        <v>45752</v>
      </c>
      <c r="C375" s="1" t="s">
        <v>2003</v>
      </c>
      <c r="D375" s="1" t="s">
        <v>2091</v>
      </c>
      <c r="E375" s="1" t="s">
        <v>851</v>
      </c>
      <c r="F375" s="1" t="s">
        <v>851</v>
      </c>
      <c r="G375" s="8">
        <v>4</v>
      </c>
      <c r="H375" s="8"/>
      <c r="I375" s="115">
        <f>Table223[[#This Row],[Qty]]-Table223[[#This Row],[Issue Qty]]</f>
        <v>4</v>
      </c>
      <c r="J375" s="5">
        <v>36</v>
      </c>
      <c r="K375" s="5">
        <f t="shared" si="20"/>
        <v>144</v>
      </c>
      <c r="L375" s="82">
        <v>0.18</v>
      </c>
      <c r="M375" s="9">
        <f t="shared" si="21"/>
        <v>25.919999999999998</v>
      </c>
      <c r="N375" s="5">
        <v>0</v>
      </c>
      <c r="O375" s="5"/>
      <c r="P375" s="5">
        <f t="shared" si="22"/>
        <v>169.92</v>
      </c>
      <c r="Q375" s="1" t="s">
        <v>606</v>
      </c>
      <c r="R375" s="1" t="s">
        <v>606</v>
      </c>
      <c r="S375" s="1" t="s">
        <v>444</v>
      </c>
      <c r="T375" s="1" t="s">
        <v>2087</v>
      </c>
      <c r="U375" s="1"/>
      <c r="V375" s="27"/>
      <c r="W375" s="21" t="s">
        <v>261</v>
      </c>
      <c r="X375" s="28"/>
      <c r="Y375" s="8">
        <v>4</v>
      </c>
      <c r="Z375" s="12" t="s">
        <v>847</v>
      </c>
      <c r="AA375" s="27"/>
      <c r="AB375" s="29"/>
      <c r="AC375" s="27"/>
      <c r="AD375" s="50"/>
    </row>
    <row r="376" spans="1:30" s="51" customFormat="1" x14ac:dyDescent="0.25">
      <c r="A376" s="4"/>
      <c r="B376" s="4">
        <v>45752</v>
      </c>
      <c r="C376" s="1" t="s">
        <v>2003</v>
      </c>
      <c r="D376" s="1" t="s">
        <v>2092</v>
      </c>
      <c r="E376" s="1" t="s">
        <v>852</v>
      </c>
      <c r="F376" s="1" t="s">
        <v>852</v>
      </c>
      <c r="G376" s="8">
        <v>2</v>
      </c>
      <c r="H376" s="8"/>
      <c r="I376" s="115">
        <f>Table223[[#This Row],[Qty]]-Table223[[#This Row],[Issue Qty]]</f>
        <v>2</v>
      </c>
      <c r="J376" s="5">
        <v>65</v>
      </c>
      <c r="K376" s="5">
        <f t="shared" si="20"/>
        <v>130</v>
      </c>
      <c r="L376" s="82">
        <v>0.18</v>
      </c>
      <c r="M376" s="9">
        <f t="shared" si="21"/>
        <v>23.4</v>
      </c>
      <c r="N376" s="5">
        <v>0</v>
      </c>
      <c r="O376" s="5"/>
      <c r="P376" s="5">
        <f t="shared" si="22"/>
        <v>153.4</v>
      </c>
      <c r="Q376" s="1" t="s">
        <v>606</v>
      </c>
      <c r="R376" s="1" t="s">
        <v>606</v>
      </c>
      <c r="S376" s="1" t="s">
        <v>444</v>
      </c>
      <c r="T376" s="1" t="s">
        <v>2087</v>
      </c>
      <c r="U376" s="1"/>
      <c r="V376" s="27"/>
      <c r="W376" s="21" t="s">
        <v>261</v>
      </c>
      <c r="X376" s="28"/>
      <c r="Y376" s="8">
        <v>7</v>
      </c>
      <c r="Z376" s="12" t="s">
        <v>847</v>
      </c>
      <c r="AA376" s="27"/>
      <c r="AB376" s="29"/>
      <c r="AC376" s="27"/>
      <c r="AD376" s="50"/>
    </row>
    <row r="377" spans="1:30" s="51" customFormat="1" x14ac:dyDescent="0.25">
      <c r="A377" s="4"/>
      <c r="B377" s="4">
        <v>45752</v>
      </c>
      <c r="C377" s="1" t="s">
        <v>2003</v>
      </c>
      <c r="D377" s="1" t="s">
        <v>2093</v>
      </c>
      <c r="E377" s="1" t="s">
        <v>853</v>
      </c>
      <c r="F377" s="1" t="s">
        <v>853</v>
      </c>
      <c r="G377" s="8">
        <v>1</v>
      </c>
      <c r="H377" s="8"/>
      <c r="I377" s="115">
        <f>Table223[[#This Row],[Qty]]-Table223[[#This Row],[Issue Qty]]</f>
        <v>1</v>
      </c>
      <c r="J377" s="5">
        <v>76</v>
      </c>
      <c r="K377" s="5">
        <f t="shared" si="20"/>
        <v>76</v>
      </c>
      <c r="L377" s="82">
        <v>0.18</v>
      </c>
      <c r="M377" s="9">
        <f t="shared" si="21"/>
        <v>13.68</v>
      </c>
      <c r="N377" s="5">
        <v>0</v>
      </c>
      <c r="O377" s="5"/>
      <c r="P377" s="5">
        <f t="shared" si="22"/>
        <v>89.68</v>
      </c>
      <c r="Q377" s="1" t="s">
        <v>606</v>
      </c>
      <c r="R377" s="1" t="s">
        <v>606</v>
      </c>
      <c r="S377" s="1" t="s">
        <v>444</v>
      </c>
      <c r="T377" s="1" t="s">
        <v>2087</v>
      </c>
      <c r="U377" s="1"/>
      <c r="V377" s="27"/>
      <c r="W377" s="21" t="s">
        <v>261</v>
      </c>
      <c r="X377" s="28"/>
      <c r="Y377" s="8">
        <v>1</v>
      </c>
      <c r="Z377" s="12" t="s">
        <v>847</v>
      </c>
      <c r="AA377" s="27"/>
      <c r="AB377" s="29"/>
      <c r="AC377" s="27"/>
      <c r="AD377" s="50"/>
    </row>
    <row r="378" spans="1:30" s="51" customFormat="1" x14ac:dyDescent="0.25">
      <c r="A378" s="4"/>
      <c r="B378" s="4">
        <v>45752</v>
      </c>
      <c r="C378" s="1" t="s">
        <v>2003</v>
      </c>
      <c r="D378" s="1" t="s">
        <v>2094</v>
      </c>
      <c r="E378" s="1" t="s">
        <v>854</v>
      </c>
      <c r="F378" s="1" t="s">
        <v>854</v>
      </c>
      <c r="G378" s="8">
        <v>1</v>
      </c>
      <c r="H378" s="8">
        <v>1</v>
      </c>
      <c r="I378" s="115">
        <f>Table223[[#This Row],[Qty]]-Table223[[#This Row],[Issue Qty]]</f>
        <v>0</v>
      </c>
      <c r="J378" s="5">
        <v>91</v>
      </c>
      <c r="K378" s="5">
        <f t="shared" si="20"/>
        <v>91</v>
      </c>
      <c r="L378" s="82">
        <v>0.18</v>
      </c>
      <c r="M378" s="9">
        <f t="shared" si="21"/>
        <v>16.38</v>
      </c>
      <c r="N378" s="5">
        <v>0</v>
      </c>
      <c r="O378" s="5"/>
      <c r="P378" s="5">
        <f t="shared" si="22"/>
        <v>107.38</v>
      </c>
      <c r="Q378" s="1" t="s">
        <v>606</v>
      </c>
      <c r="R378" s="1" t="s">
        <v>606</v>
      </c>
      <c r="S378" s="1" t="s">
        <v>444</v>
      </c>
      <c r="T378" s="1" t="s">
        <v>2087</v>
      </c>
      <c r="U378" s="1"/>
      <c r="V378" s="27"/>
      <c r="W378" s="21" t="s">
        <v>261</v>
      </c>
      <c r="X378" s="28"/>
      <c r="Y378" s="8">
        <v>1</v>
      </c>
      <c r="Z378" s="12" t="s">
        <v>847</v>
      </c>
      <c r="AA378" s="27"/>
      <c r="AB378" s="29"/>
      <c r="AC378" s="27"/>
      <c r="AD378" s="50"/>
    </row>
    <row r="379" spans="1:30" s="51" customFormat="1" x14ac:dyDescent="0.25">
      <c r="A379" s="4"/>
      <c r="B379" s="4">
        <v>45752</v>
      </c>
      <c r="C379" s="1" t="s">
        <v>2003</v>
      </c>
      <c r="D379" s="1" t="s">
        <v>2095</v>
      </c>
      <c r="E379" s="1" t="s">
        <v>855</v>
      </c>
      <c r="F379" s="1" t="s">
        <v>855</v>
      </c>
      <c r="G379" s="8">
        <v>1</v>
      </c>
      <c r="H379" s="8"/>
      <c r="I379" s="115">
        <f>Table223[[#This Row],[Qty]]-Table223[[#This Row],[Issue Qty]]</f>
        <v>1</v>
      </c>
      <c r="J379" s="5">
        <v>81</v>
      </c>
      <c r="K379" s="5">
        <f t="shared" si="20"/>
        <v>81</v>
      </c>
      <c r="L379" s="82">
        <v>0.18</v>
      </c>
      <c r="M379" s="9">
        <f t="shared" si="21"/>
        <v>14.58</v>
      </c>
      <c r="N379" s="5">
        <v>0</v>
      </c>
      <c r="O379" s="5"/>
      <c r="P379" s="5">
        <f t="shared" si="22"/>
        <v>95.58</v>
      </c>
      <c r="Q379" s="1" t="s">
        <v>606</v>
      </c>
      <c r="R379" s="1" t="s">
        <v>606</v>
      </c>
      <c r="S379" s="1" t="s">
        <v>444</v>
      </c>
      <c r="T379" s="1" t="s">
        <v>2087</v>
      </c>
      <c r="U379" s="1"/>
      <c r="V379" s="27"/>
      <c r="W379" s="21" t="s">
        <v>261</v>
      </c>
      <c r="X379" s="28"/>
      <c r="Y379" s="21">
        <v>1</v>
      </c>
      <c r="Z379" s="12" t="s">
        <v>847</v>
      </c>
      <c r="AA379" s="27"/>
      <c r="AB379" s="29"/>
      <c r="AC379" s="27"/>
      <c r="AD379" s="50"/>
    </row>
    <row r="380" spans="1:30" s="51" customFormat="1" x14ac:dyDescent="0.25">
      <c r="A380" s="4"/>
      <c r="B380" s="4">
        <v>45754</v>
      </c>
      <c r="C380" s="1" t="s">
        <v>2096</v>
      </c>
      <c r="D380" s="1" t="s">
        <v>2097</v>
      </c>
      <c r="E380" s="1" t="s">
        <v>856</v>
      </c>
      <c r="F380" s="1" t="s">
        <v>857</v>
      </c>
      <c r="G380" s="8">
        <v>2</v>
      </c>
      <c r="H380" s="8">
        <v>2</v>
      </c>
      <c r="I380" s="115">
        <f>Table223[[#This Row],[Qty]]-Table223[[#This Row],[Issue Qty]]</f>
        <v>0</v>
      </c>
      <c r="J380" s="5">
        <v>33623</v>
      </c>
      <c r="K380" s="5">
        <f t="shared" si="20"/>
        <v>67246</v>
      </c>
      <c r="L380" s="82">
        <v>0.18</v>
      </c>
      <c r="M380" s="9">
        <f t="shared" si="21"/>
        <v>12104.279999999999</v>
      </c>
      <c r="N380" s="5">
        <v>0</v>
      </c>
      <c r="O380" s="5"/>
      <c r="P380" s="5">
        <f t="shared" si="22"/>
        <v>79350.28</v>
      </c>
      <c r="Q380" s="1" t="s">
        <v>606</v>
      </c>
      <c r="R380" s="1" t="s">
        <v>606</v>
      </c>
      <c r="S380" s="1" t="s">
        <v>444</v>
      </c>
      <c r="T380" s="1" t="s">
        <v>2082</v>
      </c>
      <c r="U380" s="1"/>
      <c r="V380" s="27"/>
      <c r="W380" s="21" t="s">
        <v>717</v>
      </c>
      <c r="X380" s="28"/>
      <c r="Y380" s="21">
        <v>2</v>
      </c>
      <c r="Z380" s="12" t="s">
        <v>2913</v>
      </c>
      <c r="AA380" s="12" t="s">
        <v>693</v>
      </c>
      <c r="AB380" s="29"/>
      <c r="AC380" s="27"/>
      <c r="AD380" s="50"/>
    </row>
    <row r="381" spans="1:30" s="51" customFormat="1" x14ac:dyDescent="0.25">
      <c r="A381" s="4"/>
      <c r="B381" s="4">
        <v>45755</v>
      </c>
      <c r="C381" s="1" t="s">
        <v>1991</v>
      </c>
      <c r="D381" s="1" t="s">
        <v>2098</v>
      </c>
      <c r="E381" s="169" t="s">
        <v>858</v>
      </c>
      <c r="F381" s="1" t="s">
        <v>858</v>
      </c>
      <c r="G381" s="8">
        <v>3</v>
      </c>
      <c r="H381" s="8">
        <v>3</v>
      </c>
      <c r="I381" s="115">
        <f>Table223[[#This Row],[Qty]]-Table223[[#This Row],[Issue Qty]]</f>
        <v>0</v>
      </c>
      <c r="J381" s="5">
        <v>9.6999999999999993</v>
      </c>
      <c r="K381" s="5">
        <f t="shared" si="20"/>
        <v>29.099999999999998</v>
      </c>
      <c r="L381" s="82">
        <v>0.18</v>
      </c>
      <c r="M381" s="9">
        <f t="shared" si="21"/>
        <v>5.2379999999999995</v>
      </c>
      <c r="N381" s="5">
        <v>0</v>
      </c>
      <c r="O381" s="5"/>
      <c r="P381" s="5">
        <f t="shared" si="22"/>
        <v>34.337999999999994</v>
      </c>
      <c r="Q381" s="1" t="s">
        <v>726</v>
      </c>
      <c r="R381" s="1" t="s">
        <v>726</v>
      </c>
      <c r="S381" s="1" t="s">
        <v>312</v>
      </c>
      <c r="T381" s="1" t="s">
        <v>2099</v>
      </c>
      <c r="U381" s="1"/>
      <c r="V381" s="1"/>
      <c r="W381" s="21" t="s">
        <v>650</v>
      </c>
      <c r="X381" s="8" t="s">
        <v>651</v>
      </c>
      <c r="Y381" s="8">
        <v>3</v>
      </c>
      <c r="Z381" s="22" t="s">
        <v>474</v>
      </c>
      <c r="AA381" s="1"/>
      <c r="AB381" s="29" t="s">
        <v>859</v>
      </c>
      <c r="AC381" s="1"/>
      <c r="AD381" s="50"/>
    </row>
    <row r="382" spans="1:30" s="51" customFormat="1" x14ac:dyDescent="0.25">
      <c r="A382" s="4"/>
      <c r="B382" s="4">
        <v>45755</v>
      </c>
      <c r="C382" s="1" t="s">
        <v>1991</v>
      </c>
      <c r="D382" s="1" t="s">
        <v>2100</v>
      </c>
      <c r="E382" s="169" t="s">
        <v>860</v>
      </c>
      <c r="F382" s="1" t="s">
        <v>860</v>
      </c>
      <c r="G382" s="8">
        <v>3</v>
      </c>
      <c r="H382" s="8">
        <v>3</v>
      </c>
      <c r="I382" s="115">
        <f>Table223[[#This Row],[Qty]]-Table223[[#This Row],[Issue Qty]]</f>
        <v>0</v>
      </c>
      <c r="J382" s="5">
        <v>48.77</v>
      </c>
      <c r="K382" s="5">
        <f t="shared" si="20"/>
        <v>146.31</v>
      </c>
      <c r="L382" s="82">
        <v>0.18</v>
      </c>
      <c r="M382" s="9">
        <f t="shared" si="21"/>
        <v>26.335799999999999</v>
      </c>
      <c r="N382" s="5">
        <v>0</v>
      </c>
      <c r="O382" s="5"/>
      <c r="P382" s="5">
        <f t="shared" si="22"/>
        <v>172.64580000000001</v>
      </c>
      <c r="Q382" s="1" t="s">
        <v>726</v>
      </c>
      <c r="R382" s="1" t="s">
        <v>726</v>
      </c>
      <c r="S382" s="1" t="s">
        <v>312</v>
      </c>
      <c r="T382" s="1" t="s">
        <v>2099</v>
      </c>
      <c r="U382" s="1"/>
      <c r="V382" s="1"/>
      <c r="W382" s="21" t="s">
        <v>650</v>
      </c>
      <c r="X382" s="8" t="s">
        <v>651</v>
      </c>
      <c r="Y382" s="8">
        <v>3</v>
      </c>
      <c r="Z382" s="22" t="s">
        <v>474</v>
      </c>
      <c r="AA382" s="1"/>
      <c r="AB382" s="29" t="s">
        <v>861</v>
      </c>
      <c r="AC382" s="1"/>
      <c r="AD382" s="50"/>
    </row>
    <row r="383" spans="1:30" s="51" customFormat="1" x14ac:dyDescent="0.25">
      <c r="A383" s="4"/>
      <c r="B383" s="4">
        <v>45755</v>
      </c>
      <c r="C383" s="1" t="s">
        <v>1991</v>
      </c>
      <c r="D383" s="1" t="s">
        <v>2101</v>
      </c>
      <c r="E383" s="169" t="s">
        <v>862</v>
      </c>
      <c r="F383" s="1" t="s">
        <v>862</v>
      </c>
      <c r="G383" s="8">
        <v>10</v>
      </c>
      <c r="H383" s="8">
        <v>10</v>
      </c>
      <c r="I383" s="115">
        <f>Table223[[#This Row],[Qty]]-Table223[[#This Row],[Issue Qty]]</f>
        <v>0</v>
      </c>
      <c r="J383" s="5">
        <v>12.53</v>
      </c>
      <c r="K383" s="5">
        <f t="shared" si="20"/>
        <v>125.3</v>
      </c>
      <c r="L383" s="82">
        <v>0.18</v>
      </c>
      <c r="M383" s="9">
        <f t="shared" si="21"/>
        <v>22.553999999999998</v>
      </c>
      <c r="N383" s="5">
        <v>0</v>
      </c>
      <c r="O383" s="5"/>
      <c r="P383" s="5">
        <f t="shared" si="22"/>
        <v>147.85399999999998</v>
      </c>
      <c r="Q383" s="1" t="s">
        <v>726</v>
      </c>
      <c r="R383" s="1" t="s">
        <v>726</v>
      </c>
      <c r="S383" s="1" t="s">
        <v>312</v>
      </c>
      <c r="T383" s="1" t="s">
        <v>2099</v>
      </c>
      <c r="U383" s="1"/>
      <c r="V383" s="1"/>
      <c r="W383" s="21" t="s">
        <v>650</v>
      </c>
      <c r="X383" s="8" t="s">
        <v>651</v>
      </c>
      <c r="Y383" s="8">
        <v>10</v>
      </c>
      <c r="Z383" s="22" t="s">
        <v>474</v>
      </c>
      <c r="AA383" s="1"/>
      <c r="AB383" s="29" t="s">
        <v>863</v>
      </c>
      <c r="AC383" s="1"/>
      <c r="AD383" s="50"/>
    </row>
    <row r="384" spans="1:30" x14ac:dyDescent="0.25">
      <c r="A384" s="4"/>
      <c r="B384" s="4">
        <v>45755</v>
      </c>
      <c r="C384" s="1" t="s">
        <v>1991</v>
      </c>
      <c r="D384" s="26" t="s">
        <v>2102</v>
      </c>
      <c r="E384" s="168" t="s">
        <v>864</v>
      </c>
      <c r="F384" s="1" t="s">
        <v>864</v>
      </c>
      <c r="G384" s="8">
        <v>1</v>
      </c>
      <c r="H384" s="8">
        <v>1</v>
      </c>
      <c r="I384" s="115">
        <f>Table223[[#This Row],[Qty]]-Table223[[#This Row],[Issue Qty]]</f>
        <v>0</v>
      </c>
      <c r="J384" s="5">
        <v>1873.46</v>
      </c>
      <c r="K384" s="5">
        <f t="shared" si="20"/>
        <v>1873.46</v>
      </c>
      <c r="L384" s="82">
        <v>0.18</v>
      </c>
      <c r="M384" s="9">
        <f t="shared" si="21"/>
        <v>337.22280000000001</v>
      </c>
      <c r="N384" s="5">
        <f>250*0.18+250</f>
        <v>295</v>
      </c>
      <c r="O384" s="5"/>
      <c r="P384" s="5">
        <f t="shared" si="22"/>
        <v>2505.6828</v>
      </c>
      <c r="Q384" s="1" t="s">
        <v>726</v>
      </c>
      <c r="R384" s="1" t="s">
        <v>726</v>
      </c>
      <c r="S384" s="1" t="s">
        <v>312</v>
      </c>
      <c r="T384" s="1" t="s">
        <v>2099</v>
      </c>
      <c r="U384" s="1"/>
      <c r="V384" s="1"/>
      <c r="W384" s="21" t="s">
        <v>650</v>
      </c>
      <c r="X384" s="8" t="s">
        <v>651</v>
      </c>
      <c r="Y384" s="8">
        <v>1</v>
      </c>
      <c r="Z384" s="22" t="s">
        <v>474</v>
      </c>
      <c r="AA384" s="1"/>
      <c r="AB384" s="29"/>
      <c r="AC384" s="1"/>
      <c r="AD384" s="27"/>
    </row>
    <row r="385" spans="1:30" s="51" customFormat="1" x14ac:dyDescent="0.25">
      <c r="A385" s="4"/>
      <c r="B385" s="4">
        <v>45755</v>
      </c>
      <c r="C385" s="1" t="s">
        <v>1991</v>
      </c>
      <c r="D385" s="26" t="s">
        <v>2103</v>
      </c>
      <c r="E385" s="168" t="s">
        <v>865</v>
      </c>
      <c r="F385" s="1" t="s">
        <v>865</v>
      </c>
      <c r="G385" s="8">
        <v>5</v>
      </c>
      <c r="H385" s="8">
        <v>5</v>
      </c>
      <c r="I385" s="115">
        <f>Table223[[#This Row],[Qty]]-Table223[[#This Row],[Issue Qty]]</f>
        <v>0</v>
      </c>
      <c r="J385" s="5">
        <v>8.84</v>
      </c>
      <c r="K385" s="5">
        <f t="shared" si="20"/>
        <v>44.2</v>
      </c>
      <c r="L385" s="82">
        <v>0.18</v>
      </c>
      <c r="M385" s="9">
        <f t="shared" si="21"/>
        <v>7.9560000000000004</v>
      </c>
      <c r="N385" s="5">
        <v>0</v>
      </c>
      <c r="O385" s="5"/>
      <c r="P385" s="5">
        <f t="shared" si="22"/>
        <v>52.156000000000006</v>
      </c>
      <c r="Q385" s="1" t="s">
        <v>726</v>
      </c>
      <c r="R385" s="1" t="s">
        <v>726</v>
      </c>
      <c r="S385" s="1" t="s">
        <v>312</v>
      </c>
      <c r="T385" s="1" t="s">
        <v>2099</v>
      </c>
      <c r="U385" s="1"/>
      <c r="V385" s="1"/>
      <c r="W385" s="21" t="s">
        <v>650</v>
      </c>
      <c r="X385" s="8" t="s">
        <v>651</v>
      </c>
      <c r="Y385" s="8">
        <v>5</v>
      </c>
      <c r="Z385" s="22" t="s">
        <v>736</v>
      </c>
      <c r="AA385" s="1"/>
      <c r="AB385" s="29"/>
      <c r="AC385" s="1"/>
      <c r="AD385" s="50"/>
    </row>
    <row r="386" spans="1:30" s="51" customFormat="1" x14ac:dyDescent="0.25">
      <c r="A386" s="4"/>
      <c r="B386" s="4">
        <v>45755</v>
      </c>
      <c r="C386" s="1" t="s">
        <v>1991</v>
      </c>
      <c r="D386" s="26" t="s">
        <v>2104</v>
      </c>
      <c r="E386" s="168" t="s">
        <v>866</v>
      </c>
      <c r="F386" s="1" t="s">
        <v>866</v>
      </c>
      <c r="G386" s="8">
        <v>5</v>
      </c>
      <c r="H386" s="8">
        <v>5</v>
      </c>
      <c r="I386" s="115">
        <f>Table223[[#This Row],[Qty]]-Table223[[#This Row],[Issue Qty]]</f>
        <v>0</v>
      </c>
      <c r="J386" s="5">
        <v>8.84</v>
      </c>
      <c r="K386" s="5">
        <f t="shared" si="20"/>
        <v>44.2</v>
      </c>
      <c r="L386" s="82">
        <v>0.18</v>
      </c>
      <c r="M386" s="9">
        <f t="shared" si="21"/>
        <v>7.9560000000000004</v>
      </c>
      <c r="N386" s="5">
        <v>0</v>
      </c>
      <c r="O386" s="5"/>
      <c r="P386" s="5">
        <f t="shared" si="22"/>
        <v>52.156000000000006</v>
      </c>
      <c r="Q386" s="1" t="s">
        <v>726</v>
      </c>
      <c r="R386" s="1" t="s">
        <v>726</v>
      </c>
      <c r="S386" s="1" t="s">
        <v>312</v>
      </c>
      <c r="T386" s="1" t="s">
        <v>2099</v>
      </c>
      <c r="U386" s="1"/>
      <c r="V386" s="1"/>
      <c r="W386" s="21" t="s">
        <v>650</v>
      </c>
      <c r="X386" s="8" t="s">
        <v>651</v>
      </c>
      <c r="Y386" s="8">
        <v>5</v>
      </c>
      <c r="Z386" s="22" t="s">
        <v>736</v>
      </c>
      <c r="AA386" s="1"/>
      <c r="AB386" s="29"/>
      <c r="AC386" s="1"/>
      <c r="AD386" s="50"/>
    </row>
    <row r="387" spans="1:30" s="51" customFormat="1" x14ac:dyDescent="0.25">
      <c r="A387" s="4"/>
      <c r="B387" s="4">
        <v>45755</v>
      </c>
      <c r="C387" s="1" t="s">
        <v>1991</v>
      </c>
      <c r="D387" s="1" t="s">
        <v>2105</v>
      </c>
      <c r="E387" s="169" t="s">
        <v>867</v>
      </c>
      <c r="F387" s="1" t="s">
        <v>868</v>
      </c>
      <c r="G387" s="8">
        <v>3</v>
      </c>
      <c r="H387" s="8">
        <v>3</v>
      </c>
      <c r="I387" s="115">
        <f>Table223[[#This Row],[Qty]]-Table223[[#This Row],[Issue Qty]]</f>
        <v>0</v>
      </c>
      <c r="J387" s="5">
        <v>597.25</v>
      </c>
      <c r="K387" s="5">
        <f t="shared" si="20"/>
        <v>1791.75</v>
      </c>
      <c r="L387" s="82">
        <v>0.18</v>
      </c>
      <c r="M387" s="9">
        <f t="shared" si="21"/>
        <v>322.51499999999999</v>
      </c>
      <c r="N387" s="5">
        <v>0</v>
      </c>
      <c r="O387" s="5"/>
      <c r="P387" s="5">
        <f t="shared" si="22"/>
        <v>2114.2649999999999</v>
      </c>
      <c r="Q387" s="1" t="s">
        <v>726</v>
      </c>
      <c r="R387" s="1" t="s">
        <v>726</v>
      </c>
      <c r="S387" s="1" t="s">
        <v>312</v>
      </c>
      <c r="T387" s="1" t="s">
        <v>2099</v>
      </c>
      <c r="U387" s="1"/>
      <c r="V387" s="1"/>
      <c r="W387" s="21" t="s">
        <v>650</v>
      </c>
      <c r="X387" s="8" t="s">
        <v>651</v>
      </c>
      <c r="Y387" s="8">
        <v>3</v>
      </c>
      <c r="Z387" s="22" t="s">
        <v>736</v>
      </c>
      <c r="AA387" s="1"/>
      <c r="AB387" s="29" t="s">
        <v>869</v>
      </c>
      <c r="AC387" s="1"/>
      <c r="AD387" s="50"/>
    </row>
    <row r="388" spans="1:30" s="51" customFormat="1" x14ac:dyDescent="0.25">
      <c r="A388" s="4"/>
      <c r="B388" s="4">
        <v>45756</v>
      </c>
      <c r="C388" s="1" t="s">
        <v>1991</v>
      </c>
      <c r="D388" s="1" t="s">
        <v>1831</v>
      </c>
      <c r="E388" s="1" t="s">
        <v>379</v>
      </c>
      <c r="F388" s="1" t="s">
        <v>379</v>
      </c>
      <c r="G388" s="8">
        <v>8</v>
      </c>
      <c r="H388" s="8">
        <v>3</v>
      </c>
      <c r="I388" s="115">
        <f>Table223[[#This Row],[Qty]]-Table223[[#This Row],[Issue Qty]]</f>
        <v>5</v>
      </c>
      <c r="J388" s="5">
        <v>608.48599999999999</v>
      </c>
      <c r="K388" s="5">
        <f t="shared" si="20"/>
        <v>4867.8879999999999</v>
      </c>
      <c r="L388" s="82">
        <v>0.05</v>
      </c>
      <c r="M388" s="9">
        <f t="shared" si="21"/>
        <v>243.39440000000002</v>
      </c>
      <c r="N388" s="5">
        <f>155/4</f>
        <v>38.75</v>
      </c>
      <c r="O388" s="5"/>
      <c r="P388" s="5">
        <f t="shared" si="22"/>
        <v>5150.0324000000001</v>
      </c>
      <c r="Q388" s="1" t="s">
        <v>606</v>
      </c>
      <c r="R388" s="1" t="s">
        <v>606</v>
      </c>
      <c r="S388" s="1" t="s">
        <v>691</v>
      </c>
      <c r="T388" s="1" t="s">
        <v>2106</v>
      </c>
      <c r="U388" s="1"/>
      <c r="V388" s="27"/>
      <c r="W388" s="8" t="s">
        <v>72</v>
      </c>
      <c r="X388" s="21" t="s">
        <v>262</v>
      </c>
      <c r="Y388" s="21">
        <v>4</v>
      </c>
      <c r="Z388" s="12" t="s">
        <v>3415</v>
      </c>
      <c r="AA388" s="27"/>
      <c r="AB388" s="29" t="s">
        <v>382</v>
      </c>
      <c r="AC388" s="27"/>
      <c r="AD388" s="50"/>
    </row>
    <row r="389" spans="1:30" s="51" customFormat="1" x14ac:dyDescent="0.25">
      <c r="A389" s="4"/>
      <c r="B389" s="4">
        <v>45756</v>
      </c>
      <c r="C389" s="1" t="s">
        <v>54</v>
      </c>
      <c r="D389" s="1" t="s">
        <v>2062</v>
      </c>
      <c r="E389" s="1" t="s">
        <v>810</v>
      </c>
      <c r="F389" s="1" t="s">
        <v>870</v>
      </c>
      <c r="G389" s="8">
        <v>3</v>
      </c>
      <c r="H389" s="8">
        <f>1+1+1</f>
        <v>3</v>
      </c>
      <c r="I389" s="115">
        <f>Table223[[#This Row],[Qty]]-Table223[[#This Row],[Issue Qty]]</f>
        <v>0</v>
      </c>
      <c r="J389" s="5">
        <v>14454</v>
      </c>
      <c r="K389" s="5">
        <f t="shared" si="20"/>
        <v>43362</v>
      </c>
      <c r="L389" s="82">
        <v>0.18</v>
      </c>
      <c r="M389" s="9">
        <f t="shared" si="21"/>
        <v>7805.16</v>
      </c>
      <c r="N389" s="5"/>
      <c r="O389" s="5"/>
      <c r="P389" s="5">
        <f t="shared" si="22"/>
        <v>51167.16</v>
      </c>
      <c r="Q389" s="1" t="s">
        <v>606</v>
      </c>
      <c r="R389" s="1" t="s">
        <v>606</v>
      </c>
      <c r="S389" s="1" t="s">
        <v>829</v>
      </c>
      <c r="T389" s="1" t="s">
        <v>2074</v>
      </c>
      <c r="U389" s="1"/>
      <c r="V389" s="1"/>
      <c r="W389" s="8" t="s">
        <v>809</v>
      </c>
      <c r="X389" s="8"/>
      <c r="Y389" s="8">
        <v>1</v>
      </c>
      <c r="Z389" s="22" t="s">
        <v>2903</v>
      </c>
      <c r="AA389" s="1"/>
      <c r="AB389" s="29" t="s">
        <v>813</v>
      </c>
      <c r="AC389" s="1"/>
      <c r="AD389" s="50"/>
    </row>
    <row r="390" spans="1:30" s="51" customFormat="1" ht="30" x14ac:dyDescent="0.25">
      <c r="A390" s="4"/>
      <c r="B390" s="4">
        <v>45758</v>
      </c>
      <c r="C390" s="1" t="s">
        <v>54</v>
      </c>
      <c r="D390" s="26" t="s">
        <v>1971</v>
      </c>
      <c r="E390" s="168" t="s">
        <v>654</v>
      </c>
      <c r="F390" s="1" t="s">
        <v>871</v>
      </c>
      <c r="G390" s="8">
        <v>2</v>
      </c>
      <c r="H390" s="8">
        <v>2</v>
      </c>
      <c r="I390" s="115">
        <f>Table223[[#This Row],[Qty]]-Table223[[#This Row],[Issue Qty]]</f>
        <v>0</v>
      </c>
      <c r="J390" s="5">
        <v>429.56</v>
      </c>
      <c r="K390" s="5">
        <f t="shared" si="20"/>
        <v>859.12</v>
      </c>
      <c r="L390" s="82">
        <v>0.18</v>
      </c>
      <c r="M390" s="9">
        <f t="shared" si="21"/>
        <v>154.64159999999998</v>
      </c>
      <c r="N390" s="5">
        <f>99/2</f>
        <v>49.5</v>
      </c>
      <c r="O390" s="5"/>
      <c r="P390" s="5">
        <f t="shared" si="22"/>
        <v>1063.2616</v>
      </c>
      <c r="Q390" s="1" t="s">
        <v>726</v>
      </c>
      <c r="R390" s="1" t="s">
        <v>726</v>
      </c>
      <c r="S390" s="1" t="s">
        <v>691</v>
      </c>
      <c r="T390" s="1" t="s">
        <v>2107</v>
      </c>
      <c r="U390" s="1"/>
      <c r="V390" s="1"/>
      <c r="W390" s="8" t="s">
        <v>688</v>
      </c>
      <c r="X390" s="8"/>
      <c r="Y390" s="8">
        <v>2</v>
      </c>
      <c r="Z390" s="22" t="s">
        <v>736</v>
      </c>
      <c r="AA390" s="1"/>
      <c r="AB390" s="29"/>
      <c r="AC390" s="1"/>
      <c r="AD390" s="50"/>
    </row>
    <row r="391" spans="1:30" s="51" customFormat="1" ht="30" x14ac:dyDescent="0.25">
      <c r="A391" s="4"/>
      <c r="B391" s="4">
        <v>45758</v>
      </c>
      <c r="C391" s="1" t="s">
        <v>54</v>
      </c>
      <c r="D391" s="26" t="s">
        <v>2015</v>
      </c>
      <c r="E391" s="26" t="s">
        <v>733</v>
      </c>
      <c r="F391" s="1" t="s">
        <v>872</v>
      </c>
      <c r="G391" s="8">
        <v>2</v>
      </c>
      <c r="H391" s="8"/>
      <c r="I391" s="115">
        <f>Table223[[#This Row],[Qty]]-Table223[[#This Row],[Issue Qty]]</f>
        <v>2</v>
      </c>
      <c r="J391" s="5">
        <v>479.06</v>
      </c>
      <c r="K391" s="5">
        <f t="shared" si="20"/>
        <v>958.12</v>
      </c>
      <c r="L391" s="82">
        <v>0.18</v>
      </c>
      <c r="M391" s="9">
        <f t="shared" si="21"/>
        <v>172.4616</v>
      </c>
      <c r="N391" s="5">
        <f>99/2</f>
        <v>49.5</v>
      </c>
      <c r="O391" s="5"/>
      <c r="P391" s="5">
        <f t="shared" si="22"/>
        <v>1180.0816</v>
      </c>
      <c r="Q391" s="1" t="s">
        <v>726</v>
      </c>
      <c r="R391" s="1" t="s">
        <v>726</v>
      </c>
      <c r="S391" s="1" t="s">
        <v>691</v>
      </c>
      <c r="T391" s="1" t="s">
        <v>2107</v>
      </c>
      <c r="U391" s="1"/>
      <c r="V391" s="1"/>
      <c r="W391" s="8" t="s">
        <v>688</v>
      </c>
      <c r="X391" s="8"/>
      <c r="Y391" s="8">
        <v>2</v>
      </c>
      <c r="Z391" s="22"/>
      <c r="AA391" s="1"/>
      <c r="AB391" s="29"/>
      <c r="AC391" s="1"/>
      <c r="AD391" s="50"/>
    </row>
    <row r="392" spans="1:30" s="51" customFormat="1" ht="30" x14ac:dyDescent="0.25">
      <c r="A392" s="4"/>
      <c r="B392" s="4">
        <v>45758</v>
      </c>
      <c r="C392" s="1" t="s">
        <v>1989</v>
      </c>
      <c r="D392" s="26" t="s">
        <v>2108</v>
      </c>
      <c r="E392" s="26" t="s">
        <v>873</v>
      </c>
      <c r="F392" s="1" t="s">
        <v>873</v>
      </c>
      <c r="G392" s="8">
        <f>27-5</f>
        <v>22</v>
      </c>
      <c r="H392" s="8">
        <v>22</v>
      </c>
      <c r="I392" s="115">
        <f>Table223[[#This Row],[Qty]]-Table223[[#This Row],[Issue Qty]]</f>
        <v>0</v>
      </c>
      <c r="J392" s="5">
        <v>11.5</v>
      </c>
      <c r="K392" s="5">
        <f t="shared" si="20"/>
        <v>253</v>
      </c>
      <c r="L392" s="82">
        <v>0.18</v>
      </c>
      <c r="M392" s="9">
        <f t="shared" si="21"/>
        <v>45.54</v>
      </c>
      <c r="N392" s="5"/>
      <c r="O392" s="5"/>
      <c r="P392" s="5">
        <f t="shared" si="22"/>
        <v>298.54000000000002</v>
      </c>
      <c r="Q392" s="1" t="s">
        <v>606</v>
      </c>
      <c r="R392" s="1" t="s">
        <v>606</v>
      </c>
      <c r="S392" s="1" t="s">
        <v>444</v>
      </c>
      <c r="T392" s="1" t="s">
        <v>2109</v>
      </c>
      <c r="U392" s="1"/>
      <c r="V392" s="1"/>
      <c r="W392" s="21" t="s">
        <v>573</v>
      </c>
      <c r="X392" s="21" t="s">
        <v>1963</v>
      </c>
      <c r="Y392" s="8">
        <v>25</v>
      </c>
      <c r="Z392" s="22" t="s">
        <v>2959</v>
      </c>
      <c r="AA392" s="1"/>
      <c r="AB392" s="29"/>
      <c r="AC392" s="1"/>
      <c r="AD392" s="50"/>
    </row>
    <row r="393" spans="1:30" s="51" customFormat="1" ht="30" x14ac:dyDescent="0.25">
      <c r="A393" s="4"/>
      <c r="B393" s="4">
        <v>45758</v>
      </c>
      <c r="C393" s="1" t="s">
        <v>2096</v>
      </c>
      <c r="D393" s="26" t="s">
        <v>2110</v>
      </c>
      <c r="E393" s="26" t="s">
        <v>874</v>
      </c>
      <c r="F393" s="1" t="s">
        <v>874</v>
      </c>
      <c r="G393" s="8">
        <v>1</v>
      </c>
      <c r="H393" s="8"/>
      <c r="I393" s="115">
        <f>Table223[[#This Row],[Qty]]-Table223[[#This Row],[Issue Qty]]</f>
        <v>1</v>
      </c>
      <c r="J393" s="5">
        <v>64990</v>
      </c>
      <c r="K393" s="5">
        <f t="shared" si="20"/>
        <v>64990</v>
      </c>
      <c r="L393" s="82">
        <v>0.18</v>
      </c>
      <c r="M393" s="9">
        <f t="shared" si="21"/>
        <v>11698.199999999999</v>
      </c>
      <c r="N393" s="5"/>
      <c r="O393" s="5"/>
      <c r="P393" s="5">
        <f t="shared" si="22"/>
        <v>76688.2</v>
      </c>
      <c r="Q393" s="1" t="s">
        <v>763</v>
      </c>
      <c r="R393" s="1" t="s">
        <v>763</v>
      </c>
      <c r="S393" s="1" t="s">
        <v>875</v>
      </c>
      <c r="T393" s="1" t="s">
        <v>2111</v>
      </c>
      <c r="U393" s="1"/>
      <c r="V393" s="1"/>
      <c r="W393" s="8" t="s">
        <v>339</v>
      </c>
      <c r="X393" s="8"/>
      <c r="Y393" s="8"/>
      <c r="Z393" s="22"/>
      <c r="AA393" s="1"/>
      <c r="AB393" s="29"/>
      <c r="AC393" s="1"/>
      <c r="AD393" s="50"/>
    </row>
    <row r="394" spans="1:30" s="51" customFormat="1" ht="45" x14ac:dyDescent="0.25">
      <c r="A394" s="4"/>
      <c r="B394" s="4">
        <v>45758</v>
      </c>
      <c r="C394" s="1" t="s">
        <v>1991</v>
      </c>
      <c r="D394" s="26" t="s">
        <v>2112</v>
      </c>
      <c r="E394" s="26" t="s">
        <v>876</v>
      </c>
      <c r="F394" s="1" t="s">
        <v>876</v>
      </c>
      <c r="G394" s="8">
        <v>1</v>
      </c>
      <c r="H394" s="8"/>
      <c r="I394" s="115">
        <f>Table223[[#This Row],[Qty]]-Table223[[#This Row],[Issue Qty]]</f>
        <v>1</v>
      </c>
      <c r="J394" s="5">
        <v>9990</v>
      </c>
      <c r="K394" s="5">
        <f t="shared" si="20"/>
        <v>9990</v>
      </c>
      <c r="L394" s="82">
        <v>0.18</v>
      </c>
      <c r="M394" s="9">
        <f t="shared" si="21"/>
        <v>1798.2</v>
      </c>
      <c r="N394" s="5"/>
      <c r="O394" s="5"/>
      <c r="P394" s="5">
        <f t="shared" si="22"/>
        <v>11788.2</v>
      </c>
      <c r="Q394" s="1" t="s">
        <v>763</v>
      </c>
      <c r="R394" s="1" t="s">
        <v>763</v>
      </c>
      <c r="S394" s="1" t="s">
        <v>875</v>
      </c>
      <c r="T394" s="1" t="s">
        <v>2111</v>
      </c>
      <c r="U394" s="1"/>
      <c r="V394" s="27"/>
      <c r="W394" s="8" t="s">
        <v>339</v>
      </c>
      <c r="X394" s="28"/>
      <c r="Y394" s="21"/>
      <c r="Z394" s="12"/>
      <c r="AA394" s="27"/>
      <c r="AB394" s="29"/>
      <c r="AC394" s="27"/>
      <c r="AD394" s="50"/>
    </row>
    <row r="395" spans="1:30" s="51" customFormat="1" ht="30" x14ac:dyDescent="0.25">
      <c r="A395" s="4"/>
      <c r="B395" s="4">
        <v>45758</v>
      </c>
      <c r="C395" s="1" t="s">
        <v>1991</v>
      </c>
      <c r="D395" s="26" t="s">
        <v>2113</v>
      </c>
      <c r="E395" s="26" t="s">
        <v>877</v>
      </c>
      <c r="F395" s="1" t="s">
        <v>877</v>
      </c>
      <c r="G395" s="8">
        <v>1</v>
      </c>
      <c r="H395" s="8"/>
      <c r="I395" s="115">
        <f>Table223[[#This Row],[Qty]]-Table223[[#This Row],[Issue Qty]]</f>
        <v>1</v>
      </c>
      <c r="J395" s="5">
        <v>9490</v>
      </c>
      <c r="K395" s="5">
        <f t="shared" si="20"/>
        <v>9490</v>
      </c>
      <c r="L395" s="82">
        <v>0.18</v>
      </c>
      <c r="M395" s="9">
        <f t="shared" si="21"/>
        <v>1708.2</v>
      </c>
      <c r="N395" s="5"/>
      <c r="O395" s="5"/>
      <c r="P395" s="5">
        <f t="shared" si="22"/>
        <v>11198.2</v>
      </c>
      <c r="Q395" s="1" t="s">
        <v>763</v>
      </c>
      <c r="R395" s="1" t="s">
        <v>763</v>
      </c>
      <c r="S395" s="1" t="s">
        <v>875</v>
      </c>
      <c r="T395" s="1" t="s">
        <v>2111</v>
      </c>
      <c r="U395" s="1"/>
      <c r="V395" s="1"/>
      <c r="W395" s="8" t="s">
        <v>339</v>
      </c>
      <c r="X395" s="8"/>
      <c r="Y395" s="8"/>
      <c r="Z395" s="22"/>
      <c r="AA395" s="1"/>
      <c r="AB395" s="29"/>
      <c r="AC395" s="1"/>
      <c r="AD395" s="50"/>
    </row>
    <row r="396" spans="1:30" s="51" customFormat="1" ht="30" x14ac:dyDescent="0.25">
      <c r="A396" s="4"/>
      <c r="B396" s="4">
        <v>45759</v>
      </c>
      <c r="C396" s="1" t="s">
        <v>54</v>
      </c>
      <c r="D396" s="1" t="s">
        <v>2114</v>
      </c>
      <c r="E396" s="1" t="s">
        <v>878</v>
      </c>
      <c r="F396" s="1" t="s">
        <v>879</v>
      </c>
      <c r="G396" s="8">
        <v>7</v>
      </c>
      <c r="H396" s="8">
        <v>7</v>
      </c>
      <c r="I396" s="115">
        <f>Table223[[#This Row],[Qty]]-Table223[[#This Row],[Issue Qty]]</f>
        <v>0</v>
      </c>
      <c r="J396" s="5">
        <v>1512</v>
      </c>
      <c r="K396" s="5">
        <f t="shared" si="20"/>
        <v>10584</v>
      </c>
      <c r="L396" s="82">
        <v>0.18</v>
      </c>
      <c r="M396" s="9">
        <f t="shared" si="21"/>
        <v>1905.12</v>
      </c>
      <c r="N396" s="5"/>
      <c r="O396" s="5"/>
      <c r="P396" s="5">
        <f t="shared" si="22"/>
        <v>12489.119999999999</v>
      </c>
      <c r="Q396" s="1" t="s">
        <v>606</v>
      </c>
      <c r="R396" s="1" t="s">
        <v>606</v>
      </c>
      <c r="S396" s="1" t="s">
        <v>829</v>
      </c>
      <c r="T396" s="1" t="s">
        <v>2074</v>
      </c>
      <c r="U396" s="1"/>
      <c r="V396" s="27"/>
      <c r="W396" s="28" t="s">
        <v>809</v>
      </c>
      <c r="X396" s="28"/>
      <c r="Y396" s="21">
        <v>8</v>
      </c>
      <c r="Z396" s="12" t="s">
        <v>2950</v>
      </c>
      <c r="AA396" s="27"/>
      <c r="AB396" s="29" t="s">
        <v>880</v>
      </c>
      <c r="AC396" s="27"/>
      <c r="AD396" s="50"/>
    </row>
    <row r="397" spans="1:30" s="51" customFormat="1" ht="45" x14ac:dyDescent="0.25">
      <c r="A397" s="4"/>
      <c r="B397" s="4">
        <v>45759</v>
      </c>
      <c r="C397" s="1" t="s">
        <v>54</v>
      </c>
      <c r="D397" s="1" t="s">
        <v>2115</v>
      </c>
      <c r="E397" s="1" t="s">
        <v>881</v>
      </c>
      <c r="F397" s="1" t="s">
        <v>881</v>
      </c>
      <c r="G397" s="8">
        <v>9</v>
      </c>
      <c r="H397" s="8">
        <v>5</v>
      </c>
      <c r="I397" s="115">
        <f>Table223[[#This Row],[Qty]]-Table223[[#This Row],[Issue Qty]]</f>
        <v>4</v>
      </c>
      <c r="J397" s="5">
        <v>420</v>
      </c>
      <c r="K397" s="5">
        <f t="shared" si="20"/>
        <v>3780</v>
      </c>
      <c r="L397" s="82">
        <v>0.18</v>
      </c>
      <c r="M397" s="9">
        <f t="shared" si="21"/>
        <v>680.4</v>
      </c>
      <c r="N397" s="5"/>
      <c r="O397" s="5"/>
      <c r="P397" s="5">
        <f t="shared" si="22"/>
        <v>4460.3999999999996</v>
      </c>
      <c r="Q397" s="1" t="s">
        <v>606</v>
      </c>
      <c r="R397" s="1" t="s">
        <v>606</v>
      </c>
      <c r="S397" s="1" t="s">
        <v>829</v>
      </c>
      <c r="T397" s="1" t="s">
        <v>2074</v>
      </c>
      <c r="U397" s="1"/>
      <c r="V397" s="27"/>
      <c r="W397" s="21" t="s">
        <v>809</v>
      </c>
      <c r="X397" s="28"/>
      <c r="Y397" s="21">
        <v>9</v>
      </c>
      <c r="Z397" s="12" t="s">
        <v>2951</v>
      </c>
      <c r="AA397" s="27"/>
      <c r="AB397" s="29" t="s">
        <v>882</v>
      </c>
      <c r="AC397" s="27"/>
      <c r="AD397" s="50"/>
    </row>
    <row r="398" spans="1:30" s="51" customFormat="1" x14ac:dyDescent="0.25">
      <c r="A398" s="4"/>
      <c r="B398" s="4">
        <v>45762</v>
      </c>
      <c r="C398" s="1" t="s">
        <v>54</v>
      </c>
      <c r="D398" s="1" t="s">
        <v>2083</v>
      </c>
      <c r="E398" s="1" t="s">
        <v>840</v>
      </c>
      <c r="F398" s="1" t="s">
        <v>883</v>
      </c>
      <c r="G398" s="8">
        <v>1</v>
      </c>
      <c r="H398" s="8"/>
      <c r="I398" s="115">
        <f>Table223[[#This Row],[Qty]]-Table223[[#This Row],[Issue Qty]]</f>
        <v>1</v>
      </c>
      <c r="J398" s="5">
        <v>2000</v>
      </c>
      <c r="K398" s="5">
        <f t="shared" si="20"/>
        <v>2000</v>
      </c>
      <c r="L398" s="82">
        <v>0.18</v>
      </c>
      <c r="M398" s="9">
        <f t="shared" si="21"/>
        <v>360</v>
      </c>
      <c r="N398" s="5">
        <v>0</v>
      </c>
      <c r="O398" s="5"/>
      <c r="P398" s="5">
        <f t="shared" si="22"/>
        <v>2360</v>
      </c>
      <c r="Q398" s="1" t="s">
        <v>726</v>
      </c>
      <c r="R398" s="1" t="s">
        <v>726</v>
      </c>
      <c r="S398" s="1" t="s">
        <v>358</v>
      </c>
      <c r="T398" s="1" t="s">
        <v>2116</v>
      </c>
      <c r="U398" s="1"/>
      <c r="V398" s="1"/>
      <c r="W398" s="8" t="s">
        <v>688</v>
      </c>
      <c r="X398" s="8"/>
      <c r="Y398" s="8"/>
      <c r="Z398" s="22"/>
      <c r="AA398" s="1"/>
      <c r="AB398" s="29" t="s">
        <v>842</v>
      </c>
      <c r="AC398" s="1"/>
      <c r="AD398" s="50"/>
    </row>
    <row r="399" spans="1:30" s="51" customFormat="1" x14ac:dyDescent="0.25">
      <c r="A399" s="4"/>
      <c r="B399" s="4">
        <v>45762</v>
      </c>
      <c r="C399" s="1" t="s">
        <v>1989</v>
      </c>
      <c r="D399" s="1" t="s">
        <v>2117</v>
      </c>
      <c r="E399" s="169" t="s">
        <v>884</v>
      </c>
      <c r="F399" s="1" t="s">
        <v>885</v>
      </c>
      <c r="G399" s="8">
        <v>4</v>
      </c>
      <c r="H399" s="8">
        <v>4</v>
      </c>
      <c r="I399" s="115">
        <f>Table223[[#This Row],[Qty]]-Table223[[#This Row],[Issue Qty]]</f>
        <v>0</v>
      </c>
      <c r="J399" s="5">
        <v>461.86</v>
      </c>
      <c r="K399" s="5">
        <f t="shared" si="20"/>
        <v>1847.44</v>
      </c>
      <c r="L399" s="82">
        <v>0.18</v>
      </c>
      <c r="M399" s="9">
        <f t="shared" si="21"/>
        <v>332.53919999999999</v>
      </c>
      <c r="N399" s="5">
        <f>75*0.18+75+0.52</f>
        <v>89.02</v>
      </c>
      <c r="O399" s="5"/>
      <c r="P399" s="5">
        <f t="shared" si="22"/>
        <v>2268.9992000000002</v>
      </c>
      <c r="Q399" s="1" t="s">
        <v>726</v>
      </c>
      <c r="R399" s="1" t="s">
        <v>726</v>
      </c>
      <c r="S399" s="1" t="s">
        <v>886</v>
      </c>
      <c r="T399" s="1" t="s">
        <v>2118</v>
      </c>
      <c r="U399" s="1"/>
      <c r="V399" s="1"/>
      <c r="W399" s="8" t="s">
        <v>638</v>
      </c>
      <c r="X399" s="8" t="s">
        <v>1960</v>
      </c>
      <c r="Y399" s="8">
        <v>4</v>
      </c>
      <c r="Z399" s="22" t="s">
        <v>481</v>
      </c>
      <c r="AA399" s="1"/>
      <c r="AB399" s="29" t="s">
        <v>887</v>
      </c>
      <c r="AC399" s="1"/>
      <c r="AD399" s="50"/>
    </row>
    <row r="400" spans="1:30" s="51" customFormat="1" ht="45" x14ac:dyDescent="0.25">
      <c r="A400" s="4"/>
      <c r="B400" s="4">
        <v>45762</v>
      </c>
      <c r="C400" s="1" t="s">
        <v>1989</v>
      </c>
      <c r="D400" s="26" t="s">
        <v>2119</v>
      </c>
      <c r="E400" s="26" t="s">
        <v>888</v>
      </c>
      <c r="F400" s="1" t="s">
        <v>889</v>
      </c>
      <c r="G400" s="8">
        <v>2</v>
      </c>
      <c r="H400" s="8">
        <v>2</v>
      </c>
      <c r="I400" s="115">
        <f>Table223[[#This Row],[Qty]]-Table223[[#This Row],[Issue Qty]]</f>
        <v>0</v>
      </c>
      <c r="J400" s="5">
        <v>12000</v>
      </c>
      <c r="K400" s="5">
        <f t="shared" si="20"/>
        <v>24000</v>
      </c>
      <c r="L400" s="82">
        <v>0.18</v>
      </c>
      <c r="M400" s="9">
        <f t="shared" si="21"/>
        <v>4320</v>
      </c>
      <c r="N400" s="5">
        <v>0</v>
      </c>
      <c r="O400" s="5"/>
      <c r="P400" s="5">
        <f t="shared" si="22"/>
        <v>28320</v>
      </c>
      <c r="Q400" s="1" t="s">
        <v>890</v>
      </c>
      <c r="R400" s="1" t="s">
        <v>890</v>
      </c>
      <c r="S400" s="1" t="s">
        <v>794</v>
      </c>
      <c r="T400" s="1" t="s">
        <v>2120</v>
      </c>
      <c r="U400" s="1"/>
      <c r="V400" s="27"/>
      <c r="W400" s="28"/>
      <c r="X400" s="28"/>
      <c r="Y400" s="21">
        <v>2</v>
      </c>
      <c r="Z400" s="12" t="s">
        <v>145</v>
      </c>
      <c r="AA400" s="27"/>
      <c r="AB400" s="29"/>
      <c r="AC400" s="27"/>
      <c r="AD400" s="50"/>
    </row>
    <row r="401" spans="1:30" s="51" customFormat="1" x14ac:dyDescent="0.25">
      <c r="A401" s="4"/>
      <c r="B401" s="4">
        <v>45763</v>
      </c>
      <c r="C401" s="1" t="s">
        <v>1991</v>
      </c>
      <c r="D401" s="26" t="s">
        <v>2121</v>
      </c>
      <c r="E401" s="26" t="s">
        <v>891</v>
      </c>
      <c r="F401" s="1" t="s">
        <v>892</v>
      </c>
      <c r="G401" s="8">
        <v>1</v>
      </c>
      <c r="H401" s="8"/>
      <c r="I401" s="115">
        <f>Table223[[#This Row],[Qty]]-Table223[[#This Row],[Issue Qty]]</f>
        <v>1</v>
      </c>
      <c r="J401" s="5">
        <v>8400</v>
      </c>
      <c r="K401" s="5">
        <f t="shared" si="20"/>
        <v>8400</v>
      </c>
      <c r="L401" s="82">
        <v>0.18</v>
      </c>
      <c r="M401" s="9">
        <f t="shared" si="21"/>
        <v>1512</v>
      </c>
      <c r="N401" s="5"/>
      <c r="O401" s="5"/>
      <c r="P401" s="5">
        <f t="shared" si="22"/>
        <v>9912</v>
      </c>
      <c r="Q401" s="1" t="s">
        <v>726</v>
      </c>
      <c r="R401" s="1" t="s">
        <v>726</v>
      </c>
      <c r="S401" s="1" t="s">
        <v>893</v>
      </c>
      <c r="T401" s="1" t="s">
        <v>2122</v>
      </c>
      <c r="U401" s="1"/>
      <c r="V401" s="1"/>
      <c r="W401" s="8"/>
      <c r="X401" s="8"/>
      <c r="Y401" s="8">
        <v>1</v>
      </c>
      <c r="Z401" s="22" t="s">
        <v>481</v>
      </c>
      <c r="AA401" s="1"/>
      <c r="AB401" s="29"/>
      <c r="AC401" s="1"/>
      <c r="AD401" s="50"/>
    </row>
    <row r="402" spans="1:30" s="51" customFormat="1" x14ac:dyDescent="0.25">
      <c r="A402" s="4"/>
      <c r="B402" s="4">
        <v>45763</v>
      </c>
      <c r="C402" s="1" t="s">
        <v>1991</v>
      </c>
      <c r="D402" s="26" t="s">
        <v>2121</v>
      </c>
      <c r="E402" s="26" t="s">
        <v>891</v>
      </c>
      <c r="F402" s="1" t="s">
        <v>894</v>
      </c>
      <c r="G402" s="8">
        <v>1</v>
      </c>
      <c r="H402" s="8"/>
      <c r="I402" s="115">
        <f>Table223[[#This Row],[Qty]]-Table223[[#This Row],[Issue Qty]]</f>
        <v>1</v>
      </c>
      <c r="J402" s="5">
        <v>8400</v>
      </c>
      <c r="K402" s="5">
        <f t="shared" si="20"/>
        <v>8400</v>
      </c>
      <c r="L402" s="82">
        <v>0.18</v>
      </c>
      <c r="M402" s="9">
        <f t="shared" si="21"/>
        <v>1512</v>
      </c>
      <c r="N402" s="5">
        <v>0</v>
      </c>
      <c r="O402" s="5"/>
      <c r="P402" s="5">
        <f t="shared" si="22"/>
        <v>9912</v>
      </c>
      <c r="Q402" s="1" t="s">
        <v>726</v>
      </c>
      <c r="R402" s="1" t="s">
        <v>726</v>
      </c>
      <c r="S402" s="1" t="s">
        <v>893</v>
      </c>
      <c r="T402" s="1" t="s">
        <v>2123</v>
      </c>
      <c r="U402" s="1"/>
      <c r="V402" s="1"/>
      <c r="W402" s="8"/>
      <c r="X402" s="8"/>
      <c r="Y402" s="8">
        <v>1</v>
      </c>
      <c r="Z402" s="22" t="s">
        <v>481</v>
      </c>
      <c r="AA402" s="1"/>
      <c r="AB402" s="29"/>
      <c r="AC402" s="1"/>
      <c r="AD402" s="50"/>
    </row>
    <row r="403" spans="1:30" s="51" customFormat="1" x14ac:dyDescent="0.25">
      <c r="A403" s="4"/>
      <c r="B403" s="4">
        <v>45763</v>
      </c>
      <c r="C403" s="1" t="s">
        <v>1989</v>
      </c>
      <c r="D403" s="1" t="s">
        <v>2049</v>
      </c>
      <c r="E403" s="1" t="s">
        <v>790</v>
      </c>
      <c r="F403" s="1" t="s">
        <v>895</v>
      </c>
      <c r="G403" s="8">
        <v>12</v>
      </c>
      <c r="H403" s="8"/>
      <c r="I403" s="115">
        <f>Table223[[#This Row],[Qty]]-Table223[[#This Row],[Issue Qty]]</f>
        <v>12</v>
      </c>
      <c r="J403" s="5">
        <v>400</v>
      </c>
      <c r="K403" s="5">
        <f t="shared" si="20"/>
        <v>4800</v>
      </c>
      <c r="L403" s="82">
        <v>0.18</v>
      </c>
      <c r="M403" s="9">
        <f t="shared" si="21"/>
        <v>864</v>
      </c>
      <c r="N403" s="5">
        <v>0</v>
      </c>
      <c r="O403" s="5"/>
      <c r="P403" s="5">
        <f t="shared" si="22"/>
        <v>5664</v>
      </c>
      <c r="Q403" s="1" t="s">
        <v>606</v>
      </c>
      <c r="R403" s="1" t="s">
        <v>606</v>
      </c>
      <c r="S403" s="1" t="s">
        <v>896</v>
      </c>
      <c r="T403" s="1" t="s">
        <v>2124</v>
      </c>
      <c r="U403" s="1"/>
      <c r="V403" s="27"/>
      <c r="W403" s="28"/>
      <c r="X403" s="28"/>
      <c r="Y403" s="21">
        <v>12</v>
      </c>
      <c r="Z403" s="12" t="s">
        <v>81</v>
      </c>
      <c r="AA403" s="27"/>
      <c r="AB403" s="29" t="s">
        <v>793</v>
      </c>
      <c r="AC403" s="27"/>
      <c r="AD403" s="50"/>
    </row>
    <row r="404" spans="1:30" s="51" customFormat="1" x14ac:dyDescent="0.25">
      <c r="A404" s="4"/>
      <c r="B404" s="4">
        <v>45764</v>
      </c>
      <c r="C404" s="1" t="s">
        <v>54</v>
      </c>
      <c r="D404" s="1" t="s">
        <v>2062</v>
      </c>
      <c r="E404" s="1" t="s">
        <v>810</v>
      </c>
      <c r="F404" s="1" t="s">
        <v>870</v>
      </c>
      <c r="G404" s="8">
        <v>1</v>
      </c>
      <c r="H404" s="8"/>
      <c r="I404" s="115">
        <f>Table223[[#This Row],[Qty]]-Table223[[#This Row],[Issue Qty]]</f>
        <v>1</v>
      </c>
      <c r="J404" s="5">
        <v>14454</v>
      </c>
      <c r="K404" s="5">
        <f t="shared" si="20"/>
        <v>14454</v>
      </c>
      <c r="L404" s="82">
        <v>0.18</v>
      </c>
      <c r="M404" s="9">
        <f t="shared" si="21"/>
        <v>2601.7199999999998</v>
      </c>
      <c r="N404" s="5">
        <v>0</v>
      </c>
      <c r="O404" s="5"/>
      <c r="P404" s="5">
        <f t="shared" si="22"/>
        <v>17055.72</v>
      </c>
      <c r="Q404" s="1" t="s">
        <v>606</v>
      </c>
      <c r="R404" s="1" t="s">
        <v>606</v>
      </c>
      <c r="S404" s="1" t="s">
        <v>829</v>
      </c>
      <c r="T404" s="1" t="s">
        <v>2074</v>
      </c>
      <c r="U404" s="1"/>
      <c r="V404" s="27"/>
      <c r="W404" s="8" t="s">
        <v>809</v>
      </c>
      <c r="X404" s="28"/>
      <c r="Y404" s="21">
        <v>1</v>
      </c>
      <c r="Z404" s="12" t="s">
        <v>2949</v>
      </c>
      <c r="AA404" s="27"/>
      <c r="AB404" s="29" t="s">
        <v>813</v>
      </c>
      <c r="AC404" s="27"/>
      <c r="AD404" s="50"/>
    </row>
    <row r="405" spans="1:30" s="51" customFormat="1" ht="30" x14ac:dyDescent="0.25">
      <c r="A405" s="4"/>
      <c r="B405" s="4">
        <v>45768</v>
      </c>
      <c r="C405" s="1" t="s">
        <v>54</v>
      </c>
      <c r="D405" s="26" t="s">
        <v>2125</v>
      </c>
      <c r="E405" s="26" t="s">
        <v>897</v>
      </c>
      <c r="F405" s="1" t="s">
        <v>897</v>
      </c>
      <c r="G405" s="8">
        <v>1</v>
      </c>
      <c r="H405" s="8"/>
      <c r="I405" s="115">
        <f>Table223[[#This Row],[Qty]]-Table223[[#This Row],[Issue Qty]]</f>
        <v>1</v>
      </c>
      <c r="J405" s="5">
        <v>239</v>
      </c>
      <c r="K405" s="5">
        <f t="shared" si="20"/>
        <v>239</v>
      </c>
      <c r="L405" s="82">
        <v>0.05</v>
      </c>
      <c r="M405" s="9">
        <f t="shared" si="21"/>
        <v>11.950000000000001</v>
      </c>
      <c r="N405" s="5">
        <v>108</v>
      </c>
      <c r="O405" s="5"/>
      <c r="P405" s="5">
        <f t="shared" si="22"/>
        <v>358.95</v>
      </c>
      <c r="Q405" s="1" t="s">
        <v>726</v>
      </c>
      <c r="R405" s="1" t="s">
        <v>726</v>
      </c>
      <c r="S405" s="1" t="s">
        <v>749</v>
      </c>
      <c r="T405" s="1" t="s">
        <v>2126</v>
      </c>
      <c r="U405" s="1"/>
      <c r="V405" s="1"/>
      <c r="W405" s="8" t="s">
        <v>688</v>
      </c>
      <c r="X405" s="8"/>
      <c r="Y405" s="8"/>
      <c r="Z405" s="22"/>
      <c r="AA405" s="1"/>
      <c r="AB405" s="29"/>
      <c r="AC405" s="1"/>
      <c r="AD405" s="50"/>
    </row>
    <row r="406" spans="1:30" s="51" customFormat="1" x14ac:dyDescent="0.25">
      <c r="A406" s="4"/>
      <c r="B406" s="4">
        <v>45768</v>
      </c>
      <c r="C406" s="1" t="s">
        <v>1989</v>
      </c>
      <c r="D406" s="1" t="s">
        <v>2117</v>
      </c>
      <c r="E406" s="169" t="s">
        <v>884</v>
      </c>
      <c r="F406" s="1" t="s">
        <v>898</v>
      </c>
      <c r="G406" s="8">
        <v>4</v>
      </c>
      <c r="H406" s="8">
        <v>4</v>
      </c>
      <c r="I406" s="115">
        <f>Table223[[#This Row],[Qty]]-Table223[[#This Row],[Issue Qty]]</f>
        <v>0</v>
      </c>
      <c r="J406" s="5">
        <v>249.99</v>
      </c>
      <c r="K406" s="5">
        <f t="shared" si="20"/>
        <v>999.96</v>
      </c>
      <c r="L406" s="82">
        <v>0.18</v>
      </c>
      <c r="M406" s="9">
        <f t="shared" si="21"/>
        <v>179.99279999999999</v>
      </c>
      <c r="N406" s="5">
        <v>0</v>
      </c>
      <c r="O406" s="5"/>
      <c r="P406" s="5">
        <f t="shared" si="22"/>
        <v>1179.9528</v>
      </c>
      <c r="Q406" s="1" t="s">
        <v>726</v>
      </c>
      <c r="R406" s="1" t="s">
        <v>726</v>
      </c>
      <c r="S406" s="1" t="s">
        <v>899</v>
      </c>
      <c r="T406" s="1" t="s">
        <v>2127</v>
      </c>
      <c r="U406" s="1"/>
      <c r="V406" s="1"/>
      <c r="W406" s="8" t="s">
        <v>638</v>
      </c>
      <c r="X406" s="8"/>
      <c r="Y406" s="8">
        <v>4</v>
      </c>
      <c r="Z406" s="22" t="s">
        <v>481</v>
      </c>
      <c r="AA406" s="1"/>
      <c r="AB406" s="29" t="s">
        <v>887</v>
      </c>
      <c r="AC406" s="1"/>
      <c r="AD406" s="50"/>
    </row>
    <row r="407" spans="1:30" s="51" customFormat="1" x14ac:dyDescent="0.25">
      <c r="A407" s="4"/>
      <c r="B407" s="4">
        <v>45768</v>
      </c>
      <c r="C407" s="1" t="s">
        <v>1989</v>
      </c>
      <c r="D407" s="1" t="s">
        <v>2128</v>
      </c>
      <c r="E407" s="169" t="s">
        <v>900</v>
      </c>
      <c r="F407" s="1" t="s">
        <v>901</v>
      </c>
      <c r="G407" s="8">
        <v>1</v>
      </c>
      <c r="H407" s="8">
        <v>1</v>
      </c>
      <c r="I407" s="115">
        <f>Table223[[#This Row],[Qty]]-Table223[[#This Row],[Issue Qty]]</f>
        <v>0</v>
      </c>
      <c r="J407" s="5">
        <v>2495.2800000000002</v>
      </c>
      <c r="K407" s="5">
        <f t="shared" si="20"/>
        <v>2495.2800000000002</v>
      </c>
      <c r="L407" s="82">
        <v>0</v>
      </c>
      <c r="M407" s="9">
        <f t="shared" si="21"/>
        <v>0</v>
      </c>
      <c r="N407" s="5">
        <f>150+27</f>
        <v>177</v>
      </c>
      <c r="O407" s="5"/>
      <c r="P407" s="5">
        <f t="shared" si="22"/>
        <v>2672.28</v>
      </c>
      <c r="Q407" s="1" t="s">
        <v>726</v>
      </c>
      <c r="R407" s="1" t="s">
        <v>726</v>
      </c>
      <c r="S407" s="1" t="s">
        <v>746</v>
      </c>
      <c r="T407" s="1" t="s">
        <v>2129</v>
      </c>
      <c r="U407" s="1"/>
      <c r="V407" s="27"/>
      <c r="W407" s="28"/>
      <c r="X407" s="28"/>
      <c r="Y407" s="21">
        <v>1</v>
      </c>
      <c r="Z407" s="12" t="s">
        <v>81</v>
      </c>
      <c r="AA407" s="27"/>
      <c r="AB407" s="29"/>
      <c r="AC407" s="27"/>
      <c r="AD407" s="50"/>
    </row>
    <row r="408" spans="1:30" s="51" customFormat="1" x14ac:dyDescent="0.25">
      <c r="A408" s="4"/>
      <c r="B408" s="4">
        <v>45771</v>
      </c>
      <c r="C408" s="1" t="s">
        <v>54</v>
      </c>
      <c r="D408" s="1" t="s">
        <v>1988</v>
      </c>
      <c r="E408" s="1" t="s">
        <v>685</v>
      </c>
      <c r="F408" s="1" t="s">
        <v>685</v>
      </c>
      <c r="G408" s="8">
        <v>2</v>
      </c>
      <c r="H408" s="8"/>
      <c r="I408" s="115">
        <f>Table223[[#This Row],[Qty]]-Table223[[#This Row],[Issue Qty]]</f>
        <v>2</v>
      </c>
      <c r="J408" s="5"/>
      <c r="K408" s="5">
        <f t="shared" si="20"/>
        <v>0</v>
      </c>
      <c r="L408" s="82">
        <v>0</v>
      </c>
      <c r="M408" s="9">
        <f t="shared" si="21"/>
        <v>0</v>
      </c>
      <c r="N408" s="5"/>
      <c r="O408" s="5"/>
      <c r="P408" s="5">
        <f t="shared" si="22"/>
        <v>0</v>
      </c>
      <c r="Q408" s="1" t="s">
        <v>726</v>
      </c>
      <c r="R408" s="1" t="s">
        <v>726</v>
      </c>
      <c r="S408" s="1" t="s">
        <v>687</v>
      </c>
      <c r="T408" s="1"/>
      <c r="U408" s="1"/>
      <c r="V408" s="27"/>
      <c r="W408" s="28" t="s">
        <v>688</v>
      </c>
      <c r="X408" s="28"/>
      <c r="Y408" s="21"/>
      <c r="Z408" s="12"/>
      <c r="AA408" s="27"/>
      <c r="AB408" s="29" t="s">
        <v>689</v>
      </c>
      <c r="AC408" s="27"/>
      <c r="AD408" s="50"/>
    </row>
    <row r="409" spans="1:30" s="51" customFormat="1" ht="30" x14ac:dyDescent="0.25">
      <c r="A409" s="4"/>
      <c r="B409" s="4">
        <v>45771</v>
      </c>
      <c r="C409" s="1" t="s">
        <v>54</v>
      </c>
      <c r="D409" s="26" t="s">
        <v>1971</v>
      </c>
      <c r="E409" s="26" t="s">
        <v>654</v>
      </c>
      <c r="F409" s="1" t="s">
        <v>871</v>
      </c>
      <c r="G409" s="8">
        <v>100</v>
      </c>
      <c r="H409" s="8">
        <v>40</v>
      </c>
      <c r="I409" s="115">
        <f>Table223[[#This Row],[Qty]]-Table223[[#This Row],[Issue Qty]]</f>
        <v>60</v>
      </c>
      <c r="J409" s="5">
        <v>59.676200000000001</v>
      </c>
      <c r="K409" s="5">
        <f t="shared" si="20"/>
        <v>5967.62</v>
      </c>
      <c r="L409" s="82">
        <v>0.05</v>
      </c>
      <c r="M409" s="9">
        <f t="shared" si="21"/>
        <v>298.38100000000003</v>
      </c>
      <c r="N409" s="5">
        <v>203</v>
      </c>
      <c r="O409" s="5"/>
      <c r="P409" s="5">
        <f t="shared" si="22"/>
        <v>6469.0010000000002</v>
      </c>
      <c r="Q409" s="1" t="s">
        <v>726</v>
      </c>
      <c r="R409" s="1" t="s">
        <v>726</v>
      </c>
      <c r="S409" s="1" t="s">
        <v>691</v>
      </c>
      <c r="T409" s="1" t="s">
        <v>2130</v>
      </c>
      <c r="U409" s="1"/>
      <c r="V409" s="1"/>
      <c r="W409" s="21" t="s">
        <v>33</v>
      </c>
      <c r="X409" s="21" t="s">
        <v>34</v>
      </c>
      <c r="Y409" s="8">
        <v>40</v>
      </c>
      <c r="Z409" s="22" t="s">
        <v>902</v>
      </c>
      <c r="AA409" s="1"/>
      <c r="AB409" s="29"/>
      <c r="AC409" s="1"/>
      <c r="AD409" s="50"/>
    </row>
    <row r="410" spans="1:30" s="51" customFormat="1" x14ac:dyDescent="0.25">
      <c r="A410" s="4"/>
      <c r="B410" s="4">
        <v>45771</v>
      </c>
      <c r="C410" s="1" t="s">
        <v>1989</v>
      </c>
      <c r="D410" s="1" t="s">
        <v>2049</v>
      </c>
      <c r="E410" s="1" t="s">
        <v>790</v>
      </c>
      <c r="F410" s="1" t="s">
        <v>903</v>
      </c>
      <c r="G410" s="8">
        <v>12</v>
      </c>
      <c r="H410" s="8"/>
      <c r="I410" s="115">
        <f>Table223[[#This Row],[Qty]]-Table223[[#This Row],[Issue Qty]]</f>
        <v>12</v>
      </c>
      <c r="J410" s="5">
        <v>300</v>
      </c>
      <c r="K410" s="5">
        <f t="shared" si="20"/>
        <v>3600</v>
      </c>
      <c r="L410" s="82">
        <v>0.18</v>
      </c>
      <c r="M410" s="9">
        <f t="shared" si="21"/>
        <v>648</v>
      </c>
      <c r="N410" s="5">
        <v>0</v>
      </c>
      <c r="O410" s="5"/>
      <c r="P410" s="5">
        <f t="shared" si="22"/>
        <v>4248</v>
      </c>
      <c r="Q410" s="1" t="s">
        <v>606</v>
      </c>
      <c r="R410" s="1" t="s">
        <v>606</v>
      </c>
      <c r="S410" s="1" t="s">
        <v>896</v>
      </c>
      <c r="T410" s="1" t="s">
        <v>2131</v>
      </c>
      <c r="U410" s="1"/>
      <c r="V410" s="27"/>
      <c r="W410" s="28"/>
      <c r="X410" s="28"/>
      <c r="Y410" s="21">
        <v>12</v>
      </c>
      <c r="Z410" s="12" t="s">
        <v>606</v>
      </c>
      <c r="AA410" s="27"/>
      <c r="AB410" s="29" t="s">
        <v>793</v>
      </c>
      <c r="AC410" s="27"/>
      <c r="AD410" s="50"/>
    </row>
    <row r="411" spans="1:30" s="51" customFormat="1" x14ac:dyDescent="0.25">
      <c r="A411" s="4"/>
      <c r="B411" s="4">
        <v>45771</v>
      </c>
      <c r="C411" s="1" t="s">
        <v>54</v>
      </c>
      <c r="D411" s="1" t="s">
        <v>2062</v>
      </c>
      <c r="E411" s="1" t="s">
        <v>810</v>
      </c>
      <c r="F411" s="1" t="s">
        <v>870</v>
      </c>
      <c r="G411" s="8">
        <v>7</v>
      </c>
      <c r="H411" s="8"/>
      <c r="I411" s="115">
        <f>Table223[[#This Row],[Qty]]-Table223[[#This Row],[Issue Qty]]</f>
        <v>7</v>
      </c>
      <c r="J411" s="5">
        <v>14454</v>
      </c>
      <c r="K411" s="5">
        <f t="shared" si="20"/>
        <v>101178</v>
      </c>
      <c r="L411" s="82">
        <v>0.18</v>
      </c>
      <c r="M411" s="9">
        <f t="shared" si="21"/>
        <v>18212.04</v>
      </c>
      <c r="N411" s="5"/>
      <c r="O411" s="5"/>
      <c r="P411" s="5">
        <f t="shared" si="22"/>
        <v>119390.04000000001</v>
      </c>
      <c r="Q411" s="1" t="s">
        <v>606</v>
      </c>
      <c r="R411" s="1" t="s">
        <v>606</v>
      </c>
      <c r="S411" s="1" t="s">
        <v>829</v>
      </c>
      <c r="T411" s="1" t="s">
        <v>2074</v>
      </c>
      <c r="U411" s="1"/>
      <c r="V411" s="27"/>
      <c r="W411" s="8" t="s">
        <v>809</v>
      </c>
      <c r="X411" s="28"/>
      <c r="Y411" s="21"/>
      <c r="Z411" s="12"/>
      <c r="AA411" s="27"/>
      <c r="AB411" s="29" t="s">
        <v>813</v>
      </c>
      <c r="AC411" s="27"/>
      <c r="AD411" s="50"/>
    </row>
    <row r="412" spans="1:30" s="51" customFormat="1" ht="30" x14ac:dyDescent="0.25">
      <c r="A412" s="4"/>
      <c r="B412" s="4">
        <v>45771</v>
      </c>
      <c r="C412" s="1" t="s">
        <v>1989</v>
      </c>
      <c r="D412" s="26" t="s">
        <v>2020</v>
      </c>
      <c r="E412" s="26" t="s">
        <v>740</v>
      </c>
      <c r="F412" s="1" t="s">
        <v>741</v>
      </c>
      <c r="G412" s="8">
        <v>100</v>
      </c>
      <c r="H412" s="8">
        <v>50</v>
      </c>
      <c r="I412" s="115">
        <f>Table223[[#This Row],[Qty]]-Table223[[#This Row],[Issue Qty]]</f>
        <v>50</v>
      </c>
      <c r="J412" s="5">
        <v>371.42860000000002</v>
      </c>
      <c r="K412" s="5">
        <f t="shared" si="20"/>
        <v>37142.86</v>
      </c>
      <c r="L412" s="82">
        <v>0.05</v>
      </c>
      <c r="M412" s="9">
        <f t="shared" si="21"/>
        <v>1857.143</v>
      </c>
      <c r="N412" s="5">
        <v>450</v>
      </c>
      <c r="O412" s="5"/>
      <c r="P412" s="5">
        <f t="shared" si="22"/>
        <v>39450.002999999997</v>
      </c>
      <c r="Q412" s="1" t="s">
        <v>726</v>
      </c>
      <c r="R412" s="1" t="s">
        <v>726</v>
      </c>
      <c r="S412" s="1" t="s">
        <v>691</v>
      </c>
      <c r="T412" s="1" t="s">
        <v>2132</v>
      </c>
      <c r="U412" s="1"/>
      <c r="V412" s="1"/>
      <c r="W412" s="21" t="s">
        <v>22</v>
      </c>
      <c r="X412" s="21" t="s">
        <v>1963</v>
      </c>
      <c r="Y412" s="8">
        <v>50</v>
      </c>
      <c r="Z412" s="22" t="s">
        <v>474</v>
      </c>
      <c r="AA412" s="1"/>
      <c r="AB412" s="29"/>
      <c r="AC412" s="1"/>
      <c r="AD412" s="50"/>
    </row>
    <row r="413" spans="1:30" s="51" customFormat="1" x14ac:dyDescent="0.25">
      <c r="A413" s="4"/>
      <c r="B413" s="4">
        <v>45775</v>
      </c>
      <c r="C413" s="1" t="s">
        <v>54</v>
      </c>
      <c r="D413" s="1" t="s">
        <v>2083</v>
      </c>
      <c r="E413" s="1" t="s">
        <v>840</v>
      </c>
      <c r="F413" s="1" t="s">
        <v>904</v>
      </c>
      <c r="G413" s="8">
        <v>5</v>
      </c>
      <c r="H413" s="8"/>
      <c r="I413" s="115">
        <f>Table223[[#This Row],[Qty]]-Table223[[#This Row],[Issue Qty]]</f>
        <v>5</v>
      </c>
      <c r="J413" s="5">
        <v>1531.2</v>
      </c>
      <c r="K413" s="5">
        <f t="shared" si="20"/>
        <v>7656</v>
      </c>
      <c r="L413" s="82">
        <v>0.18</v>
      </c>
      <c r="M413" s="9">
        <f t="shared" si="21"/>
        <v>1378.08</v>
      </c>
      <c r="N413" s="5">
        <f>1000*0.18+1000</f>
        <v>1180</v>
      </c>
      <c r="O413" s="5"/>
      <c r="P413" s="5">
        <f t="shared" si="22"/>
        <v>10214.08</v>
      </c>
      <c r="Q413" s="1" t="s">
        <v>726</v>
      </c>
      <c r="R413" s="1" t="s">
        <v>726</v>
      </c>
      <c r="S413" s="1" t="s">
        <v>358</v>
      </c>
      <c r="T413" s="1" t="s">
        <v>2133</v>
      </c>
      <c r="U413" s="1"/>
      <c r="V413" s="1"/>
      <c r="W413" s="21" t="s">
        <v>688</v>
      </c>
      <c r="X413" s="8"/>
      <c r="Y413" s="8"/>
      <c r="Z413" s="22"/>
      <c r="AA413" s="1"/>
      <c r="AB413" s="29" t="s">
        <v>842</v>
      </c>
      <c r="AC413" s="1"/>
      <c r="AD413" s="50"/>
    </row>
    <row r="414" spans="1:30" s="51" customFormat="1" x14ac:dyDescent="0.25">
      <c r="A414" s="4"/>
      <c r="B414" s="4">
        <v>45775</v>
      </c>
      <c r="C414" s="1" t="s">
        <v>54</v>
      </c>
      <c r="D414" s="1" t="s">
        <v>2083</v>
      </c>
      <c r="E414" s="1" t="s">
        <v>840</v>
      </c>
      <c r="F414" s="1" t="s">
        <v>905</v>
      </c>
      <c r="G414" s="8">
        <v>5</v>
      </c>
      <c r="H414" s="8"/>
      <c r="I414" s="115">
        <f>Table223[[#This Row],[Qty]]-Table223[[#This Row],[Issue Qty]]</f>
        <v>5</v>
      </c>
      <c r="J414" s="5">
        <v>1142.5999999999999</v>
      </c>
      <c r="K414" s="5">
        <f t="shared" si="20"/>
        <v>5713</v>
      </c>
      <c r="L414" s="82">
        <v>0.18</v>
      </c>
      <c r="M414" s="9">
        <f t="shared" si="21"/>
        <v>1028.3399999999999</v>
      </c>
      <c r="N414" s="5">
        <v>0</v>
      </c>
      <c r="O414" s="5"/>
      <c r="P414" s="5">
        <f t="shared" si="22"/>
        <v>6741.34</v>
      </c>
      <c r="Q414" s="1" t="s">
        <v>726</v>
      </c>
      <c r="R414" s="1" t="s">
        <v>726</v>
      </c>
      <c r="S414" s="1" t="s">
        <v>358</v>
      </c>
      <c r="T414" s="1" t="s">
        <v>2134</v>
      </c>
      <c r="U414" s="1"/>
      <c r="V414" s="1"/>
      <c r="W414" s="21" t="s">
        <v>688</v>
      </c>
      <c r="X414" s="8"/>
      <c r="Y414" s="8"/>
      <c r="Z414" s="22"/>
      <c r="AA414" s="1"/>
      <c r="AB414" s="29"/>
      <c r="AC414" s="1"/>
      <c r="AD414" s="50"/>
    </row>
    <row r="415" spans="1:30" s="51" customFormat="1" x14ac:dyDescent="0.25">
      <c r="A415" s="4"/>
      <c r="B415" s="4">
        <v>45775</v>
      </c>
      <c r="C415" s="1" t="s">
        <v>2003</v>
      </c>
      <c r="D415" s="26" t="s">
        <v>2135</v>
      </c>
      <c r="E415" s="26" t="s">
        <v>906</v>
      </c>
      <c r="F415" s="1" t="s">
        <v>906</v>
      </c>
      <c r="G415" s="8">
        <v>1</v>
      </c>
      <c r="H415" s="8"/>
      <c r="I415" s="115">
        <f>Table223[[#This Row],[Qty]]-Table223[[#This Row],[Issue Qty]]</f>
        <v>1</v>
      </c>
      <c r="J415" s="5">
        <v>4989</v>
      </c>
      <c r="K415" s="5">
        <f t="shared" si="20"/>
        <v>4989</v>
      </c>
      <c r="L415" s="82">
        <v>0.05</v>
      </c>
      <c r="M415" s="9">
        <f t="shared" si="21"/>
        <v>249.45000000000002</v>
      </c>
      <c r="N415" s="5">
        <v>21.55</v>
      </c>
      <c r="O415" s="5"/>
      <c r="P415" s="5">
        <f t="shared" si="22"/>
        <v>5260</v>
      </c>
      <c r="Q415" s="1" t="s">
        <v>907</v>
      </c>
      <c r="R415" s="1" t="s">
        <v>907</v>
      </c>
      <c r="S415" s="1" t="s">
        <v>691</v>
      </c>
      <c r="T415" s="1" t="s">
        <v>2136</v>
      </c>
      <c r="U415" s="1"/>
      <c r="V415" s="1"/>
      <c r="W415" s="21" t="s">
        <v>908</v>
      </c>
      <c r="X415" s="8"/>
      <c r="Y415" s="8"/>
      <c r="Z415" s="22"/>
      <c r="AA415" s="1"/>
      <c r="AB415" s="29"/>
      <c r="AC415" s="1"/>
      <c r="AD415" s="50"/>
    </row>
    <row r="416" spans="1:30" s="51" customFormat="1" x14ac:dyDescent="0.25">
      <c r="A416" s="4"/>
      <c r="B416" s="4">
        <v>45777</v>
      </c>
      <c r="C416" s="1" t="s">
        <v>54</v>
      </c>
      <c r="D416" s="1" t="s">
        <v>2083</v>
      </c>
      <c r="E416" s="1" t="s">
        <v>840</v>
      </c>
      <c r="F416" s="1" t="s">
        <v>909</v>
      </c>
      <c r="G416" s="8">
        <v>2</v>
      </c>
      <c r="H416" s="8"/>
      <c r="I416" s="115">
        <f>Table223[[#This Row],[Qty]]-Table223[[#This Row],[Issue Qty]]</f>
        <v>2</v>
      </c>
      <c r="J416" s="5">
        <v>1363</v>
      </c>
      <c r="K416" s="5">
        <f t="shared" si="20"/>
        <v>2726</v>
      </c>
      <c r="L416" s="82">
        <v>0.18</v>
      </c>
      <c r="M416" s="9">
        <f t="shared" si="21"/>
        <v>490.68</v>
      </c>
      <c r="N416" s="5">
        <v>0</v>
      </c>
      <c r="O416" s="5"/>
      <c r="P416" s="5">
        <f t="shared" si="22"/>
        <v>3216.68</v>
      </c>
      <c r="Q416" s="1" t="s">
        <v>726</v>
      </c>
      <c r="R416" s="1" t="s">
        <v>726</v>
      </c>
      <c r="S416" s="1" t="s">
        <v>358</v>
      </c>
      <c r="T416" s="1" t="s">
        <v>2137</v>
      </c>
      <c r="U416" s="1"/>
      <c r="V416" s="1"/>
      <c r="W416" s="21" t="s">
        <v>688</v>
      </c>
      <c r="X416" s="8"/>
      <c r="Y416" s="8"/>
      <c r="Z416" s="22"/>
      <c r="AA416" s="1"/>
      <c r="AB416" s="29"/>
      <c r="AC416" s="1"/>
      <c r="AD416" s="50"/>
    </row>
    <row r="417" spans="1:30" s="51" customFormat="1" x14ac:dyDescent="0.25">
      <c r="A417" s="4"/>
      <c r="B417" s="4">
        <v>45777</v>
      </c>
      <c r="C417" s="1" t="s">
        <v>54</v>
      </c>
      <c r="D417" s="1" t="s">
        <v>2083</v>
      </c>
      <c r="E417" s="1" t="s">
        <v>840</v>
      </c>
      <c r="F417" s="1" t="s">
        <v>910</v>
      </c>
      <c r="G417" s="8">
        <v>2</v>
      </c>
      <c r="H417" s="8"/>
      <c r="I417" s="115">
        <f>Table223[[#This Row],[Qty]]-Table223[[#This Row],[Issue Qty]]</f>
        <v>2</v>
      </c>
      <c r="J417" s="5">
        <v>1276</v>
      </c>
      <c r="K417" s="5">
        <f t="shared" si="20"/>
        <v>2552</v>
      </c>
      <c r="L417" s="82">
        <v>0.18</v>
      </c>
      <c r="M417" s="9">
        <f t="shared" si="21"/>
        <v>459.35999999999996</v>
      </c>
      <c r="N417" s="5">
        <v>0</v>
      </c>
      <c r="O417" s="5"/>
      <c r="P417" s="5">
        <f t="shared" si="22"/>
        <v>3011.36</v>
      </c>
      <c r="Q417" s="1" t="s">
        <v>726</v>
      </c>
      <c r="R417" s="1" t="s">
        <v>726</v>
      </c>
      <c r="S417" s="1" t="s">
        <v>358</v>
      </c>
      <c r="T417" s="1" t="s">
        <v>2137</v>
      </c>
      <c r="U417" s="1"/>
      <c r="V417" s="1"/>
      <c r="W417" s="21" t="s">
        <v>688</v>
      </c>
      <c r="X417" s="8"/>
      <c r="Y417" s="8"/>
      <c r="Z417" s="22"/>
      <c r="AA417" s="1"/>
      <c r="AB417" s="29"/>
      <c r="AC417" s="1"/>
      <c r="AD417" s="50"/>
    </row>
    <row r="418" spans="1:30" s="51" customFormat="1" x14ac:dyDescent="0.25">
      <c r="A418" s="4"/>
      <c r="B418" s="4">
        <v>45777</v>
      </c>
      <c r="C418" s="1" t="s">
        <v>54</v>
      </c>
      <c r="D418" s="1" t="s">
        <v>2138</v>
      </c>
      <c r="E418" s="1" t="s">
        <v>911</v>
      </c>
      <c r="F418" s="1" t="s">
        <v>912</v>
      </c>
      <c r="G418" s="58">
        <v>4</v>
      </c>
      <c r="H418" s="58"/>
      <c r="I418" s="159">
        <f>Table223[[#This Row],[Qty]]-Table223[[#This Row],[Issue Qty]]</f>
        <v>4</v>
      </c>
      <c r="J418" s="5">
        <v>139.19999999999999</v>
      </c>
      <c r="K418" s="5">
        <f t="shared" si="20"/>
        <v>556.79999999999995</v>
      </c>
      <c r="L418" s="82">
        <v>0.18</v>
      </c>
      <c r="M418" s="9">
        <f t="shared" si="21"/>
        <v>100.22399999999999</v>
      </c>
      <c r="N418" s="5">
        <v>0</v>
      </c>
      <c r="O418" s="5"/>
      <c r="P418" s="5">
        <f t="shared" si="22"/>
        <v>657.02399999999989</v>
      </c>
      <c r="Q418" s="1" t="s">
        <v>726</v>
      </c>
      <c r="R418" s="1" t="s">
        <v>726</v>
      </c>
      <c r="S418" s="1" t="s">
        <v>358</v>
      </c>
      <c r="T418" s="1" t="s">
        <v>2137</v>
      </c>
      <c r="U418" s="1"/>
      <c r="V418" s="1"/>
      <c r="W418" s="21" t="s">
        <v>688</v>
      </c>
      <c r="X418" s="8"/>
      <c r="Y418" s="8"/>
      <c r="Z418" s="22"/>
      <c r="AA418" s="1"/>
      <c r="AB418" s="29" t="s">
        <v>913</v>
      </c>
      <c r="AC418" s="1"/>
      <c r="AD418" s="50"/>
    </row>
    <row r="419" spans="1:30" s="51" customFormat="1" x14ac:dyDescent="0.25">
      <c r="A419" s="4"/>
      <c r="B419" s="4">
        <v>45779</v>
      </c>
      <c r="C419" s="1" t="s">
        <v>1991</v>
      </c>
      <c r="D419" s="1" t="s">
        <v>2139</v>
      </c>
      <c r="E419" s="1" t="s">
        <v>914</v>
      </c>
      <c r="F419" s="1" t="s">
        <v>914</v>
      </c>
      <c r="G419" s="8">
        <v>3</v>
      </c>
      <c r="H419" s="8"/>
      <c r="I419" s="115">
        <f>Table223[[#This Row],[Qty]]-Table223[[#This Row],[Issue Qty]]</f>
        <v>3</v>
      </c>
      <c r="J419" s="5">
        <v>196.58</v>
      </c>
      <c r="K419" s="5">
        <f t="shared" si="20"/>
        <v>589.74</v>
      </c>
      <c r="L419" s="82">
        <v>0.05</v>
      </c>
      <c r="M419" s="9">
        <f t="shared" si="21"/>
        <v>29.487000000000002</v>
      </c>
      <c r="N419" s="5">
        <v>0</v>
      </c>
      <c r="O419" s="5"/>
      <c r="P419" s="5">
        <f t="shared" si="22"/>
        <v>619.22699999999998</v>
      </c>
      <c r="Q419" s="1" t="s">
        <v>907</v>
      </c>
      <c r="R419" s="1" t="s">
        <v>907</v>
      </c>
      <c r="S419" s="1" t="s">
        <v>691</v>
      </c>
      <c r="T419" s="1" t="s">
        <v>2140</v>
      </c>
      <c r="U419" s="1"/>
      <c r="V419" s="27"/>
      <c r="W419" s="21" t="s">
        <v>72</v>
      </c>
      <c r="X419" s="21" t="s">
        <v>262</v>
      </c>
      <c r="Y419" s="21"/>
      <c r="Z419" s="12"/>
      <c r="AA419" s="27"/>
      <c r="AB419" s="29" t="s">
        <v>914</v>
      </c>
      <c r="AC419" s="27"/>
      <c r="AD419" s="50"/>
    </row>
    <row r="420" spans="1:30" s="51" customFormat="1" ht="30" x14ac:dyDescent="0.25">
      <c r="A420" s="4"/>
      <c r="B420" s="4">
        <v>45779</v>
      </c>
      <c r="C420" s="1" t="s">
        <v>2003</v>
      </c>
      <c r="D420" s="1" t="s">
        <v>2141</v>
      </c>
      <c r="E420" s="1" t="s">
        <v>915</v>
      </c>
      <c r="F420" s="1" t="s">
        <v>915</v>
      </c>
      <c r="G420" s="8">
        <v>2</v>
      </c>
      <c r="H420" s="8"/>
      <c r="I420" s="115">
        <f>Table223[[#This Row],[Qty]]-Table223[[#This Row],[Issue Qty]]</f>
        <v>2</v>
      </c>
      <c r="J420" s="5">
        <v>318.13499999999999</v>
      </c>
      <c r="K420" s="5">
        <f t="shared" si="20"/>
        <v>636.27</v>
      </c>
      <c r="L420" s="82">
        <v>0.18</v>
      </c>
      <c r="M420" s="9">
        <f t="shared" si="21"/>
        <v>114.5286</v>
      </c>
      <c r="N420" s="5">
        <v>0</v>
      </c>
      <c r="O420" s="5"/>
      <c r="P420" s="5">
        <f t="shared" si="22"/>
        <v>750.79859999999996</v>
      </c>
      <c r="Q420" s="1" t="s">
        <v>907</v>
      </c>
      <c r="R420" s="1" t="s">
        <v>907</v>
      </c>
      <c r="S420" s="1" t="s">
        <v>691</v>
      </c>
      <c r="T420" s="1" t="s">
        <v>2140</v>
      </c>
      <c r="U420" s="1"/>
      <c r="V420" s="1"/>
      <c r="W420" s="21" t="s">
        <v>48</v>
      </c>
      <c r="X420" s="8"/>
      <c r="Y420" s="8"/>
      <c r="Z420" s="22"/>
      <c r="AA420" s="1"/>
      <c r="AB420" s="29" t="s">
        <v>916</v>
      </c>
      <c r="AC420" s="1"/>
      <c r="AD420" s="50"/>
    </row>
    <row r="421" spans="1:30" s="51" customFormat="1" ht="45" x14ac:dyDescent="0.25">
      <c r="A421" s="4"/>
      <c r="B421" s="4">
        <v>45779</v>
      </c>
      <c r="C421" s="1" t="s">
        <v>1989</v>
      </c>
      <c r="D421" s="1" t="s">
        <v>2142</v>
      </c>
      <c r="E421" s="1" t="s">
        <v>917</v>
      </c>
      <c r="F421" s="1" t="s">
        <v>917</v>
      </c>
      <c r="G421" s="8">
        <v>2</v>
      </c>
      <c r="H421" s="8"/>
      <c r="I421" s="115">
        <f>Table223[[#This Row],[Qty]]-Table223[[#This Row],[Issue Qty]]</f>
        <v>2</v>
      </c>
      <c r="J421" s="5">
        <f>14635.29/2</f>
        <v>7317.6450000000004</v>
      </c>
      <c r="K421" s="5">
        <f t="shared" si="20"/>
        <v>14635.29</v>
      </c>
      <c r="L421" s="82">
        <v>0</v>
      </c>
      <c r="M421" s="9">
        <f t="shared" si="21"/>
        <v>0</v>
      </c>
      <c r="N421" s="5">
        <v>0</v>
      </c>
      <c r="O421" s="5"/>
      <c r="P421" s="5">
        <f t="shared" si="22"/>
        <v>14635.29</v>
      </c>
      <c r="Q421" s="1" t="s">
        <v>890</v>
      </c>
      <c r="R421" s="1" t="s">
        <v>890</v>
      </c>
      <c r="S421" s="1" t="s">
        <v>918</v>
      </c>
      <c r="T421" s="1" t="s">
        <v>2143</v>
      </c>
      <c r="U421" s="1"/>
      <c r="V421" s="27"/>
      <c r="W421" s="21" t="s">
        <v>89</v>
      </c>
      <c r="X421" s="28"/>
      <c r="Y421" s="21"/>
      <c r="Z421" s="12"/>
      <c r="AA421" s="27"/>
      <c r="AB421" s="29" t="s">
        <v>919</v>
      </c>
      <c r="AC421" s="27"/>
      <c r="AD421" s="50"/>
    </row>
    <row r="422" spans="1:30" s="51" customFormat="1" ht="30" x14ac:dyDescent="0.25">
      <c r="A422" s="4"/>
      <c r="B422" s="4">
        <v>45779</v>
      </c>
      <c r="C422" s="1" t="s">
        <v>1991</v>
      </c>
      <c r="D422" s="1" t="s">
        <v>2144</v>
      </c>
      <c r="E422" s="1" t="s">
        <v>920</v>
      </c>
      <c r="F422" s="1" t="s">
        <v>920</v>
      </c>
      <c r="G422" s="8">
        <v>1</v>
      </c>
      <c r="H422" s="8"/>
      <c r="I422" s="115">
        <f>Table223[[#This Row],[Qty]]-Table223[[#This Row],[Issue Qty]]</f>
        <v>1</v>
      </c>
      <c r="J422" s="5">
        <v>14285.49</v>
      </c>
      <c r="K422" s="5">
        <f t="shared" si="20"/>
        <v>14285.49</v>
      </c>
      <c r="L422" s="82">
        <v>0</v>
      </c>
      <c r="M422" s="9">
        <f t="shared" si="21"/>
        <v>0</v>
      </c>
      <c r="N422" s="5">
        <v>0</v>
      </c>
      <c r="O422" s="5"/>
      <c r="P422" s="5">
        <f t="shared" si="22"/>
        <v>14285.49</v>
      </c>
      <c r="Q422" s="1" t="s">
        <v>890</v>
      </c>
      <c r="R422" s="1" t="s">
        <v>890</v>
      </c>
      <c r="S422" s="1" t="s">
        <v>918</v>
      </c>
      <c r="T422" s="1" t="s">
        <v>2143</v>
      </c>
      <c r="U422" s="1"/>
      <c r="V422" s="27"/>
      <c r="W422" s="21" t="s">
        <v>89</v>
      </c>
      <c r="X422" s="28"/>
      <c r="Y422" s="21"/>
      <c r="Z422" s="12"/>
      <c r="AA422" s="27"/>
      <c r="AB422" s="29" t="s">
        <v>921</v>
      </c>
      <c r="AC422" s="27"/>
      <c r="AD422" s="50"/>
    </row>
    <row r="423" spans="1:30" s="51" customFormat="1" x14ac:dyDescent="0.25">
      <c r="A423" s="4"/>
      <c r="B423" s="4">
        <v>45779</v>
      </c>
      <c r="C423" s="1" t="s">
        <v>1989</v>
      </c>
      <c r="D423" s="1" t="s">
        <v>2145</v>
      </c>
      <c r="E423" s="1" t="s">
        <v>922</v>
      </c>
      <c r="F423" s="1" t="s">
        <v>922</v>
      </c>
      <c r="G423" s="8">
        <v>100</v>
      </c>
      <c r="H423" s="8">
        <v>22</v>
      </c>
      <c r="I423" s="115">
        <f>Table223[[#This Row],[Qty]]-Table223[[#This Row],[Issue Qty]]</f>
        <v>78</v>
      </c>
      <c r="J423" s="5">
        <v>11.0169</v>
      </c>
      <c r="K423" s="5">
        <f t="shared" si="20"/>
        <v>1101.69</v>
      </c>
      <c r="L423" s="82">
        <v>0.18</v>
      </c>
      <c r="M423" s="9">
        <f t="shared" si="21"/>
        <v>198.30420000000001</v>
      </c>
      <c r="N423" s="5">
        <v>0</v>
      </c>
      <c r="O423" s="5"/>
      <c r="P423" s="5">
        <f t="shared" si="22"/>
        <v>1299.9942000000001</v>
      </c>
      <c r="Q423" s="1" t="s">
        <v>726</v>
      </c>
      <c r="R423" s="1" t="s">
        <v>726</v>
      </c>
      <c r="S423" s="1" t="s">
        <v>691</v>
      </c>
      <c r="T423" s="1" t="s">
        <v>2146</v>
      </c>
      <c r="U423" s="1"/>
      <c r="V423" s="1"/>
      <c r="W423" s="21" t="s">
        <v>638</v>
      </c>
      <c r="X423" s="21" t="s">
        <v>1960</v>
      </c>
      <c r="Y423" s="8">
        <f>100-78</f>
        <v>22</v>
      </c>
      <c r="Z423" s="22" t="s">
        <v>474</v>
      </c>
      <c r="AA423" s="1"/>
      <c r="AB423" s="29" t="s">
        <v>923</v>
      </c>
      <c r="AC423" s="1"/>
      <c r="AD423" s="50"/>
    </row>
    <row r="424" spans="1:30" s="51" customFormat="1" x14ac:dyDescent="0.25">
      <c r="A424" s="4"/>
      <c r="B424" s="4">
        <v>45779</v>
      </c>
      <c r="C424" s="1" t="s">
        <v>1991</v>
      </c>
      <c r="D424" s="1" t="s">
        <v>2147</v>
      </c>
      <c r="E424" s="1" t="s">
        <v>924</v>
      </c>
      <c r="F424" s="1" t="s">
        <v>924</v>
      </c>
      <c r="G424" s="8">
        <v>1</v>
      </c>
      <c r="H424" s="8"/>
      <c r="I424" s="115">
        <f>Table223[[#This Row],[Qty]]-Table223[[#This Row],[Issue Qty]]</f>
        <v>1</v>
      </c>
      <c r="J424" s="5">
        <v>23784.41</v>
      </c>
      <c r="K424" s="5">
        <f t="shared" si="20"/>
        <v>23784.41</v>
      </c>
      <c r="L424" s="82">
        <v>0</v>
      </c>
      <c r="M424" s="9">
        <f t="shared" si="21"/>
        <v>0</v>
      </c>
      <c r="N424" s="5">
        <v>0</v>
      </c>
      <c r="O424" s="5"/>
      <c r="P424" s="5">
        <f t="shared" si="22"/>
        <v>23784.41</v>
      </c>
      <c r="Q424" s="1" t="s">
        <v>890</v>
      </c>
      <c r="R424" s="1" t="s">
        <v>890</v>
      </c>
      <c r="S424" s="1" t="s">
        <v>918</v>
      </c>
      <c r="T424" s="1" t="s">
        <v>2143</v>
      </c>
      <c r="U424" s="1"/>
      <c r="V424" s="27"/>
      <c r="W424" s="21" t="s">
        <v>89</v>
      </c>
      <c r="X424" s="28"/>
      <c r="Y424" s="21"/>
      <c r="Z424" s="12"/>
      <c r="AA424" s="27"/>
      <c r="AB424" s="29" t="s">
        <v>925</v>
      </c>
      <c r="AC424" s="27"/>
      <c r="AD424" s="50"/>
    </row>
    <row r="425" spans="1:30" s="51" customFormat="1" x14ac:dyDescent="0.25">
      <c r="A425" s="4"/>
      <c r="B425" s="4">
        <v>45779</v>
      </c>
      <c r="C425" s="1" t="s">
        <v>1991</v>
      </c>
      <c r="D425" s="1" t="s">
        <v>2148</v>
      </c>
      <c r="E425" s="1" t="s">
        <v>926</v>
      </c>
      <c r="F425" s="1" t="s">
        <v>926</v>
      </c>
      <c r="G425" s="8">
        <v>1</v>
      </c>
      <c r="H425" s="8"/>
      <c r="I425" s="115">
        <f>Table223[[#This Row],[Qty]]-Table223[[#This Row],[Issue Qty]]</f>
        <v>1</v>
      </c>
      <c r="J425" s="5">
        <v>9147.2900000000009</v>
      </c>
      <c r="K425" s="5">
        <f t="shared" si="20"/>
        <v>9147.2900000000009</v>
      </c>
      <c r="L425" s="82">
        <v>0</v>
      </c>
      <c r="M425" s="9">
        <f t="shared" si="21"/>
        <v>0</v>
      </c>
      <c r="N425" s="5">
        <v>0</v>
      </c>
      <c r="O425" s="5"/>
      <c r="P425" s="5">
        <f t="shared" si="22"/>
        <v>9147.2900000000009</v>
      </c>
      <c r="Q425" s="1" t="s">
        <v>890</v>
      </c>
      <c r="R425" s="1" t="s">
        <v>890</v>
      </c>
      <c r="S425" s="1" t="s">
        <v>918</v>
      </c>
      <c r="T425" s="1" t="s">
        <v>2143</v>
      </c>
      <c r="U425" s="1"/>
      <c r="V425" s="27"/>
      <c r="W425" s="21" t="s">
        <v>89</v>
      </c>
      <c r="X425" s="28"/>
      <c r="Y425" s="21"/>
      <c r="Z425" s="12"/>
      <c r="AA425" s="27"/>
      <c r="AB425" s="29" t="s">
        <v>927</v>
      </c>
      <c r="AC425" s="27"/>
      <c r="AD425" s="50"/>
    </row>
    <row r="426" spans="1:30" s="51" customFormat="1" x14ac:dyDescent="0.25">
      <c r="A426" s="4"/>
      <c r="B426" s="4">
        <v>45779</v>
      </c>
      <c r="C426" s="1" t="s">
        <v>1991</v>
      </c>
      <c r="D426" s="1" t="s">
        <v>2149</v>
      </c>
      <c r="E426" s="1" t="s">
        <v>928</v>
      </c>
      <c r="F426" s="1" t="s">
        <v>928</v>
      </c>
      <c r="G426" s="8">
        <v>1</v>
      </c>
      <c r="H426" s="8"/>
      <c r="I426" s="115">
        <f>Table223[[#This Row],[Qty]]-Table223[[#This Row],[Issue Qty]]</f>
        <v>1</v>
      </c>
      <c r="J426" s="5">
        <v>214981.79</v>
      </c>
      <c r="K426" s="5">
        <f t="shared" si="20"/>
        <v>214981.79</v>
      </c>
      <c r="L426" s="82">
        <v>0</v>
      </c>
      <c r="M426" s="9">
        <f t="shared" si="21"/>
        <v>0</v>
      </c>
      <c r="N426" s="5">
        <v>0</v>
      </c>
      <c r="O426" s="5"/>
      <c r="P426" s="5">
        <f t="shared" si="22"/>
        <v>214981.79</v>
      </c>
      <c r="Q426" s="1" t="s">
        <v>890</v>
      </c>
      <c r="R426" s="1" t="s">
        <v>890</v>
      </c>
      <c r="S426" s="1" t="s">
        <v>918</v>
      </c>
      <c r="T426" s="1" t="s">
        <v>2143</v>
      </c>
      <c r="U426" s="1"/>
      <c r="V426" s="27"/>
      <c r="W426" s="21" t="s">
        <v>89</v>
      </c>
      <c r="X426" s="28"/>
      <c r="Y426" s="21"/>
      <c r="Z426" s="12"/>
      <c r="AA426" s="27"/>
      <c r="AB426" s="29" t="s">
        <v>929</v>
      </c>
      <c r="AC426" s="27"/>
      <c r="AD426" s="50"/>
    </row>
    <row r="427" spans="1:30" s="51" customFormat="1" ht="30" x14ac:dyDescent="0.25">
      <c r="A427" s="4"/>
      <c r="B427" s="4">
        <v>45779</v>
      </c>
      <c r="C427" s="1" t="s">
        <v>1991</v>
      </c>
      <c r="D427" s="1" t="s">
        <v>2150</v>
      </c>
      <c r="E427" s="1" t="s">
        <v>930</v>
      </c>
      <c r="F427" s="1" t="s">
        <v>930</v>
      </c>
      <c r="G427" s="8">
        <v>2</v>
      </c>
      <c r="H427" s="8"/>
      <c r="I427" s="115">
        <f>Table223[[#This Row],[Qty]]-Table223[[#This Row],[Issue Qty]]</f>
        <v>2</v>
      </c>
      <c r="J427" s="5">
        <f>36590.97/2</f>
        <v>18295.485000000001</v>
      </c>
      <c r="K427" s="5">
        <f t="shared" si="20"/>
        <v>36590.97</v>
      </c>
      <c r="L427" s="82">
        <v>0</v>
      </c>
      <c r="M427" s="9">
        <f t="shared" si="21"/>
        <v>0</v>
      </c>
      <c r="N427" s="5">
        <v>0</v>
      </c>
      <c r="O427" s="5"/>
      <c r="P427" s="5">
        <f t="shared" si="22"/>
        <v>36590.97</v>
      </c>
      <c r="Q427" s="1" t="s">
        <v>890</v>
      </c>
      <c r="R427" s="1" t="s">
        <v>890</v>
      </c>
      <c r="S427" s="1" t="s">
        <v>918</v>
      </c>
      <c r="T427" s="1" t="s">
        <v>2143</v>
      </c>
      <c r="U427" s="1"/>
      <c r="V427" s="27"/>
      <c r="W427" s="21" t="s">
        <v>89</v>
      </c>
      <c r="X427" s="28"/>
      <c r="Y427" s="21"/>
      <c r="Z427" s="12"/>
      <c r="AA427" s="27"/>
      <c r="AB427" s="29" t="s">
        <v>931</v>
      </c>
      <c r="AC427" s="27"/>
      <c r="AD427" s="50"/>
    </row>
    <row r="428" spans="1:30" s="51" customFormat="1" ht="30" x14ac:dyDescent="0.25">
      <c r="A428" s="4"/>
      <c r="B428" s="4">
        <v>45779</v>
      </c>
      <c r="C428" s="1" t="s">
        <v>1991</v>
      </c>
      <c r="D428" s="1" t="s">
        <v>2151</v>
      </c>
      <c r="E428" s="1" t="s">
        <v>932</v>
      </c>
      <c r="F428" s="1" t="s">
        <v>932</v>
      </c>
      <c r="G428" s="8">
        <v>1</v>
      </c>
      <c r="H428" s="8"/>
      <c r="I428" s="115">
        <f>Table223[[#This Row],[Qty]]-Table223[[#This Row],[Issue Qty]]</f>
        <v>1</v>
      </c>
      <c r="J428" s="5">
        <v>9556.77</v>
      </c>
      <c r="K428" s="5">
        <f t="shared" si="20"/>
        <v>9556.77</v>
      </c>
      <c r="L428" s="82">
        <v>0</v>
      </c>
      <c r="M428" s="9">
        <f t="shared" si="21"/>
        <v>0</v>
      </c>
      <c r="N428" s="5">
        <v>0</v>
      </c>
      <c r="O428" s="5"/>
      <c r="P428" s="5">
        <f t="shared" si="22"/>
        <v>9556.77</v>
      </c>
      <c r="Q428" s="1" t="s">
        <v>890</v>
      </c>
      <c r="R428" s="1" t="s">
        <v>890</v>
      </c>
      <c r="S428" s="1" t="s">
        <v>918</v>
      </c>
      <c r="T428" s="1" t="s">
        <v>2143</v>
      </c>
      <c r="U428" s="1"/>
      <c r="V428" s="27"/>
      <c r="W428" s="21" t="s">
        <v>89</v>
      </c>
      <c r="X428" s="28"/>
      <c r="Y428" s="21"/>
      <c r="Z428" s="12"/>
      <c r="AA428" s="27"/>
      <c r="AB428" s="29" t="s">
        <v>933</v>
      </c>
      <c r="AC428" s="27"/>
      <c r="AD428" s="50"/>
    </row>
    <row r="429" spans="1:30" s="51" customFormat="1" x14ac:dyDescent="0.25">
      <c r="A429" s="4"/>
      <c r="B429" s="4">
        <v>45779</v>
      </c>
      <c r="C429" s="1" t="s">
        <v>54</v>
      </c>
      <c r="D429" s="1" t="s">
        <v>2152</v>
      </c>
      <c r="E429" s="1" t="s">
        <v>934</v>
      </c>
      <c r="F429" s="1" t="s">
        <v>934</v>
      </c>
      <c r="G429" s="8">
        <v>2</v>
      </c>
      <c r="H429" s="8"/>
      <c r="I429" s="115">
        <f>Table223[[#This Row],[Qty]]-Table223[[#This Row],[Issue Qty]]</f>
        <v>2</v>
      </c>
      <c r="J429" s="5">
        <v>1345.115</v>
      </c>
      <c r="K429" s="5">
        <f t="shared" si="20"/>
        <v>2690.23</v>
      </c>
      <c r="L429" s="82">
        <v>0.05</v>
      </c>
      <c r="M429" s="9">
        <f t="shared" si="21"/>
        <v>134.51150000000001</v>
      </c>
      <c r="N429" s="5">
        <v>225.75</v>
      </c>
      <c r="O429" s="5"/>
      <c r="P429" s="5">
        <f t="shared" si="22"/>
        <v>3050.4915000000001</v>
      </c>
      <c r="Q429" s="1" t="s">
        <v>907</v>
      </c>
      <c r="R429" s="1" t="s">
        <v>907</v>
      </c>
      <c r="S429" s="1" t="s">
        <v>691</v>
      </c>
      <c r="T429" s="1" t="s">
        <v>2140</v>
      </c>
      <c r="U429" s="1"/>
      <c r="V429" s="1"/>
      <c r="W429" s="21" t="s">
        <v>33</v>
      </c>
      <c r="X429" s="8" t="s">
        <v>1963</v>
      </c>
      <c r="Y429" s="8"/>
      <c r="Z429" s="22"/>
      <c r="AA429" s="1"/>
      <c r="AB429" s="29" t="s">
        <v>935</v>
      </c>
      <c r="AC429" s="1"/>
      <c r="AD429" s="50"/>
    </row>
    <row r="430" spans="1:30" s="51" customFormat="1" x14ac:dyDescent="0.25">
      <c r="A430" s="4"/>
      <c r="B430" s="4">
        <v>45779</v>
      </c>
      <c r="C430" s="1" t="s">
        <v>54</v>
      </c>
      <c r="D430" s="1" t="s">
        <v>2152</v>
      </c>
      <c r="E430" s="1" t="s">
        <v>934</v>
      </c>
      <c r="F430" s="1" t="s">
        <v>934</v>
      </c>
      <c r="G430" s="8">
        <v>4</v>
      </c>
      <c r="H430" s="8">
        <v>4</v>
      </c>
      <c r="I430" s="115">
        <f>Table223[[#This Row],[Qty]]-Table223[[#This Row],[Issue Qty]]</f>
        <v>0</v>
      </c>
      <c r="J430" s="5">
        <v>1345.115</v>
      </c>
      <c r="K430" s="5">
        <f t="shared" si="20"/>
        <v>5380.46</v>
      </c>
      <c r="L430" s="82">
        <v>0.05</v>
      </c>
      <c r="M430" s="9">
        <f t="shared" si="21"/>
        <v>269.02300000000002</v>
      </c>
      <c r="N430" s="5">
        <v>225.75</v>
      </c>
      <c r="O430" s="5"/>
      <c r="P430" s="5">
        <f t="shared" si="22"/>
        <v>5875.2330000000002</v>
      </c>
      <c r="Q430" s="1" t="s">
        <v>907</v>
      </c>
      <c r="R430" s="1" t="s">
        <v>907</v>
      </c>
      <c r="S430" s="1" t="s">
        <v>691</v>
      </c>
      <c r="T430" s="1" t="s">
        <v>2140</v>
      </c>
      <c r="U430" s="1"/>
      <c r="V430" s="27"/>
      <c r="W430" s="21"/>
      <c r="X430" s="28"/>
      <c r="Y430" s="21">
        <v>4</v>
      </c>
      <c r="Z430" s="12" t="s">
        <v>2912</v>
      </c>
      <c r="AA430" s="27"/>
      <c r="AB430" s="29" t="s">
        <v>935</v>
      </c>
      <c r="AC430" s="27"/>
      <c r="AD430" s="50"/>
    </row>
    <row r="431" spans="1:30" s="51" customFormat="1" x14ac:dyDescent="0.25">
      <c r="A431" s="4"/>
      <c r="B431" s="4">
        <v>45780</v>
      </c>
      <c r="C431" s="1" t="s">
        <v>54</v>
      </c>
      <c r="D431" s="1" t="s">
        <v>2153</v>
      </c>
      <c r="E431" s="169" t="s">
        <v>937</v>
      </c>
      <c r="F431" s="1" t="s">
        <v>938</v>
      </c>
      <c r="G431" s="8">
        <v>2</v>
      </c>
      <c r="H431" s="8">
        <v>2</v>
      </c>
      <c r="I431" s="115">
        <f>Table223[[#This Row],[Qty]]-Table223[[#This Row],[Issue Qty]]</f>
        <v>0</v>
      </c>
      <c r="J431" s="5">
        <v>1670</v>
      </c>
      <c r="K431" s="5">
        <f t="shared" si="20"/>
        <v>3340</v>
      </c>
      <c r="L431" s="82">
        <v>0.05</v>
      </c>
      <c r="M431" s="9">
        <f t="shared" si="21"/>
        <v>167</v>
      </c>
      <c r="N431" s="5">
        <v>0</v>
      </c>
      <c r="O431" s="5"/>
      <c r="P431" s="5">
        <f t="shared" si="22"/>
        <v>3507</v>
      </c>
      <c r="Q431" s="1" t="s">
        <v>939</v>
      </c>
      <c r="R431" s="1" t="s">
        <v>939</v>
      </c>
      <c r="S431" s="1" t="s">
        <v>444</v>
      </c>
      <c r="T431" s="1" t="s">
        <v>2154</v>
      </c>
      <c r="U431" s="1"/>
      <c r="V431" s="27"/>
      <c r="W431" s="21"/>
      <c r="X431" s="28"/>
      <c r="Y431" s="21">
        <v>2</v>
      </c>
      <c r="Z431" s="12" t="s">
        <v>812</v>
      </c>
      <c r="AA431" s="27"/>
      <c r="AB431" s="29"/>
      <c r="AC431" s="27"/>
      <c r="AD431" s="50"/>
    </row>
    <row r="432" spans="1:30" s="51" customFormat="1" x14ac:dyDescent="0.25">
      <c r="A432" s="4"/>
      <c r="B432" s="4">
        <v>45780</v>
      </c>
      <c r="C432" s="1" t="s">
        <v>54</v>
      </c>
      <c r="D432" s="26" t="s">
        <v>1946</v>
      </c>
      <c r="E432" s="168" t="s">
        <v>610</v>
      </c>
      <c r="F432" s="1" t="s">
        <v>940</v>
      </c>
      <c r="G432" s="8">
        <v>3</v>
      </c>
      <c r="H432" s="8">
        <v>3</v>
      </c>
      <c r="I432" s="115">
        <f>Table223[[#This Row],[Qty]]-Table223[[#This Row],[Issue Qty]]</f>
        <v>0</v>
      </c>
      <c r="J432" s="5">
        <v>2500</v>
      </c>
      <c r="K432" s="5">
        <f t="shared" si="20"/>
        <v>7500</v>
      </c>
      <c r="L432" s="82">
        <v>0.05</v>
      </c>
      <c r="M432" s="9">
        <f t="shared" si="21"/>
        <v>375</v>
      </c>
      <c r="N432" s="5">
        <v>0</v>
      </c>
      <c r="O432" s="5"/>
      <c r="P432" s="5">
        <f t="shared" si="22"/>
        <v>7875</v>
      </c>
      <c r="Q432" s="1" t="s">
        <v>939</v>
      </c>
      <c r="R432" s="1" t="s">
        <v>939</v>
      </c>
      <c r="S432" s="1" t="s">
        <v>444</v>
      </c>
      <c r="T432" s="1" t="s">
        <v>2154</v>
      </c>
      <c r="U432" s="1"/>
      <c r="V432" s="1"/>
      <c r="W432" s="21" t="s">
        <v>33</v>
      </c>
      <c r="X432" s="8"/>
      <c r="Y432" s="8">
        <v>3</v>
      </c>
      <c r="Z432" s="12" t="s">
        <v>509</v>
      </c>
      <c r="AA432" s="1"/>
      <c r="AB432" s="29"/>
      <c r="AC432" s="1"/>
      <c r="AD432" s="50"/>
    </row>
    <row r="433" spans="1:30" s="51" customFormat="1" x14ac:dyDescent="0.25">
      <c r="A433" s="4"/>
      <c r="B433" s="4">
        <v>45780</v>
      </c>
      <c r="C433" s="1" t="s">
        <v>54</v>
      </c>
      <c r="D433" s="26" t="s">
        <v>1948</v>
      </c>
      <c r="E433" s="168" t="s">
        <v>613</v>
      </c>
      <c r="F433" s="1" t="s">
        <v>941</v>
      </c>
      <c r="G433" s="8">
        <v>3</v>
      </c>
      <c r="H433" s="8">
        <v>3</v>
      </c>
      <c r="I433" s="115">
        <f>Table223[[#This Row],[Qty]]-Table223[[#This Row],[Issue Qty]]</f>
        <v>0</v>
      </c>
      <c r="J433" s="5">
        <v>2500</v>
      </c>
      <c r="K433" s="5">
        <f t="shared" ref="K433:K496" si="23">G433*J433</f>
        <v>7500</v>
      </c>
      <c r="L433" s="82">
        <v>0.05</v>
      </c>
      <c r="M433" s="9">
        <f t="shared" ref="M433:M496" si="24">K433*L433</f>
        <v>375</v>
      </c>
      <c r="N433" s="5">
        <v>0</v>
      </c>
      <c r="O433" s="5"/>
      <c r="P433" s="5">
        <f t="shared" ref="P433:P496" si="25">K433+M433+N433+O433</f>
        <v>7875</v>
      </c>
      <c r="Q433" s="1" t="s">
        <v>939</v>
      </c>
      <c r="R433" s="1" t="s">
        <v>939</v>
      </c>
      <c r="S433" s="1" t="s">
        <v>444</v>
      </c>
      <c r="T433" s="1" t="s">
        <v>2154</v>
      </c>
      <c r="U433" s="1"/>
      <c r="V433" s="1"/>
      <c r="W433" s="21" t="s">
        <v>33</v>
      </c>
      <c r="X433" s="8"/>
      <c r="Y433" s="8">
        <v>3</v>
      </c>
      <c r="Z433" s="12" t="s">
        <v>509</v>
      </c>
      <c r="AA433" s="1"/>
      <c r="AB433" s="29"/>
      <c r="AC433" s="1"/>
      <c r="AD433" s="50"/>
    </row>
    <row r="434" spans="1:30" s="51" customFormat="1" x14ac:dyDescent="0.25">
      <c r="A434" s="4"/>
      <c r="B434" s="4">
        <v>45780</v>
      </c>
      <c r="C434" s="1" t="s">
        <v>1993</v>
      </c>
      <c r="D434" s="1" t="s">
        <v>2155</v>
      </c>
      <c r="E434" s="1" t="s">
        <v>942</v>
      </c>
      <c r="F434" s="1" t="s">
        <v>942</v>
      </c>
      <c r="G434" s="8">
        <v>1</v>
      </c>
      <c r="H434" s="8"/>
      <c r="I434" s="115">
        <f>Table223[[#This Row],[Qty]]-Table223[[#This Row],[Issue Qty]]</f>
        <v>1</v>
      </c>
      <c r="J434" s="5">
        <f>3*200</f>
        <v>600</v>
      </c>
      <c r="K434" s="5">
        <f t="shared" si="23"/>
        <v>600</v>
      </c>
      <c r="L434" s="82">
        <v>0.18</v>
      </c>
      <c r="M434" s="9">
        <f t="shared" si="24"/>
        <v>108</v>
      </c>
      <c r="N434" s="5">
        <v>0</v>
      </c>
      <c r="O434" s="5"/>
      <c r="P434" s="5">
        <f t="shared" si="25"/>
        <v>708</v>
      </c>
      <c r="Q434" s="1" t="s">
        <v>726</v>
      </c>
      <c r="R434" s="1" t="s">
        <v>726</v>
      </c>
      <c r="S434" s="1" t="s">
        <v>943</v>
      </c>
      <c r="T434" s="1" t="s">
        <v>2156</v>
      </c>
      <c r="U434" s="1"/>
      <c r="V434" s="1"/>
      <c r="W434" s="21"/>
      <c r="X434" s="21" t="s">
        <v>3336</v>
      </c>
      <c r="Y434" s="8"/>
      <c r="Z434" s="22"/>
      <c r="AA434" s="1"/>
      <c r="AB434" s="29" t="s">
        <v>945</v>
      </c>
      <c r="AC434" s="1"/>
      <c r="AD434" s="50"/>
    </row>
    <row r="435" spans="1:30" s="51" customFormat="1" x14ac:dyDescent="0.25">
      <c r="A435" s="4"/>
      <c r="B435" s="4">
        <v>45780</v>
      </c>
      <c r="C435" s="1" t="s">
        <v>1993</v>
      </c>
      <c r="D435" s="1" t="s">
        <v>2157</v>
      </c>
      <c r="E435" s="1" t="s">
        <v>946</v>
      </c>
      <c r="F435" s="1" t="s">
        <v>946</v>
      </c>
      <c r="G435" s="8">
        <v>1</v>
      </c>
      <c r="H435" s="8"/>
      <c r="I435" s="115">
        <f>Table223[[#This Row],[Qty]]-Table223[[#This Row],[Issue Qty]]</f>
        <v>1</v>
      </c>
      <c r="J435" s="5">
        <f>3.5*200</f>
        <v>700</v>
      </c>
      <c r="K435" s="5">
        <f t="shared" si="23"/>
        <v>700</v>
      </c>
      <c r="L435" s="82">
        <v>0.18</v>
      </c>
      <c r="M435" s="9">
        <f t="shared" si="24"/>
        <v>126</v>
      </c>
      <c r="N435" s="5">
        <v>0</v>
      </c>
      <c r="O435" s="5"/>
      <c r="P435" s="5">
        <f t="shared" si="25"/>
        <v>826</v>
      </c>
      <c r="Q435" s="1" t="s">
        <v>726</v>
      </c>
      <c r="R435" s="1" t="s">
        <v>726</v>
      </c>
      <c r="S435" s="1" t="s">
        <v>943</v>
      </c>
      <c r="T435" s="1" t="s">
        <v>2156</v>
      </c>
      <c r="U435" s="1"/>
      <c r="V435" s="1"/>
      <c r="W435" s="21"/>
      <c r="X435" s="21" t="s">
        <v>3336</v>
      </c>
      <c r="Y435" s="8"/>
      <c r="Z435" s="22"/>
      <c r="AA435" s="1"/>
      <c r="AB435" s="29" t="s">
        <v>945</v>
      </c>
      <c r="AC435" s="1"/>
      <c r="AD435" s="50"/>
    </row>
    <row r="436" spans="1:30" s="51" customFormat="1" x14ac:dyDescent="0.25">
      <c r="A436" s="4"/>
      <c r="B436" s="4">
        <v>45780</v>
      </c>
      <c r="C436" s="1" t="s">
        <v>1989</v>
      </c>
      <c r="D436" s="1" t="s">
        <v>2117</v>
      </c>
      <c r="E436" s="1" t="s">
        <v>884</v>
      </c>
      <c r="F436" s="1" t="s">
        <v>884</v>
      </c>
      <c r="G436" s="8">
        <v>70</v>
      </c>
      <c r="H436" s="8"/>
      <c r="I436" s="115">
        <f>Table223[[#This Row],[Qty]]-Table223[[#This Row],[Issue Qty]]</f>
        <v>70</v>
      </c>
      <c r="J436" s="5">
        <v>353</v>
      </c>
      <c r="K436" s="5">
        <f t="shared" si="23"/>
        <v>24710</v>
      </c>
      <c r="L436" s="82">
        <v>0.18</v>
      </c>
      <c r="M436" s="9">
        <f t="shared" si="24"/>
        <v>4447.8</v>
      </c>
      <c r="N436" s="5">
        <v>0.2</v>
      </c>
      <c r="O436" s="5"/>
      <c r="P436" s="5">
        <f t="shared" si="25"/>
        <v>29158</v>
      </c>
      <c r="Q436" s="1" t="s">
        <v>726</v>
      </c>
      <c r="R436" s="1" t="s">
        <v>726</v>
      </c>
      <c r="S436" s="1" t="s">
        <v>444</v>
      </c>
      <c r="T436" s="1" t="s">
        <v>2158</v>
      </c>
      <c r="U436" s="1"/>
      <c r="V436" s="1"/>
      <c r="W436" s="21" t="s">
        <v>638</v>
      </c>
      <c r="X436" s="21" t="s">
        <v>1960</v>
      </c>
      <c r="Y436" s="8"/>
      <c r="Z436" s="22"/>
      <c r="AA436" s="1"/>
      <c r="AB436" s="29" t="s">
        <v>887</v>
      </c>
      <c r="AC436" s="1"/>
      <c r="AD436" s="50"/>
    </row>
    <row r="437" spans="1:30" s="51" customFormat="1" x14ac:dyDescent="0.25">
      <c r="A437" s="4"/>
      <c r="B437" s="4">
        <v>45780</v>
      </c>
      <c r="C437" s="1" t="s">
        <v>2003</v>
      </c>
      <c r="D437" s="1" t="s">
        <v>2159</v>
      </c>
      <c r="E437" s="1" t="s">
        <v>947</v>
      </c>
      <c r="F437" s="1" t="s">
        <v>948</v>
      </c>
      <c r="G437" s="8">
        <v>1</v>
      </c>
      <c r="H437" s="8"/>
      <c r="I437" s="115">
        <f>Table223[[#This Row],[Qty]]-Table223[[#This Row],[Issue Qty]]</f>
        <v>1</v>
      </c>
      <c r="J437" s="5">
        <v>8000</v>
      </c>
      <c r="K437" s="5">
        <f t="shared" si="23"/>
        <v>8000</v>
      </c>
      <c r="L437" s="82">
        <v>0.05</v>
      </c>
      <c r="M437" s="9">
        <f t="shared" si="24"/>
        <v>400</v>
      </c>
      <c r="N437" s="5">
        <v>0</v>
      </c>
      <c r="O437" s="5"/>
      <c r="P437" s="5">
        <f t="shared" si="25"/>
        <v>8400</v>
      </c>
      <c r="Q437" s="1" t="s">
        <v>939</v>
      </c>
      <c r="R437" s="1" t="s">
        <v>939</v>
      </c>
      <c r="S437" s="1" t="s">
        <v>444</v>
      </c>
      <c r="T437" s="1" t="s">
        <v>2154</v>
      </c>
      <c r="U437" s="1"/>
      <c r="V437" s="1"/>
      <c r="W437" s="21" t="s">
        <v>44</v>
      </c>
      <c r="X437" s="8"/>
      <c r="Y437" s="8"/>
      <c r="Z437" s="22"/>
      <c r="AA437" s="1"/>
      <c r="AB437" s="29" t="s">
        <v>948</v>
      </c>
      <c r="AC437" s="1"/>
      <c r="AD437" s="50"/>
    </row>
    <row r="438" spans="1:30" s="51" customFormat="1" x14ac:dyDescent="0.25">
      <c r="A438" s="4"/>
      <c r="B438" s="4">
        <v>45783</v>
      </c>
      <c r="C438" s="1" t="s">
        <v>54</v>
      </c>
      <c r="D438" s="1" t="s">
        <v>2160</v>
      </c>
      <c r="E438" s="1" t="s">
        <v>949</v>
      </c>
      <c r="F438" s="1" t="s">
        <v>950</v>
      </c>
      <c r="G438" s="8">
        <v>3</v>
      </c>
      <c r="H438" s="8">
        <v>3</v>
      </c>
      <c r="I438" s="115">
        <f>Table223[[#This Row],[Qty]]-Table223[[#This Row],[Issue Qty]]</f>
        <v>0</v>
      </c>
      <c r="J438" s="5">
        <v>2465</v>
      </c>
      <c r="K438" s="5">
        <f t="shared" si="23"/>
        <v>7395</v>
      </c>
      <c r="L438" s="82">
        <v>0.18</v>
      </c>
      <c r="M438" s="9">
        <f t="shared" si="24"/>
        <v>1331.1</v>
      </c>
      <c r="N438" s="5">
        <f>800+27+117</f>
        <v>944</v>
      </c>
      <c r="O438" s="5"/>
      <c r="P438" s="5">
        <f t="shared" si="25"/>
        <v>9670.1</v>
      </c>
      <c r="Q438" s="1" t="s">
        <v>907</v>
      </c>
      <c r="R438" s="1" t="s">
        <v>907</v>
      </c>
      <c r="S438" s="1" t="s">
        <v>551</v>
      </c>
      <c r="T438" s="1" t="s">
        <v>2161</v>
      </c>
      <c r="U438" s="1"/>
      <c r="V438" s="27"/>
      <c r="W438" s="21"/>
      <c r="X438" s="28"/>
      <c r="Y438" s="21">
        <v>3</v>
      </c>
      <c r="Z438" s="12" t="s">
        <v>2908</v>
      </c>
      <c r="AA438" s="27"/>
      <c r="AB438" s="29"/>
      <c r="AC438" s="27"/>
      <c r="AD438" s="50"/>
    </row>
    <row r="439" spans="1:30" s="51" customFormat="1" x14ac:dyDescent="0.25">
      <c r="A439" s="4"/>
      <c r="B439" s="4">
        <v>45784</v>
      </c>
      <c r="C439" s="1" t="s">
        <v>1989</v>
      </c>
      <c r="D439" s="26" t="s">
        <v>2108</v>
      </c>
      <c r="E439" s="26" t="s">
        <v>873</v>
      </c>
      <c r="F439" s="1" t="s">
        <v>873</v>
      </c>
      <c r="G439" s="8">
        <v>56</v>
      </c>
      <c r="H439" s="8">
        <v>10</v>
      </c>
      <c r="I439" s="115">
        <f>Table223[[#This Row],[Qty]]-Table223[[#This Row],[Issue Qty]]</f>
        <v>46</v>
      </c>
      <c r="J439" s="5">
        <v>11.5</v>
      </c>
      <c r="K439" s="5">
        <f t="shared" si="23"/>
        <v>644</v>
      </c>
      <c r="L439" s="82">
        <v>0.18</v>
      </c>
      <c r="M439" s="9">
        <f t="shared" si="24"/>
        <v>115.92</v>
      </c>
      <c r="N439" s="5">
        <v>0</v>
      </c>
      <c r="O439" s="5"/>
      <c r="P439" s="5">
        <f t="shared" si="25"/>
        <v>759.92</v>
      </c>
      <c r="Q439" s="1" t="s">
        <v>606</v>
      </c>
      <c r="R439" s="1" t="s">
        <v>606</v>
      </c>
      <c r="S439" s="1" t="s">
        <v>444</v>
      </c>
      <c r="T439" s="1" t="s">
        <v>2162</v>
      </c>
      <c r="U439" s="1"/>
      <c r="V439" s="1"/>
      <c r="W439" s="21" t="s">
        <v>573</v>
      </c>
      <c r="X439" s="21" t="s">
        <v>1963</v>
      </c>
      <c r="Y439" s="8">
        <v>8</v>
      </c>
      <c r="Z439" s="22" t="s">
        <v>2902</v>
      </c>
      <c r="AA439" s="1"/>
      <c r="AB439" s="29"/>
      <c r="AC439" s="1"/>
      <c r="AD439" s="50"/>
    </row>
    <row r="440" spans="1:30" s="51" customFormat="1" x14ac:dyDescent="0.25">
      <c r="A440" s="4"/>
      <c r="B440" s="4">
        <v>45784</v>
      </c>
      <c r="C440" s="1" t="s">
        <v>54</v>
      </c>
      <c r="D440" s="1" t="s">
        <v>2163</v>
      </c>
      <c r="E440" s="1" t="s">
        <v>951</v>
      </c>
      <c r="F440" s="1" t="s">
        <v>952</v>
      </c>
      <c r="G440" s="8">
        <v>4</v>
      </c>
      <c r="H440" s="8">
        <v>4</v>
      </c>
      <c r="I440" s="115">
        <f>Table223[[#This Row],[Qty]]-Table223[[#This Row],[Issue Qty]]</f>
        <v>0</v>
      </c>
      <c r="J440" s="5">
        <v>465</v>
      </c>
      <c r="K440" s="5">
        <f t="shared" si="23"/>
        <v>1860</v>
      </c>
      <c r="L440" s="82">
        <v>0.05</v>
      </c>
      <c r="M440" s="9">
        <f t="shared" si="24"/>
        <v>93</v>
      </c>
      <c r="N440" s="5">
        <v>0</v>
      </c>
      <c r="O440" s="5"/>
      <c r="P440" s="5">
        <f t="shared" si="25"/>
        <v>1953</v>
      </c>
      <c r="Q440" s="1" t="s">
        <v>907</v>
      </c>
      <c r="R440" s="1" t="s">
        <v>907</v>
      </c>
      <c r="S440" s="1" t="s">
        <v>444</v>
      </c>
      <c r="T440" s="1" t="s">
        <v>2162</v>
      </c>
      <c r="U440" s="1"/>
      <c r="V440" s="27"/>
      <c r="W440" s="21"/>
      <c r="X440" s="28"/>
      <c r="Y440" s="21">
        <v>4</v>
      </c>
      <c r="Z440" s="12" t="s">
        <v>936</v>
      </c>
      <c r="AA440" s="27"/>
      <c r="AB440" s="29" t="s">
        <v>953</v>
      </c>
      <c r="AC440" s="27"/>
      <c r="AD440" s="50"/>
    </row>
    <row r="441" spans="1:30" s="51" customFormat="1" x14ac:dyDescent="0.25">
      <c r="A441" s="4"/>
      <c r="B441" s="4">
        <v>45784</v>
      </c>
      <c r="C441" s="1" t="s">
        <v>54</v>
      </c>
      <c r="D441" s="1" t="s">
        <v>2164</v>
      </c>
      <c r="E441" s="1" t="s">
        <v>954</v>
      </c>
      <c r="F441" s="1" t="s">
        <v>955</v>
      </c>
      <c r="G441" s="8">
        <v>2</v>
      </c>
      <c r="H441" s="8">
        <v>1</v>
      </c>
      <c r="I441" s="115">
        <f>Table223[[#This Row],[Qty]]-Table223[[#This Row],[Issue Qty]]</f>
        <v>1</v>
      </c>
      <c r="J441" s="5">
        <v>850</v>
      </c>
      <c r="K441" s="5">
        <f t="shared" si="23"/>
        <v>1700</v>
      </c>
      <c r="L441" s="82">
        <v>0.18</v>
      </c>
      <c r="M441" s="9">
        <f t="shared" si="24"/>
        <v>306</v>
      </c>
      <c r="N441" s="5">
        <v>590</v>
      </c>
      <c r="O441" s="5"/>
      <c r="P441" s="5">
        <f t="shared" si="25"/>
        <v>2596</v>
      </c>
      <c r="Q441" s="1" t="s">
        <v>907</v>
      </c>
      <c r="R441" s="1" t="s">
        <v>907</v>
      </c>
      <c r="S441" s="1" t="s">
        <v>956</v>
      </c>
      <c r="T441" s="1" t="s">
        <v>2165</v>
      </c>
      <c r="U441" s="1"/>
      <c r="V441" s="27"/>
      <c r="W441" s="21"/>
      <c r="X441" s="28"/>
      <c r="Y441" s="21">
        <v>1</v>
      </c>
      <c r="Z441" s="12" t="s">
        <v>2909</v>
      </c>
      <c r="AA441" s="27"/>
      <c r="AB441" s="29"/>
      <c r="AC441" s="27"/>
      <c r="AD441" s="50"/>
    </row>
    <row r="442" spans="1:30" s="51" customFormat="1" x14ac:dyDescent="0.25">
      <c r="A442" s="4"/>
      <c r="B442" s="4">
        <v>45784</v>
      </c>
      <c r="C442" s="1" t="s">
        <v>1993</v>
      </c>
      <c r="D442" s="1" t="s">
        <v>2166</v>
      </c>
      <c r="E442" s="1" t="s">
        <v>957</v>
      </c>
      <c r="F442" s="1" t="s">
        <v>957</v>
      </c>
      <c r="G442" s="8">
        <v>1</v>
      </c>
      <c r="H442" s="8">
        <v>1</v>
      </c>
      <c r="I442" s="115">
        <f>Table223[[#This Row],[Qty]]-Table223[[#This Row],[Issue Qty]]</f>
        <v>0</v>
      </c>
      <c r="J442" s="5">
        <v>315</v>
      </c>
      <c r="K442" s="5">
        <f t="shared" si="23"/>
        <v>315</v>
      </c>
      <c r="L442" s="82">
        <v>0.05</v>
      </c>
      <c r="M442" s="9">
        <f t="shared" si="24"/>
        <v>15.75</v>
      </c>
      <c r="N442" s="5">
        <v>0.37</v>
      </c>
      <c r="O442" s="5"/>
      <c r="P442" s="5">
        <f t="shared" si="25"/>
        <v>331.12</v>
      </c>
      <c r="Q442" s="1" t="s">
        <v>907</v>
      </c>
      <c r="R442" s="1" t="s">
        <v>907</v>
      </c>
      <c r="S442" s="1" t="s">
        <v>444</v>
      </c>
      <c r="T442" s="1" t="s">
        <v>2162</v>
      </c>
      <c r="U442" s="1"/>
      <c r="V442" s="27"/>
      <c r="W442" s="21"/>
      <c r="X442" s="28"/>
      <c r="Y442" s="21">
        <v>1</v>
      </c>
      <c r="Z442" s="12" t="s">
        <v>936</v>
      </c>
      <c r="AA442" s="27"/>
      <c r="AB442" s="29"/>
      <c r="AC442" s="27"/>
      <c r="AD442" s="50"/>
    </row>
    <row r="443" spans="1:30" s="51" customFormat="1" x14ac:dyDescent="0.25">
      <c r="A443" s="4"/>
      <c r="B443" s="4">
        <v>45785</v>
      </c>
      <c r="C443" s="1" t="s">
        <v>54</v>
      </c>
      <c r="D443" s="1" t="s">
        <v>2167</v>
      </c>
      <c r="E443" s="1" t="s">
        <v>958</v>
      </c>
      <c r="F443" s="1" t="s">
        <v>959</v>
      </c>
      <c r="G443" s="8">
        <v>1</v>
      </c>
      <c r="H443" s="8"/>
      <c r="I443" s="115">
        <f>Table223[[#This Row],[Qty]]-Table223[[#This Row],[Issue Qty]]</f>
        <v>1</v>
      </c>
      <c r="J443" s="5">
        <v>3943.1</v>
      </c>
      <c r="K443" s="5">
        <f t="shared" si="23"/>
        <v>3943.1</v>
      </c>
      <c r="L443" s="82">
        <v>0.18</v>
      </c>
      <c r="M443" s="9">
        <f t="shared" si="24"/>
        <v>709.75799999999992</v>
      </c>
      <c r="N443" s="5">
        <v>0</v>
      </c>
      <c r="O443" s="5"/>
      <c r="P443" s="5">
        <f t="shared" si="25"/>
        <v>4652.8580000000002</v>
      </c>
      <c r="Q443" s="1" t="s">
        <v>939</v>
      </c>
      <c r="R443" s="1" t="s">
        <v>939</v>
      </c>
      <c r="S443" s="1" t="s">
        <v>358</v>
      </c>
      <c r="T443" s="1" t="s">
        <v>2168</v>
      </c>
      <c r="U443" s="1"/>
      <c r="V443" s="1"/>
      <c r="W443" s="21" t="s">
        <v>268</v>
      </c>
      <c r="X443" s="8" t="s">
        <v>960</v>
      </c>
      <c r="Y443" s="8"/>
      <c r="Z443" s="22"/>
      <c r="AA443" s="1"/>
      <c r="AB443" s="29" t="s">
        <v>961</v>
      </c>
      <c r="AC443" s="1"/>
      <c r="AD443" s="50"/>
    </row>
    <row r="444" spans="1:30" s="51" customFormat="1" x14ac:dyDescent="0.25">
      <c r="A444" s="4"/>
      <c r="B444" s="4">
        <v>45785</v>
      </c>
      <c r="C444" s="1" t="s">
        <v>1989</v>
      </c>
      <c r="D444" s="1" t="s">
        <v>2169</v>
      </c>
      <c r="E444" s="1" t="s">
        <v>962</v>
      </c>
      <c r="F444" s="1" t="s">
        <v>962</v>
      </c>
      <c r="G444" s="8">
        <v>2</v>
      </c>
      <c r="H444" s="8">
        <v>2</v>
      </c>
      <c r="I444" s="115">
        <f>Table223[[#This Row],[Qty]]-Table223[[#This Row],[Issue Qty]]</f>
        <v>0</v>
      </c>
      <c r="J444" s="5">
        <v>4000</v>
      </c>
      <c r="K444" s="5">
        <f t="shared" si="23"/>
        <v>8000</v>
      </c>
      <c r="L444" s="82">
        <v>0.18</v>
      </c>
      <c r="M444" s="9">
        <f t="shared" si="24"/>
        <v>1440</v>
      </c>
      <c r="N444" s="5">
        <v>0</v>
      </c>
      <c r="O444" s="5"/>
      <c r="P444" s="5">
        <f t="shared" si="25"/>
        <v>9440</v>
      </c>
      <c r="Q444" s="1" t="s">
        <v>890</v>
      </c>
      <c r="R444" s="1" t="s">
        <v>890</v>
      </c>
      <c r="S444" s="1" t="s">
        <v>896</v>
      </c>
      <c r="T444" s="1" t="s">
        <v>2170</v>
      </c>
      <c r="U444" s="1"/>
      <c r="V444" s="27"/>
      <c r="W444" s="21"/>
      <c r="X444" s="28"/>
      <c r="Y444" s="21">
        <v>2</v>
      </c>
      <c r="Z444" s="12" t="s">
        <v>588</v>
      </c>
      <c r="AA444" s="27"/>
      <c r="AB444" s="29" t="s">
        <v>962</v>
      </c>
      <c r="AC444" s="27"/>
      <c r="AD444" s="50"/>
    </row>
    <row r="445" spans="1:30" s="51" customFormat="1" x14ac:dyDescent="0.25">
      <c r="A445" s="4"/>
      <c r="B445" s="4">
        <v>45786</v>
      </c>
      <c r="C445" s="1" t="s">
        <v>54</v>
      </c>
      <c r="D445" s="1" t="s">
        <v>2083</v>
      </c>
      <c r="E445" s="1" t="s">
        <v>840</v>
      </c>
      <c r="F445" s="1" t="s">
        <v>963</v>
      </c>
      <c r="G445" s="8">
        <v>10</v>
      </c>
      <c r="H445" s="8"/>
      <c r="I445" s="115">
        <f>Table223[[#This Row],[Qty]]-Table223[[#This Row],[Issue Qty]]</f>
        <v>10</v>
      </c>
      <c r="J445" s="5">
        <v>1176</v>
      </c>
      <c r="K445" s="5">
        <f t="shared" si="23"/>
        <v>11760</v>
      </c>
      <c r="L445" s="82">
        <v>0.18</v>
      </c>
      <c r="M445" s="9">
        <f t="shared" si="24"/>
        <v>2116.7999999999997</v>
      </c>
      <c r="N445" s="5">
        <v>0</v>
      </c>
      <c r="O445" s="5"/>
      <c r="P445" s="5">
        <f t="shared" si="25"/>
        <v>13876.8</v>
      </c>
      <c r="Q445" s="1" t="s">
        <v>726</v>
      </c>
      <c r="R445" s="1" t="s">
        <v>726</v>
      </c>
      <c r="S445" s="1" t="s">
        <v>358</v>
      </c>
      <c r="T445" s="1" t="s">
        <v>2171</v>
      </c>
      <c r="U445" s="1"/>
      <c r="V445" s="1"/>
      <c r="W445" s="21" t="s">
        <v>688</v>
      </c>
      <c r="X445" s="8"/>
      <c r="Y445" s="8">
        <v>6</v>
      </c>
      <c r="Z445" s="22" t="s">
        <v>656</v>
      </c>
      <c r="AA445" s="1"/>
      <c r="AB445" s="29" t="s">
        <v>842</v>
      </c>
      <c r="AC445" s="1"/>
      <c r="AD445" s="50"/>
    </row>
    <row r="446" spans="1:30" s="51" customFormat="1" x14ac:dyDescent="0.25">
      <c r="A446" s="4"/>
      <c r="B446" s="4">
        <v>45786</v>
      </c>
      <c r="C446" s="1" t="s">
        <v>1991</v>
      </c>
      <c r="D446" s="26" t="s">
        <v>2121</v>
      </c>
      <c r="E446" s="26" t="s">
        <v>891</v>
      </c>
      <c r="F446" s="1" t="s">
        <v>964</v>
      </c>
      <c r="G446" s="8">
        <v>100</v>
      </c>
      <c r="H446" s="8"/>
      <c r="I446" s="115">
        <f>Table223[[#This Row],[Qty]]-Table223[[#This Row],[Issue Qty]]</f>
        <v>100</v>
      </c>
      <c r="J446" s="5">
        <v>2413.44</v>
      </c>
      <c r="K446" s="5">
        <f t="shared" si="23"/>
        <v>241344</v>
      </c>
      <c r="L446" s="82">
        <v>0.18</v>
      </c>
      <c r="M446" s="9">
        <f t="shared" si="24"/>
        <v>43441.919999999998</v>
      </c>
      <c r="N446" s="5">
        <v>0.08</v>
      </c>
      <c r="O446" s="5"/>
      <c r="P446" s="5">
        <f t="shared" si="25"/>
        <v>284786</v>
      </c>
      <c r="Q446" s="1" t="s">
        <v>726</v>
      </c>
      <c r="R446" s="1" t="s">
        <v>726</v>
      </c>
      <c r="S446" s="1" t="s">
        <v>893</v>
      </c>
      <c r="T446" s="1" t="s">
        <v>2172</v>
      </c>
      <c r="U446" s="1"/>
      <c r="V446" s="1"/>
      <c r="W446" s="21" t="s">
        <v>965</v>
      </c>
      <c r="X446" s="8"/>
      <c r="Y446" s="8">
        <v>1</v>
      </c>
      <c r="Z446" s="22" t="s">
        <v>966</v>
      </c>
      <c r="AA446" s="1"/>
      <c r="AB446" s="29"/>
      <c r="AC446" s="1"/>
      <c r="AD446" s="50"/>
    </row>
    <row r="447" spans="1:30" s="51" customFormat="1" ht="30" x14ac:dyDescent="0.25">
      <c r="A447" s="4"/>
      <c r="B447" s="4">
        <v>45786</v>
      </c>
      <c r="C447" s="1" t="s">
        <v>1989</v>
      </c>
      <c r="D447" s="1" t="s">
        <v>2173</v>
      </c>
      <c r="E447" s="1" t="s">
        <v>967</v>
      </c>
      <c r="F447" s="1" t="s">
        <v>967</v>
      </c>
      <c r="G447" s="8">
        <v>3</v>
      </c>
      <c r="H447" s="8">
        <v>3</v>
      </c>
      <c r="I447" s="115">
        <f>Table223[[#This Row],[Qty]]-Table223[[#This Row],[Issue Qty]]</f>
        <v>0</v>
      </c>
      <c r="J447" s="5">
        <v>808.57</v>
      </c>
      <c r="K447" s="5">
        <f t="shared" si="23"/>
        <v>2425.71</v>
      </c>
      <c r="L447" s="82">
        <v>0.05</v>
      </c>
      <c r="M447" s="9">
        <f t="shared" si="24"/>
        <v>121.28550000000001</v>
      </c>
      <c r="N447" s="5">
        <f>169.49+30.51</f>
        <v>200</v>
      </c>
      <c r="O447" s="5"/>
      <c r="P447" s="5">
        <f t="shared" si="25"/>
        <v>2746.9955</v>
      </c>
      <c r="Q447" s="1" t="s">
        <v>907</v>
      </c>
      <c r="R447" s="1" t="s">
        <v>907</v>
      </c>
      <c r="S447" s="1" t="s">
        <v>968</v>
      </c>
      <c r="T447" s="1" t="s">
        <v>2174</v>
      </c>
      <c r="U447" s="1"/>
      <c r="V447" s="27"/>
      <c r="W447" s="21"/>
      <c r="X447" s="28"/>
      <c r="Y447" s="21">
        <v>3</v>
      </c>
      <c r="Z447" s="12" t="s">
        <v>2921</v>
      </c>
      <c r="AA447" s="12"/>
      <c r="AB447" s="29"/>
      <c r="AC447" s="27"/>
      <c r="AD447" s="50"/>
    </row>
    <row r="448" spans="1:30" s="51" customFormat="1" x14ac:dyDescent="0.25">
      <c r="A448" s="4"/>
      <c r="B448" s="4">
        <v>45789</v>
      </c>
      <c r="C448" s="1" t="s">
        <v>1989</v>
      </c>
      <c r="D448" s="1" t="s">
        <v>2049</v>
      </c>
      <c r="E448" s="1" t="s">
        <v>790</v>
      </c>
      <c r="F448" s="1" t="s">
        <v>969</v>
      </c>
      <c r="G448" s="8">
        <v>4</v>
      </c>
      <c r="H448" s="8"/>
      <c r="I448" s="115">
        <f>Table223[[#This Row],[Qty]]-Table223[[#This Row],[Issue Qty]]</f>
        <v>4</v>
      </c>
      <c r="J448" s="5">
        <v>360</v>
      </c>
      <c r="K448" s="5">
        <f t="shared" si="23"/>
        <v>1440</v>
      </c>
      <c r="L448" s="82">
        <v>0.18</v>
      </c>
      <c r="M448" s="9">
        <f t="shared" si="24"/>
        <v>259.2</v>
      </c>
      <c r="N448" s="5">
        <v>0</v>
      </c>
      <c r="O448" s="5"/>
      <c r="P448" s="5">
        <f t="shared" si="25"/>
        <v>1699.2</v>
      </c>
      <c r="Q448" s="1" t="s">
        <v>907</v>
      </c>
      <c r="R448" s="1" t="s">
        <v>907</v>
      </c>
      <c r="S448" s="1" t="s">
        <v>792</v>
      </c>
      <c r="T448" s="1" t="s">
        <v>2175</v>
      </c>
      <c r="U448" s="1"/>
      <c r="V448" s="27"/>
      <c r="W448" s="21"/>
      <c r="X448" s="28"/>
      <c r="Y448" s="21">
        <v>4</v>
      </c>
      <c r="Z448" s="12" t="s">
        <v>936</v>
      </c>
      <c r="AA448" s="27"/>
      <c r="AB448" s="29" t="s">
        <v>793</v>
      </c>
      <c r="AC448" s="27"/>
      <c r="AD448" s="50"/>
    </row>
    <row r="449" spans="1:30" s="51" customFormat="1" ht="45" x14ac:dyDescent="0.25">
      <c r="A449" s="4"/>
      <c r="B449" s="4">
        <v>45789</v>
      </c>
      <c r="C449" s="1" t="s">
        <v>1991</v>
      </c>
      <c r="D449" s="26" t="s">
        <v>2112</v>
      </c>
      <c r="E449" s="26" t="s">
        <v>876</v>
      </c>
      <c r="F449" s="1" t="s">
        <v>876</v>
      </c>
      <c r="G449" s="8">
        <v>4</v>
      </c>
      <c r="H449" s="8"/>
      <c r="I449" s="115">
        <f>Table223[[#This Row],[Qty]]-Table223[[#This Row],[Issue Qty]]</f>
        <v>4</v>
      </c>
      <c r="J449" s="5">
        <v>9990</v>
      </c>
      <c r="K449" s="5">
        <f t="shared" si="23"/>
        <v>39960</v>
      </c>
      <c r="L449" s="82">
        <v>0.18</v>
      </c>
      <c r="M449" s="9">
        <f t="shared" si="24"/>
        <v>7192.8</v>
      </c>
      <c r="N449" s="5"/>
      <c r="O449" s="5"/>
      <c r="P449" s="5">
        <f t="shared" si="25"/>
        <v>47152.800000000003</v>
      </c>
      <c r="Q449" s="1" t="s">
        <v>763</v>
      </c>
      <c r="R449" s="1" t="s">
        <v>763</v>
      </c>
      <c r="S449" s="1" t="s">
        <v>875</v>
      </c>
      <c r="T449" s="1" t="s">
        <v>2176</v>
      </c>
      <c r="U449" s="1"/>
      <c r="V449" s="27"/>
      <c r="W449" s="21"/>
      <c r="X449" s="28"/>
      <c r="Y449" s="21">
        <v>4</v>
      </c>
      <c r="Z449" s="12" t="s">
        <v>970</v>
      </c>
      <c r="AA449" s="27"/>
      <c r="AB449" s="29"/>
      <c r="AC449" s="27"/>
      <c r="AD449" s="50"/>
    </row>
    <row r="450" spans="1:30" s="51" customFormat="1" x14ac:dyDescent="0.25">
      <c r="A450" s="4"/>
      <c r="B450" s="4">
        <v>45789</v>
      </c>
      <c r="C450" s="1" t="s">
        <v>1989</v>
      </c>
      <c r="D450" s="1" t="s">
        <v>2177</v>
      </c>
      <c r="E450" s="1" t="s">
        <v>971</v>
      </c>
      <c r="F450" s="1" t="s">
        <v>971</v>
      </c>
      <c r="G450" s="8">
        <v>60</v>
      </c>
      <c r="H450" s="8"/>
      <c r="I450" s="115">
        <f>Table223[[#This Row],[Qty]]-Table223[[#This Row],[Issue Qty]]</f>
        <v>60</v>
      </c>
      <c r="J450" s="5">
        <v>340</v>
      </c>
      <c r="K450" s="5">
        <f t="shared" si="23"/>
        <v>20400</v>
      </c>
      <c r="L450" s="82">
        <v>0.18</v>
      </c>
      <c r="M450" s="9">
        <f t="shared" si="24"/>
        <v>3672</v>
      </c>
      <c r="N450" s="5">
        <v>0</v>
      </c>
      <c r="O450" s="5"/>
      <c r="P450" s="5">
        <f t="shared" si="25"/>
        <v>24072</v>
      </c>
      <c r="Q450" s="1" t="s">
        <v>726</v>
      </c>
      <c r="R450" s="1" t="s">
        <v>726</v>
      </c>
      <c r="S450" s="1" t="s">
        <v>896</v>
      </c>
      <c r="T450" s="1" t="s">
        <v>2178</v>
      </c>
      <c r="U450" s="1"/>
      <c r="V450" s="1"/>
      <c r="W450" s="21" t="s">
        <v>638</v>
      </c>
      <c r="X450" s="21" t="s">
        <v>1960</v>
      </c>
      <c r="Y450" s="8"/>
      <c r="Z450" s="22" t="s">
        <v>656</v>
      </c>
      <c r="AA450" s="1"/>
      <c r="AB450" s="29" t="s">
        <v>971</v>
      </c>
      <c r="AC450" s="1"/>
      <c r="AD450" s="50"/>
    </row>
    <row r="451" spans="1:30" s="51" customFormat="1" x14ac:dyDescent="0.25">
      <c r="A451" s="4"/>
      <c r="B451" s="4">
        <v>45789</v>
      </c>
      <c r="C451" s="1" t="s">
        <v>1989</v>
      </c>
      <c r="D451" s="1" t="s">
        <v>2179</v>
      </c>
      <c r="E451" s="1" t="s">
        <v>972</v>
      </c>
      <c r="F451" s="1" t="s">
        <v>973</v>
      </c>
      <c r="G451" s="8">
        <v>2</v>
      </c>
      <c r="H451" s="8">
        <v>2</v>
      </c>
      <c r="I451" s="115">
        <f>Table223[[#This Row],[Qty]]-Table223[[#This Row],[Issue Qty]]</f>
        <v>0</v>
      </c>
      <c r="J451" s="5">
        <v>83.9</v>
      </c>
      <c r="K451" s="5">
        <f t="shared" si="23"/>
        <v>167.8</v>
      </c>
      <c r="L451" s="82">
        <v>0.18</v>
      </c>
      <c r="M451" s="9">
        <f t="shared" si="24"/>
        <v>30.204000000000001</v>
      </c>
      <c r="N451" s="5">
        <v>59</v>
      </c>
      <c r="O451" s="5"/>
      <c r="P451" s="5">
        <f t="shared" si="25"/>
        <v>257.00400000000002</v>
      </c>
      <c r="Q451" s="1" t="s">
        <v>890</v>
      </c>
      <c r="R451" s="1" t="s">
        <v>890</v>
      </c>
      <c r="S451" s="1" t="s">
        <v>788</v>
      </c>
      <c r="T451" s="1" t="s">
        <v>2180</v>
      </c>
      <c r="U451" s="1"/>
      <c r="V451" s="27"/>
      <c r="W451" s="21"/>
      <c r="X451" s="28"/>
      <c r="Y451" s="21">
        <v>2</v>
      </c>
      <c r="Z451" s="12" t="s">
        <v>145</v>
      </c>
      <c r="AA451" s="27"/>
      <c r="AB451" s="29" t="s">
        <v>974</v>
      </c>
      <c r="AC451" s="27"/>
      <c r="AD451" s="50"/>
    </row>
    <row r="452" spans="1:30" s="51" customFormat="1" ht="30" x14ac:dyDescent="0.25">
      <c r="A452" s="4"/>
      <c r="B452" s="4">
        <v>45789</v>
      </c>
      <c r="C452" s="1" t="s">
        <v>1991</v>
      </c>
      <c r="D452" s="26" t="s">
        <v>2113</v>
      </c>
      <c r="E452" s="26" t="s">
        <v>877</v>
      </c>
      <c r="F452" s="1" t="s">
        <v>877</v>
      </c>
      <c r="G452" s="8">
        <v>4</v>
      </c>
      <c r="H452" s="8"/>
      <c r="I452" s="115">
        <f>Table223[[#This Row],[Qty]]-Table223[[#This Row],[Issue Qty]]</f>
        <v>4</v>
      </c>
      <c r="J452" s="5">
        <v>9490</v>
      </c>
      <c r="K452" s="5">
        <f t="shared" si="23"/>
        <v>37960</v>
      </c>
      <c r="L452" s="82">
        <v>0.18</v>
      </c>
      <c r="M452" s="9">
        <f t="shared" si="24"/>
        <v>6832.8</v>
      </c>
      <c r="N452" s="5"/>
      <c r="O452" s="5"/>
      <c r="P452" s="5">
        <f t="shared" si="25"/>
        <v>44792.800000000003</v>
      </c>
      <c r="Q452" s="1" t="s">
        <v>763</v>
      </c>
      <c r="R452" s="1" t="s">
        <v>763</v>
      </c>
      <c r="S452" s="1" t="s">
        <v>875</v>
      </c>
      <c r="T452" s="1" t="s">
        <v>2176</v>
      </c>
      <c r="U452" s="1"/>
      <c r="V452" s="1"/>
      <c r="W452" s="21" t="s">
        <v>339</v>
      </c>
      <c r="X452" s="8"/>
      <c r="Y452" s="8"/>
      <c r="Z452" s="22"/>
      <c r="AA452" s="1"/>
      <c r="AB452" s="29"/>
      <c r="AC452" s="1"/>
      <c r="AD452" s="50"/>
    </row>
    <row r="453" spans="1:30" s="51" customFormat="1" x14ac:dyDescent="0.25">
      <c r="A453" s="4"/>
      <c r="B453" s="4">
        <v>45789</v>
      </c>
      <c r="C453" s="1" t="s">
        <v>1993</v>
      </c>
      <c r="D453" s="26" t="s">
        <v>2181</v>
      </c>
      <c r="E453" s="26" t="s">
        <v>975</v>
      </c>
      <c r="F453" s="1" t="s">
        <v>975</v>
      </c>
      <c r="G453" s="8">
        <v>3</v>
      </c>
      <c r="H453" s="8">
        <v>3</v>
      </c>
      <c r="I453" s="115">
        <f>Table223[[#This Row],[Qty]]-Table223[[#This Row],[Issue Qty]]</f>
        <v>0</v>
      </c>
      <c r="J453" s="5">
        <v>340.943333</v>
      </c>
      <c r="K453" s="5">
        <f t="shared" si="23"/>
        <v>1022.829999</v>
      </c>
      <c r="L453" s="82">
        <v>0.05</v>
      </c>
      <c r="M453" s="9">
        <f t="shared" si="24"/>
        <v>51.141499950000004</v>
      </c>
      <c r="N453" s="5">
        <v>0</v>
      </c>
      <c r="O453" s="5"/>
      <c r="P453" s="5">
        <f t="shared" si="25"/>
        <v>1073.9714989500001</v>
      </c>
      <c r="Q453" s="1" t="s">
        <v>890</v>
      </c>
      <c r="R453" s="1" t="s">
        <v>890</v>
      </c>
      <c r="S453" s="1" t="s">
        <v>691</v>
      </c>
      <c r="T453" s="1" t="s">
        <v>2182</v>
      </c>
      <c r="U453" s="1"/>
      <c r="V453" s="27"/>
      <c r="W453" s="21" t="s">
        <v>1358</v>
      </c>
      <c r="X453" s="28"/>
      <c r="Y453" s="21">
        <v>3</v>
      </c>
      <c r="Z453" s="12" t="s">
        <v>145</v>
      </c>
      <c r="AA453" s="27"/>
      <c r="AB453" s="29"/>
      <c r="AC453" s="27"/>
      <c r="AD453" s="50"/>
    </row>
    <row r="454" spans="1:30" s="51" customFormat="1" ht="30" x14ac:dyDescent="0.25">
      <c r="A454" s="4"/>
      <c r="B454" s="4">
        <v>45789</v>
      </c>
      <c r="C454" s="1" t="s">
        <v>2096</v>
      </c>
      <c r="D454" s="26" t="s">
        <v>2110</v>
      </c>
      <c r="E454" s="26" t="s">
        <v>874</v>
      </c>
      <c r="F454" s="1" t="s">
        <v>874</v>
      </c>
      <c r="G454" s="8">
        <v>4</v>
      </c>
      <c r="H454" s="8"/>
      <c r="I454" s="115">
        <f>Table223[[#This Row],[Qty]]-Table223[[#This Row],[Issue Qty]]</f>
        <v>4</v>
      </c>
      <c r="J454" s="5">
        <v>64990</v>
      </c>
      <c r="K454" s="5">
        <f t="shared" si="23"/>
        <v>259960</v>
      </c>
      <c r="L454" s="82">
        <v>0.18</v>
      </c>
      <c r="M454" s="9">
        <f t="shared" si="24"/>
        <v>46792.799999999996</v>
      </c>
      <c r="N454" s="5"/>
      <c r="O454" s="5"/>
      <c r="P454" s="5">
        <f t="shared" si="25"/>
        <v>306752.8</v>
      </c>
      <c r="Q454" s="1" t="s">
        <v>763</v>
      </c>
      <c r="R454" s="1" t="s">
        <v>763</v>
      </c>
      <c r="S454" s="1" t="s">
        <v>875</v>
      </c>
      <c r="T454" s="1" t="s">
        <v>2176</v>
      </c>
      <c r="U454" s="1"/>
      <c r="V454" s="1"/>
      <c r="W454" s="21" t="s">
        <v>339</v>
      </c>
      <c r="X454" s="8"/>
      <c r="Y454" s="8"/>
      <c r="Z454" s="22"/>
      <c r="AA454" s="1"/>
      <c r="AB454" s="29"/>
      <c r="AC454" s="1"/>
      <c r="AD454" s="50"/>
    </row>
    <row r="455" spans="1:30" s="51" customFormat="1" x14ac:dyDescent="0.25">
      <c r="A455" s="4"/>
      <c r="B455" s="4">
        <v>45790</v>
      </c>
      <c r="C455" s="1" t="s">
        <v>54</v>
      </c>
      <c r="D455" s="1" t="s">
        <v>2183</v>
      </c>
      <c r="E455" s="1" t="s">
        <v>976</v>
      </c>
      <c r="F455" s="1" t="s">
        <v>976</v>
      </c>
      <c r="G455" s="58">
        <v>10</v>
      </c>
      <c r="H455" s="58"/>
      <c r="I455" s="159">
        <f>Table223[[#This Row],[Qty]]-Table223[[#This Row],[Issue Qty]]</f>
        <v>10</v>
      </c>
      <c r="J455" s="5">
        <v>140</v>
      </c>
      <c r="K455" s="5">
        <f t="shared" si="23"/>
        <v>1400</v>
      </c>
      <c r="L455" s="82">
        <v>0.18</v>
      </c>
      <c r="M455" s="9">
        <f t="shared" si="24"/>
        <v>252</v>
      </c>
      <c r="N455" s="5">
        <v>0</v>
      </c>
      <c r="O455" s="5"/>
      <c r="P455" s="5">
        <f t="shared" si="25"/>
        <v>1652</v>
      </c>
      <c r="Q455" s="1" t="s">
        <v>726</v>
      </c>
      <c r="R455" s="1" t="s">
        <v>726</v>
      </c>
      <c r="S455" s="1" t="s">
        <v>358</v>
      </c>
      <c r="T455" s="1" t="s">
        <v>2184</v>
      </c>
      <c r="U455" s="1"/>
      <c r="V455" s="1"/>
      <c r="W455" s="21" t="s">
        <v>688</v>
      </c>
      <c r="X455" s="8"/>
      <c r="Y455" s="8"/>
      <c r="Z455" s="22"/>
      <c r="AA455" s="1"/>
      <c r="AB455" s="29" t="s">
        <v>977</v>
      </c>
      <c r="AC455" s="1"/>
      <c r="AD455" s="50"/>
    </row>
    <row r="456" spans="1:30" s="51" customFormat="1" x14ac:dyDescent="0.25">
      <c r="A456" s="4"/>
      <c r="B456" s="4">
        <v>45790</v>
      </c>
      <c r="C456" s="1" t="s">
        <v>54</v>
      </c>
      <c r="D456" s="1" t="s">
        <v>2185</v>
      </c>
      <c r="E456" s="1" t="s">
        <v>978</v>
      </c>
      <c r="F456" s="1" t="s">
        <v>978</v>
      </c>
      <c r="G456" s="58">
        <v>70</v>
      </c>
      <c r="H456" s="58"/>
      <c r="I456" s="159">
        <f>Table223[[#This Row],[Qty]]-Table223[[#This Row],[Issue Qty]]</f>
        <v>70</v>
      </c>
      <c r="J456" s="5">
        <v>134</v>
      </c>
      <c r="K456" s="5">
        <f t="shared" si="23"/>
        <v>9380</v>
      </c>
      <c r="L456" s="82">
        <v>0.18</v>
      </c>
      <c r="M456" s="9">
        <f t="shared" si="24"/>
        <v>1688.3999999999999</v>
      </c>
      <c r="N456" s="5">
        <v>0</v>
      </c>
      <c r="O456" s="5"/>
      <c r="P456" s="5">
        <f t="shared" si="25"/>
        <v>11068.4</v>
      </c>
      <c r="Q456" s="1" t="s">
        <v>726</v>
      </c>
      <c r="R456" s="1" t="s">
        <v>726</v>
      </c>
      <c r="S456" s="1" t="s">
        <v>358</v>
      </c>
      <c r="T456" s="1" t="s">
        <v>2184</v>
      </c>
      <c r="U456" s="1"/>
      <c r="V456" s="1"/>
      <c r="W456" s="21" t="s">
        <v>688</v>
      </c>
      <c r="X456" s="8"/>
      <c r="Y456" s="8"/>
      <c r="Z456" s="22"/>
      <c r="AA456" s="1"/>
      <c r="AB456" s="29" t="s">
        <v>977</v>
      </c>
      <c r="AC456" s="1"/>
      <c r="AD456" s="50"/>
    </row>
    <row r="457" spans="1:30" s="51" customFormat="1" x14ac:dyDescent="0.25">
      <c r="A457" s="4"/>
      <c r="B457" s="4">
        <v>45790</v>
      </c>
      <c r="C457" s="1" t="s">
        <v>1993</v>
      </c>
      <c r="D457" s="26" t="s">
        <v>2186</v>
      </c>
      <c r="E457" s="26" t="s">
        <v>979</v>
      </c>
      <c r="F457" s="1" t="s">
        <v>979</v>
      </c>
      <c r="G457" s="8">
        <v>2</v>
      </c>
      <c r="H457" s="8"/>
      <c r="I457" s="115">
        <f>Table223[[#This Row],[Qty]]-Table223[[#This Row],[Issue Qty]]</f>
        <v>2</v>
      </c>
      <c r="J457" s="5">
        <v>987.59</v>
      </c>
      <c r="K457" s="5">
        <f t="shared" si="23"/>
        <v>1975.18</v>
      </c>
      <c r="L457" s="82">
        <v>0.18</v>
      </c>
      <c r="M457" s="9">
        <f t="shared" si="24"/>
        <v>355.5324</v>
      </c>
      <c r="N457" s="5">
        <v>0</v>
      </c>
      <c r="O457" s="5"/>
      <c r="P457" s="5">
        <f t="shared" si="25"/>
        <v>2330.7123999999999</v>
      </c>
      <c r="Q457" s="1" t="s">
        <v>980</v>
      </c>
      <c r="R457" s="1" t="s">
        <v>980</v>
      </c>
      <c r="S457" s="1" t="s">
        <v>384</v>
      </c>
      <c r="T457" s="1" t="s">
        <v>2187</v>
      </c>
      <c r="U457" s="1"/>
      <c r="V457" s="1"/>
      <c r="W457" s="21" t="s">
        <v>420</v>
      </c>
      <c r="X457" s="21" t="s">
        <v>421</v>
      </c>
      <c r="Y457" s="8"/>
      <c r="Z457" s="22"/>
      <c r="AA457" s="1"/>
      <c r="AB457" s="29"/>
      <c r="AC457" s="1"/>
      <c r="AD457" s="50"/>
    </row>
    <row r="458" spans="1:30" s="51" customFormat="1" x14ac:dyDescent="0.25">
      <c r="A458" s="4"/>
      <c r="B458" s="4">
        <v>45791</v>
      </c>
      <c r="C458" s="1" t="s">
        <v>54</v>
      </c>
      <c r="D458" s="1" t="s">
        <v>2083</v>
      </c>
      <c r="E458" s="1" t="s">
        <v>840</v>
      </c>
      <c r="F458" s="1" t="s">
        <v>963</v>
      </c>
      <c r="G458" s="8">
        <v>4</v>
      </c>
      <c r="H458" s="8"/>
      <c r="I458" s="115">
        <f>Table223[[#This Row],[Qty]]-Table223[[#This Row],[Issue Qty]]</f>
        <v>4</v>
      </c>
      <c r="J458" s="5"/>
      <c r="K458" s="5">
        <f t="shared" si="23"/>
        <v>0</v>
      </c>
      <c r="L458" s="82">
        <v>0</v>
      </c>
      <c r="M458" s="9">
        <f t="shared" si="24"/>
        <v>0</v>
      </c>
      <c r="N458" s="5">
        <v>0</v>
      </c>
      <c r="O458" s="5"/>
      <c r="P458" s="5">
        <f t="shared" si="25"/>
        <v>0</v>
      </c>
      <c r="Q458" s="1" t="s">
        <v>726</v>
      </c>
      <c r="R458" s="1" t="s">
        <v>726</v>
      </c>
      <c r="S458" s="1" t="s">
        <v>358</v>
      </c>
      <c r="T458" s="1"/>
      <c r="U458" s="1"/>
      <c r="V458" s="1"/>
      <c r="W458" s="21" t="s">
        <v>688</v>
      </c>
      <c r="X458" s="8"/>
      <c r="Y458" s="8"/>
      <c r="Z458" s="22"/>
      <c r="AA458" s="1"/>
      <c r="AB458" s="29" t="s">
        <v>842</v>
      </c>
      <c r="AC458" s="1"/>
      <c r="AD458" s="50"/>
    </row>
    <row r="459" spans="1:30" s="51" customFormat="1" x14ac:dyDescent="0.25">
      <c r="A459" s="4"/>
      <c r="B459" s="4">
        <v>45791</v>
      </c>
      <c r="C459" s="1" t="s">
        <v>54</v>
      </c>
      <c r="D459" s="1" t="s">
        <v>2138</v>
      </c>
      <c r="E459" s="1" t="s">
        <v>911</v>
      </c>
      <c r="F459" s="1" t="s">
        <v>911</v>
      </c>
      <c r="G459" s="58">
        <v>4</v>
      </c>
      <c r="H459" s="58"/>
      <c r="I459" s="159">
        <f>Table223[[#This Row],[Qty]]-Table223[[#This Row],[Issue Qty]]</f>
        <v>4</v>
      </c>
      <c r="J459" s="5"/>
      <c r="K459" s="5">
        <f t="shared" si="23"/>
        <v>0</v>
      </c>
      <c r="L459" s="82">
        <v>0</v>
      </c>
      <c r="M459" s="9">
        <f t="shared" si="24"/>
        <v>0</v>
      </c>
      <c r="N459" s="5">
        <v>0</v>
      </c>
      <c r="O459" s="5"/>
      <c r="P459" s="5">
        <f t="shared" si="25"/>
        <v>0</v>
      </c>
      <c r="Q459" s="1" t="s">
        <v>726</v>
      </c>
      <c r="R459" s="1" t="s">
        <v>726</v>
      </c>
      <c r="S459" s="1" t="s">
        <v>358</v>
      </c>
      <c r="T459" s="1"/>
      <c r="U459" s="1"/>
      <c r="V459" s="1"/>
      <c r="W459" s="21" t="s">
        <v>688</v>
      </c>
      <c r="X459" s="8"/>
      <c r="Y459" s="8"/>
      <c r="Z459" s="22"/>
      <c r="AA459" s="1"/>
      <c r="AB459" s="29" t="s">
        <v>977</v>
      </c>
      <c r="AC459" s="1"/>
      <c r="AD459" s="50"/>
    </row>
    <row r="460" spans="1:30" s="51" customFormat="1" x14ac:dyDescent="0.25">
      <c r="A460" s="4"/>
      <c r="B460" s="4">
        <v>45791</v>
      </c>
      <c r="C460" s="1" t="s">
        <v>54</v>
      </c>
      <c r="D460" s="1" t="s">
        <v>2152</v>
      </c>
      <c r="E460" s="1" t="s">
        <v>934</v>
      </c>
      <c r="F460" s="1" t="s">
        <v>934</v>
      </c>
      <c r="G460" s="8">
        <v>4</v>
      </c>
      <c r="H460" s="8">
        <v>4</v>
      </c>
      <c r="I460" s="115">
        <f>Table223[[#This Row],[Qty]]-Table223[[#This Row],[Issue Qty]]</f>
        <v>0</v>
      </c>
      <c r="J460" s="5">
        <v>1400</v>
      </c>
      <c r="K460" s="5">
        <f t="shared" si="23"/>
        <v>5600</v>
      </c>
      <c r="L460" s="82">
        <v>0.18</v>
      </c>
      <c r="M460" s="9">
        <f t="shared" si="24"/>
        <v>1008</v>
      </c>
      <c r="N460" s="5">
        <v>590</v>
      </c>
      <c r="O460" s="5"/>
      <c r="P460" s="5">
        <f t="shared" si="25"/>
        <v>7198</v>
      </c>
      <c r="Q460" s="1" t="s">
        <v>907</v>
      </c>
      <c r="R460" s="1" t="s">
        <v>907</v>
      </c>
      <c r="S460" s="1" t="s">
        <v>956</v>
      </c>
      <c r="T460" s="1" t="s">
        <v>2188</v>
      </c>
      <c r="U460" s="1"/>
      <c r="V460" s="27"/>
      <c r="W460" s="21"/>
      <c r="X460" s="28"/>
      <c r="Y460" s="21">
        <v>4</v>
      </c>
      <c r="Z460" s="12" t="s">
        <v>2920</v>
      </c>
      <c r="AA460" s="27"/>
      <c r="AB460" s="29"/>
      <c r="AC460" s="27"/>
      <c r="AD460" s="50"/>
    </row>
    <row r="461" spans="1:30" s="51" customFormat="1" x14ac:dyDescent="0.25">
      <c r="A461" s="4"/>
      <c r="B461" s="4">
        <v>45791</v>
      </c>
      <c r="C461" s="1" t="s">
        <v>1989</v>
      </c>
      <c r="D461" s="1" t="s">
        <v>2189</v>
      </c>
      <c r="E461" s="1" t="s">
        <v>981</v>
      </c>
      <c r="F461" s="1" t="s">
        <v>981</v>
      </c>
      <c r="G461" s="8">
        <v>1000</v>
      </c>
      <c r="H461" s="8">
        <v>500</v>
      </c>
      <c r="I461" s="115">
        <f>Table223[[#This Row],[Qty]]-Table223[[#This Row],[Issue Qty]]</f>
        <v>500</v>
      </c>
      <c r="J461" s="5">
        <v>23.95</v>
      </c>
      <c r="K461" s="5">
        <f t="shared" si="23"/>
        <v>23950</v>
      </c>
      <c r="L461" s="82">
        <v>0.18</v>
      </c>
      <c r="M461" s="9">
        <f t="shared" si="24"/>
        <v>4311</v>
      </c>
      <c r="N461" s="5">
        <v>0</v>
      </c>
      <c r="O461" s="5"/>
      <c r="P461" s="5">
        <f t="shared" si="25"/>
        <v>28261</v>
      </c>
      <c r="Q461" s="1" t="s">
        <v>726</v>
      </c>
      <c r="R461" s="1" t="s">
        <v>726</v>
      </c>
      <c r="S461" s="1" t="s">
        <v>312</v>
      </c>
      <c r="T461" s="1" t="s">
        <v>2190</v>
      </c>
      <c r="U461" s="1"/>
      <c r="V461" s="1"/>
      <c r="W461" s="21" t="s">
        <v>638</v>
      </c>
      <c r="X461" s="8" t="s">
        <v>1963</v>
      </c>
      <c r="Y461" s="8">
        <v>20</v>
      </c>
      <c r="Z461" s="22" t="s">
        <v>2933</v>
      </c>
      <c r="AA461" s="1"/>
      <c r="AB461" s="29" t="s">
        <v>982</v>
      </c>
      <c r="AC461" s="1"/>
      <c r="AD461" s="50"/>
    </row>
    <row r="462" spans="1:30" s="51" customFormat="1" x14ac:dyDescent="0.25">
      <c r="A462" s="4"/>
      <c r="B462" s="4">
        <v>45791</v>
      </c>
      <c r="C462" s="1" t="s">
        <v>1989</v>
      </c>
      <c r="D462" s="1" t="s">
        <v>2191</v>
      </c>
      <c r="E462" s="1" t="s">
        <v>983</v>
      </c>
      <c r="F462" s="1" t="s">
        <v>983</v>
      </c>
      <c r="G462" s="8">
        <v>20</v>
      </c>
      <c r="H462" s="8">
        <v>20</v>
      </c>
      <c r="I462" s="115">
        <f>Table223[[#This Row],[Qty]]-Table223[[#This Row],[Issue Qty]]</f>
        <v>0</v>
      </c>
      <c r="J462" s="5">
        <v>41.21</v>
      </c>
      <c r="K462" s="5">
        <f t="shared" si="23"/>
        <v>824.2</v>
      </c>
      <c r="L462" s="82">
        <v>0.18</v>
      </c>
      <c r="M462" s="9">
        <f t="shared" si="24"/>
        <v>148.35599999999999</v>
      </c>
      <c r="N462" s="5">
        <v>0</v>
      </c>
      <c r="O462" s="5"/>
      <c r="P462" s="5">
        <f t="shared" si="25"/>
        <v>972.55600000000004</v>
      </c>
      <c r="Q462" s="1" t="s">
        <v>890</v>
      </c>
      <c r="R462" s="1" t="s">
        <v>890</v>
      </c>
      <c r="S462" s="1" t="s">
        <v>312</v>
      </c>
      <c r="T462" s="1" t="s">
        <v>2192</v>
      </c>
      <c r="U462" s="1"/>
      <c r="V462" s="1"/>
      <c r="W462" s="21" t="s">
        <v>638</v>
      </c>
      <c r="X462" s="8" t="s">
        <v>1963</v>
      </c>
      <c r="Y462" s="8">
        <v>20</v>
      </c>
      <c r="Z462" s="22" t="s">
        <v>145</v>
      </c>
      <c r="AA462" s="1"/>
      <c r="AB462" s="29" t="s">
        <v>984</v>
      </c>
      <c r="AC462" s="1"/>
      <c r="AD462" s="50"/>
    </row>
    <row r="463" spans="1:30" s="51" customFormat="1" x14ac:dyDescent="0.25">
      <c r="A463" s="4"/>
      <c r="B463" s="4">
        <v>45791</v>
      </c>
      <c r="C463" s="1" t="s">
        <v>1989</v>
      </c>
      <c r="D463" s="1" t="s">
        <v>2193</v>
      </c>
      <c r="E463" s="1" t="s">
        <v>985</v>
      </c>
      <c r="F463" s="1" t="s">
        <v>985</v>
      </c>
      <c r="G463" s="8">
        <v>20</v>
      </c>
      <c r="H463" s="8"/>
      <c r="I463" s="115">
        <f>Table223[[#This Row],[Qty]]-Table223[[#This Row],[Issue Qty]]</f>
        <v>20</v>
      </c>
      <c r="J463" s="5">
        <v>50.75</v>
      </c>
      <c r="K463" s="5">
        <f t="shared" si="23"/>
        <v>1015</v>
      </c>
      <c r="L463" s="82">
        <v>0.18</v>
      </c>
      <c r="M463" s="9">
        <f t="shared" si="24"/>
        <v>182.7</v>
      </c>
      <c r="N463" s="5">
        <v>0</v>
      </c>
      <c r="O463" s="5"/>
      <c r="P463" s="5">
        <f t="shared" si="25"/>
        <v>1197.7</v>
      </c>
      <c r="Q463" s="1" t="s">
        <v>890</v>
      </c>
      <c r="R463" s="1" t="s">
        <v>890</v>
      </c>
      <c r="S463" s="1" t="s">
        <v>312</v>
      </c>
      <c r="T463" s="1" t="s">
        <v>2192</v>
      </c>
      <c r="U463" s="1"/>
      <c r="V463" s="1"/>
      <c r="W463" s="21" t="s">
        <v>638</v>
      </c>
      <c r="X463" s="8" t="s">
        <v>1963</v>
      </c>
      <c r="Y463" s="8">
        <v>3</v>
      </c>
      <c r="Z463" s="22"/>
      <c r="AA463" s="1"/>
      <c r="AB463" s="29" t="s">
        <v>986</v>
      </c>
      <c r="AC463" s="1"/>
      <c r="AD463" s="50"/>
    </row>
    <row r="464" spans="1:30" s="51" customFormat="1" x14ac:dyDescent="0.25">
      <c r="A464" s="4"/>
      <c r="B464" s="4">
        <v>45791</v>
      </c>
      <c r="C464" s="1" t="s">
        <v>1989</v>
      </c>
      <c r="D464" s="26" t="s">
        <v>2194</v>
      </c>
      <c r="E464" s="26" t="s">
        <v>987</v>
      </c>
      <c r="F464" s="1" t="s">
        <v>987</v>
      </c>
      <c r="G464" s="8">
        <v>1000</v>
      </c>
      <c r="H464" s="8">
        <v>140</v>
      </c>
      <c r="I464" s="115">
        <f>Table223[[#This Row],[Qty]]-Table223[[#This Row],[Issue Qty]]</f>
        <v>860</v>
      </c>
      <c r="J464" s="5">
        <v>3.91</v>
      </c>
      <c r="K464" s="5">
        <f t="shared" si="23"/>
        <v>3910</v>
      </c>
      <c r="L464" s="82">
        <v>0.18</v>
      </c>
      <c r="M464" s="9">
        <f t="shared" si="24"/>
        <v>703.8</v>
      </c>
      <c r="N464" s="5">
        <v>0</v>
      </c>
      <c r="O464" s="5"/>
      <c r="P464" s="5">
        <f t="shared" si="25"/>
        <v>4613.8</v>
      </c>
      <c r="Q464" s="1" t="s">
        <v>726</v>
      </c>
      <c r="R464" s="1" t="s">
        <v>726</v>
      </c>
      <c r="S464" s="1" t="s">
        <v>312</v>
      </c>
      <c r="T464" s="1" t="s">
        <v>2190</v>
      </c>
      <c r="U464" s="1"/>
      <c r="V464" s="1"/>
      <c r="W464" s="21" t="s">
        <v>638</v>
      </c>
      <c r="X464" s="8" t="s">
        <v>1963</v>
      </c>
      <c r="Y464" s="8">
        <v>140</v>
      </c>
      <c r="Z464" s="22"/>
      <c r="AA464" s="1"/>
      <c r="AB464" s="29"/>
      <c r="AC464" s="1"/>
      <c r="AD464" s="50"/>
    </row>
    <row r="465" spans="1:30" s="51" customFormat="1" x14ac:dyDescent="0.25">
      <c r="A465" s="4"/>
      <c r="B465" s="4">
        <v>45791</v>
      </c>
      <c r="C465" s="1" t="s">
        <v>1989</v>
      </c>
      <c r="D465" s="26" t="s">
        <v>2195</v>
      </c>
      <c r="E465" s="26" t="s">
        <v>988</v>
      </c>
      <c r="F465" s="1" t="s">
        <v>988</v>
      </c>
      <c r="G465" s="8">
        <v>10</v>
      </c>
      <c r="H465" s="8"/>
      <c r="I465" s="115">
        <f>Table223[[#This Row],[Qty]]-Table223[[#This Row],[Issue Qty]]</f>
        <v>10</v>
      </c>
      <c r="J465" s="5">
        <v>13.99</v>
      </c>
      <c r="K465" s="5">
        <f t="shared" si="23"/>
        <v>139.9</v>
      </c>
      <c r="L465" s="82">
        <v>0.18</v>
      </c>
      <c r="M465" s="9">
        <f t="shared" si="24"/>
        <v>25.181999999999999</v>
      </c>
      <c r="N465" s="5">
        <v>0</v>
      </c>
      <c r="O465" s="5"/>
      <c r="P465" s="5">
        <f t="shared" si="25"/>
        <v>165.08199999999999</v>
      </c>
      <c r="Q465" s="1" t="s">
        <v>890</v>
      </c>
      <c r="R465" s="1" t="s">
        <v>890</v>
      </c>
      <c r="S465" s="1" t="s">
        <v>312</v>
      </c>
      <c r="T465" s="1" t="s">
        <v>2192</v>
      </c>
      <c r="U465" s="1"/>
      <c r="V465" s="1"/>
      <c r="W465" s="21" t="s">
        <v>638</v>
      </c>
      <c r="X465" s="8" t="s">
        <v>1963</v>
      </c>
      <c r="Y465" s="8">
        <v>10</v>
      </c>
      <c r="Z465" s="22" t="s">
        <v>2933</v>
      </c>
      <c r="AA465" s="1"/>
      <c r="AB465" s="29"/>
      <c r="AC465" s="1"/>
      <c r="AD465" s="50"/>
    </row>
    <row r="466" spans="1:30" s="51" customFormat="1" x14ac:dyDescent="0.25">
      <c r="A466" s="4"/>
      <c r="B466" s="4">
        <v>45791</v>
      </c>
      <c r="C466" s="1" t="s">
        <v>1989</v>
      </c>
      <c r="D466" s="26" t="s">
        <v>2196</v>
      </c>
      <c r="E466" s="26" t="s">
        <v>989</v>
      </c>
      <c r="F466" s="1" t="s">
        <v>989</v>
      </c>
      <c r="G466" s="8">
        <v>10</v>
      </c>
      <c r="H466" s="8"/>
      <c r="I466" s="115">
        <f>Table223[[#This Row],[Qty]]-Table223[[#This Row],[Issue Qty]]</f>
        <v>10</v>
      </c>
      <c r="J466" s="5">
        <v>14.66</v>
      </c>
      <c r="K466" s="5">
        <f t="shared" si="23"/>
        <v>146.6</v>
      </c>
      <c r="L466" s="82">
        <v>0.18</v>
      </c>
      <c r="M466" s="9">
        <f t="shared" si="24"/>
        <v>26.387999999999998</v>
      </c>
      <c r="N466" s="5">
        <v>0</v>
      </c>
      <c r="O466" s="5"/>
      <c r="P466" s="5">
        <f t="shared" si="25"/>
        <v>172.988</v>
      </c>
      <c r="Q466" s="1" t="s">
        <v>890</v>
      </c>
      <c r="R466" s="1" t="s">
        <v>890</v>
      </c>
      <c r="S466" s="1" t="s">
        <v>312</v>
      </c>
      <c r="T466" s="1" t="s">
        <v>2192</v>
      </c>
      <c r="U466" s="1"/>
      <c r="V466" s="1"/>
      <c r="W466" s="21" t="s">
        <v>638</v>
      </c>
      <c r="X466" s="8" t="s">
        <v>1963</v>
      </c>
      <c r="Y466" s="8">
        <v>1</v>
      </c>
      <c r="Z466" s="22"/>
      <c r="AA466" s="1"/>
      <c r="AB466" s="29"/>
      <c r="AC466" s="1"/>
      <c r="AD466" s="50"/>
    </row>
    <row r="467" spans="1:30" s="51" customFormat="1" x14ac:dyDescent="0.25">
      <c r="A467" s="4"/>
      <c r="B467" s="4">
        <v>45791</v>
      </c>
      <c r="C467" s="1" t="s">
        <v>1989</v>
      </c>
      <c r="D467" s="26" t="s">
        <v>2197</v>
      </c>
      <c r="E467" s="26" t="s">
        <v>990</v>
      </c>
      <c r="F467" s="1" t="s">
        <v>990</v>
      </c>
      <c r="G467" s="8">
        <v>15</v>
      </c>
      <c r="H467" s="8"/>
      <c r="I467" s="115">
        <f>Table223[[#This Row],[Qty]]-Table223[[#This Row],[Issue Qty]]</f>
        <v>15</v>
      </c>
      <c r="J467" s="5">
        <v>9.26</v>
      </c>
      <c r="K467" s="5">
        <f t="shared" si="23"/>
        <v>138.9</v>
      </c>
      <c r="L467" s="82">
        <v>0.18</v>
      </c>
      <c r="M467" s="9">
        <f t="shared" si="24"/>
        <v>25.001999999999999</v>
      </c>
      <c r="N467" s="5">
        <v>236</v>
      </c>
      <c r="O467" s="5"/>
      <c r="P467" s="5">
        <f t="shared" si="25"/>
        <v>399.90200000000004</v>
      </c>
      <c r="Q467" s="1" t="s">
        <v>890</v>
      </c>
      <c r="R467" s="1" t="s">
        <v>890</v>
      </c>
      <c r="S467" s="1" t="s">
        <v>312</v>
      </c>
      <c r="T467" s="1" t="s">
        <v>2192</v>
      </c>
      <c r="U467" s="1"/>
      <c r="V467" s="1"/>
      <c r="W467" s="21" t="s">
        <v>638</v>
      </c>
      <c r="X467" s="8" t="s">
        <v>1963</v>
      </c>
      <c r="Y467" s="8"/>
      <c r="Z467" s="22"/>
      <c r="AA467" s="1"/>
      <c r="AB467" s="29"/>
      <c r="AC467" s="1"/>
      <c r="AD467" s="50"/>
    </row>
    <row r="468" spans="1:30" s="51" customFormat="1" x14ac:dyDescent="0.25">
      <c r="A468" s="4"/>
      <c r="B468" s="4">
        <v>45791</v>
      </c>
      <c r="C468" s="1" t="s">
        <v>1989</v>
      </c>
      <c r="D468" s="1" t="s">
        <v>2198</v>
      </c>
      <c r="E468" s="1" t="s">
        <v>991</v>
      </c>
      <c r="F468" s="1" t="s">
        <v>991</v>
      </c>
      <c r="G468" s="8">
        <v>1000</v>
      </c>
      <c r="H468" s="8">
        <v>305</v>
      </c>
      <c r="I468" s="115">
        <f>Table223[[#This Row],[Qty]]-Table223[[#This Row],[Issue Qty]]</f>
        <v>695</v>
      </c>
      <c r="J468" s="5">
        <v>25.88</v>
      </c>
      <c r="K468" s="5">
        <f t="shared" si="23"/>
        <v>25880</v>
      </c>
      <c r="L468" s="82">
        <v>0.18</v>
      </c>
      <c r="M468" s="9">
        <f t="shared" si="24"/>
        <v>4658.3999999999996</v>
      </c>
      <c r="N468" s="5">
        <v>0</v>
      </c>
      <c r="O468" s="5"/>
      <c r="P468" s="5">
        <f t="shared" si="25"/>
        <v>30538.400000000001</v>
      </c>
      <c r="Q468" s="1" t="s">
        <v>2887</v>
      </c>
      <c r="R468" s="1" t="s">
        <v>726</v>
      </c>
      <c r="S468" s="1" t="s">
        <v>312</v>
      </c>
      <c r="T468" s="1" t="s">
        <v>2190</v>
      </c>
      <c r="U468" s="1"/>
      <c r="V468" s="1"/>
      <c r="W468" s="21" t="s">
        <v>638</v>
      </c>
      <c r="X468" s="8" t="s">
        <v>1963</v>
      </c>
      <c r="Y468" s="8">
        <f>1000-695</f>
        <v>305</v>
      </c>
      <c r="Z468" s="22"/>
      <c r="AA468" s="1"/>
      <c r="AB468" s="29" t="s">
        <v>992</v>
      </c>
      <c r="AC468" s="1"/>
      <c r="AD468" s="50"/>
    </row>
    <row r="469" spans="1:30" s="51" customFormat="1" x14ac:dyDescent="0.25">
      <c r="A469" s="4"/>
      <c r="B469" s="4">
        <v>45791</v>
      </c>
      <c r="C469" s="1" t="s">
        <v>1989</v>
      </c>
      <c r="D469" s="26" t="s">
        <v>2199</v>
      </c>
      <c r="E469" s="26" t="s">
        <v>993</v>
      </c>
      <c r="F469" s="1" t="s">
        <v>993</v>
      </c>
      <c r="G469" s="8">
        <v>1000</v>
      </c>
      <c r="H469" s="8"/>
      <c r="I469" s="115">
        <f>Table223[[#This Row],[Qty]]-Table223[[#This Row],[Issue Qty]]</f>
        <v>1000</v>
      </c>
      <c r="J469" s="5">
        <v>1.91</v>
      </c>
      <c r="K469" s="5">
        <f t="shared" si="23"/>
        <v>1910</v>
      </c>
      <c r="L469" s="82">
        <v>0.18</v>
      </c>
      <c r="M469" s="9">
        <f t="shared" si="24"/>
        <v>343.8</v>
      </c>
      <c r="N469" s="5">
        <v>0</v>
      </c>
      <c r="O469" s="5"/>
      <c r="P469" s="5">
        <f t="shared" si="25"/>
        <v>2253.8000000000002</v>
      </c>
      <c r="Q469" s="1" t="s">
        <v>726</v>
      </c>
      <c r="R469" s="1" t="s">
        <v>726</v>
      </c>
      <c r="S469" s="1" t="s">
        <v>312</v>
      </c>
      <c r="T469" s="1" t="s">
        <v>2190</v>
      </c>
      <c r="U469" s="1"/>
      <c r="V469" s="1"/>
      <c r="W469" s="21" t="s">
        <v>638</v>
      </c>
      <c r="X469" s="8" t="s">
        <v>1963</v>
      </c>
      <c r="Y469" s="8">
        <f>1000-996</f>
        <v>4</v>
      </c>
      <c r="Z469" s="22"/>
      <c r="AA469" s="1"/>
      <c r="AB469" s="29"/>
      <c r="AC469" s="1"/>
      <c r="AD469" s="50"/>
    </row>
    <row r="470" spans="1:30" s="51" customFormat="1" x14ac:dyDescent="0.25">
      <c r="A470" s="4"/>
      <c r="B470" s="4">
        <v>45791</v>
      </c>
      <c r="C470" s="1" t="s">
        <v>1989</v>
      </c>
      <c r="D470" s="26" t="s">
        <v>2200</v>
      </c>
      <c r="E470" s="26" t="s">
        <v>994</v>
      </c>
      <c r="F470" s="1" t="s">
        <v>994</v>
      </c>
      <c r="G470" s="8">
        <v>10</v>
      </c>
      <c r="H470" s="8"/>
      <c r="I470" s="115">
        <f>Table223[[#This Row],[Qty]]-Table223[[#This Row],[Issue Qty]]</f>
        <v>10</v>
      </c>
      <c r="J470" s="5">
        <v>6.55</v>
      </c>
      <c r="K470" s="5">
        <f t="shared" si="23"/>
        <v>65.5</v>
      </c>
      <c r="L470" s="82">
        <v>0.18</v>
      </c>
      <c r="M470" s="9">
        <f t="shared" si="24"/>
        <v>11.79</v>
      </c>
      <c r="N470" s="5">
        <v>0</v>
      </c>
      <c r="O470" s="5"/>
      <c r="P470" s="5">
        <f t="shared" si="25"/>
        <v>77.289999999999992</v>
      </c>
      <c r="Q470" s="1" t="s">
        <v>890</v>
      </c>
      <c r="R470" s="1" t="s">
        <v>890</v>
      </c>
      <c r="S470" s="1" t="s">
        <v>312</v>
      </c>
      <c r="T470" s="1" t="s">
        <v>2192</v>
      </c>
      <c r="U470" s="1"/>
      <c r="V470" s="1"/>
      <c r="W470" s="21" t="s">
        <v>638</v>
      </c>
      <c r="X470" s="8" t="s">
        <v>1963</v>
      </c>
      <c r="Y470" s="8"/>
      <c r="Z470" s="22"/>
      <c r="AA470" s="1"/>
      <c r="AB470" s="29"/>
      <c r="AC470" s="1"/>
      <c r="AD470" s="50"/>
    </row>
    <row r="471" spans="1:30" s="51" customFormat="1" x14ac:dyDescent="0.25">
      <c r="A471" s="4"/>
      <c r="B471" s="4">
        <v>45791</v>
      </c>
      <c r="C471" s="1" t="s">
        <v>1989</v>
      </c>
      <c r="D471" s="26" t="s">
        <v>2201</v>
      </c>
      <c r="E471" s="168" t="s">
        <v>995</v>
      </c>
      <c r="F471" s="1" t="s">
        <v>995</v>
      </c>
      <c r="G471" s="8">
        <v>10</v>
      </c>
      <c r="H471" s="8">
        <v>10</v>
      </c>
      <c r="I471" s="115">
        <f>Table223[[#This Row],[Qty]]-Table223[[#This Row],[Issue Qty]]</f>
        <v>0</v>
      </c>
      <c r="J471" s="5">
        <v>11.67</v>
      </c>
      <c r="K471" s="5">
        <f t="shared" si="23"/>
        <v>116.7</v>
      </c>
      <c r="L471" s="82">
        <v>0.18</v>
      </c>
      <c r="M471" s="9">
        <f t="shared" si="24"/>
        <v>21.006</v>
      </c>
      <c r="N471" s="5">
        <v>0</v>
      </c>
      <c r="O471" s="5"/>
      <c r="P471" s="5">
        <f t="shared" si="25"/>
        <v>137.70600000000002</v>
      </c>
      <c r="Q471" s="1" t="s">
        <v>890</v>
      </c>
      <c r="R471" s="1" t="s">
        <v>890</v>
      </c>
      <c r="S471" s="1" t="s">
        <v>312</v>
      </c>
      <c r="T471" s="1" t="s">
        <v>2192</v>
      </c>
      <c r="U471" s="1"/>
      <c r="V471" s="1"/>
      <c r="W471" s="21" t="s">
        <v>638</v>
      </c>
      <c r="X471" s="8" t="s">
        <v>1963</v>
      </c>
      <c r="Y471" s="8">
        <v>10</v>
      </c>
      <c r="Z471" s="22" t="s">
        <v>1382</v>
      </c>
      <c r="AA471" s="1"/>
      <c r="AB471" s="29"/>
      <c r="AC471" s="1"/>
      <c r="AD471" s="50"/>
    </row>
    <row r="472" spans="1:30" s="51" customFormat="1" x14ac:dyDescent="0.25">
      <c r="A472" s="4"/>
      <c r="B472" s="4">
        <v>45792</v>
      </c>
      <c r="C472" s="1" t="s">
        <v>54</v>
      </c>
      <c r="D472" s="1" t="s">
        <v>2202</v>
      </c>
      <c r="E472" s="1" t="s">
        <v>996</v>
      </c>
      <c r="F472" s="1" t="s">
        <v>997</v>
      </c>
      <c r="G472" s="8">
        <v>4</v>
      </c>
      <c r="H472" s="8"/>
      <c r="I472" s="115">
        <f>Table223[[#This Row],[Qty]]-Table223[[#This Row],[Issue Qty]]</f>
        <v>4</v>
      </c>
      <c r="J472" s="5">
        <v>2219</v>
      </c>
      <c r="K472" s="5">
        <f t="shared" si="23"/>
        <v>8876</v>
      </c>
      <c r="L472" s="82">
        <v>0.12</v>
      </c>
      <c r="M472" s="9">
        <f t="shared" si="24"/>
        <v>1065.1199999999999</v>
      </c>
      <c r="N472" s="5">
        <v>0</v>
      </c>
      <c r="O472" s="5"/>
      <c r="P472" s="5">
        <f t="shared" si="25"/>
        <v>9941.119999999999</v>
      </c>
      <c r="Q472" s="1" t="s">
        <v>907</v>
      </c>
      <c r="R472" s="1" t="s">
        <v>907</v>
      </c>
      <c r="S472" s="1" t="s">
        <v>601</v>
      </c>
      <c r="T472" s="1">
        <v>50123</v>
      </c>
      <c r="U472" s="1"/>
      <c r="V472" s="27"/>
      <c r="W472" s="21"/>
      <c r="X472" s="28"/>
      <c r="Y472" s="21">
        <v>4</v>
      </c>
      <c r="Z472" s="12" t="s">
        <v>936</v>
      </c>
      <c r="AA472" s="27"/>
      <c r="AB472" s="29"/>
      <c r="AC472" s="27"/>
      <c r="AD472" s="50"/>
    </row>
    <row r="473" spans="1:30" s="51" customFormat="1" x14ac:dyDescent="0.25">
      <c r="A473" s="4"/>
      <c r="B473" s="4">
        <v>45794</v>
      </c>
      <c r="C473" s="1" t="s">
        <v>1989</v>
      </c>
      <c r="D473" s="26" t="s">
        <v>2203</v>
      </c>
      <c r="E473" s="26" t="s">
        <v>998</v>
      </c>
      <c r="F473" s="1" t="s">
        <v>998</v>
      </c>
      <c r="G473" s="58">
        <v>178</v>
      </c>
      <c r="H473" s="58">
        <v>33</v>
      </c>
      <c r="I473" s="159">
        <f>Table223[[#This Row],[Qty]]-Table223[[#This Row],[Issue Qty]]</f>
        <v>145</v>
      </c>
      <c r="J473" s="5">
        <v>6.93</v>
      </c>
      <c r="K473" s="5">
        <f t="shared" si="23"/>
        <v>1233.54</v>
      </c>
      <c r="L473" s="82">
        <v>0.18</v>
      </c>
      <c r="M473" s="9">
        <f t="shared" si="24"/>
        <v>222.03719999999998</v>
      </c>
      <c r="N473" s="5">
        <v>0</v>
      </c>
      <c r="O473" s="5"/>
      <c r="P473" s="5">
        <f t="shared" si="25"/>
        <v>1455.5771999999999</v>
      </c>
      <c r="Q473" s="1" t="s">
        <v>606</v>
      </c>
      <c r="R473" s="1" t="s">
        <v>606</v>
      </c>
      <c r="S473" s="1" t="s">
        <v>999</v>
      </c>
      <c r="T473" s="1" t="s">
        <v>2204</v>
      </c>
      <c r="U473" s="1"/>
      <c r="V473" s="1"/>
      <c r="W473" s="21" t="s">
        <v>573</v>
      </c>
      <c r="X473" s="21" t="s">
        <v>1963</v>
      </c>
      <c r="Y473" s="8">
        <v>35</v>
      </c>
      <c r="Z473" s="22" t="s">
        <v>2962</v>
      </c>
      <c r="AA473" s="1"/>
      <c r="AB473" s="29"/>
      <c r="AC473" s="1"/>
      <c r="AD473" s="50"/>
    </row>
    <row r="474" spans="1:30" s="51" customFormat="1" x14ac:dyDescent="0.25">
      <c r="A474" s="4"/>
      <c r="B474" s="4">
        <v>45794</v>
      </c>
      <c r="C474" s="1" t="s">
        <v>54</v>
      </c>
      <c r="D474" s="1" t="s">
        <v>2205</v>
      </c>
      <c r="E474" s="1" t="s">
        <v>1000</v>
      </c>
      <c r="F474" s="1" t="s">
        <v>1001</v>
      </c>
      <c r="G474" s="8">
        <v>4</v>
      </c>
      <c r="H474" s="8">
        <v>4</v>
      </c>
      <c r="I474" s="115">
        <f>Table223[[#This Row],[Qty]]-Table223[[#This Row],[Issue Qty]]</f>
        <v>0</v>
      </c>
      <c r="J474" s="5">
        <v>399</v>
      </c>
      <c r="K474" s="5">
        <f t="shared" si="23"/>
        <v>1596</v>
      </c>
      <c r="L474" s="82">
        <v>0.12</v>
      </c>
      <c r="M474" s="9">
        <f t="shared" si="24"/>
        <v>191.51999999999998</v>
      </c>
      <c r="N474" s="5">
        <v>0</v>
      </c>
      <c r="O474" s="5"/>
      <c r="P474" s="5">
        <f t="shared" si="25"/>
        <v>1787.52</v>
      </c>
      <c r="Q474" s="1" t="s">
        <v>890</v>
      </c>
      <c r="R474" s="1" t="s">
        <v>890</v>
      </c>
      <c r="S474" s="1" t="s">
        <v>601</v>
      </c>
      <c r="T474" s="1">
        <v>50138</v>
      </c>
      <c r="U474" s="1"/>
      <c r="V474" s="27"/>
      <c r="W474" s="21"/>
      <c r="X474" s="28"/>
      <c r="Y474" s="21">
        <v>4</v>
      </c>
      <c r="Z474" s="22" t="s">
        <v>145</v>
      </c>
      <c r="AA474" s="27"/>
      <c r="AB474" s="29" t="s">
        <v>1002</v>
      </c>
      <c r="AC474" s="27"/>
      <c r="AD474" s="50"/>
    </row>
    <row r="475" spans="1:30" s="51" customFormat="1" x14ac:dyDescent="0.25">
      <c r="A475" s="4"/>
      <c r="B475" s="4">
        <v>45794</v>
      </c>
      <c r="C475" s="1" t="s">
        <v>54</v>
      </c>
      <c r="D475" s="1" t="s">
        <v>2206</v>
      </c>
      <c r="E475" s="1" t="s">
        <v>1003</v>
      </c>
      <c r="F475" s="1" t="s">
        <v>1004</v>
      </c>
      <c r="G475" s="8">
        <v>4</v>
      </c>
      <c r="H475" s="8"/>
      <c r="I475" s="115">
        <f>Table223[[#This Row],[Qty]]-Table223[[#This Row],[Issue Qty]]</f>
        <v>4</v>
      </c>
      <c r="J475" s="5">
        <v>470</v>
      </c>
      <c r="K475" s="5">
        <f t="shared" si="23"/>
        <v>1880</v>
      </c>
      <c r="L475" s="82">
        <v>0.12</v>
      </c>
      <c r="M475" s="9">
        <f t="shared" si="24"/>
        <v>225.6</v>
      </c>
      <c r="N475" s="5">
        <v>0</v>
      </c>
      <c r="O475" s="5"/>
      <c r="P475" s="5">
        <f t="shared" si="25"/>
        <v>2105.6</v>
      </c>
      <c r="Q475" s="1" t="s">
        <v>890</v>
      </c>
      <c r="R475" s="1" t="s">
        <v>890</v>
      </c>
      <c r="S475" s="1" t="s">
        <v>601</v>
      </c>
      <c r="T475" s="1">
        <v>50138</v>
      </c>
      <c r="U475" s="1"/>
      <c r="V475" s="27"/>
      <c r="W475" s="21"/>
      <c r="X475" s="28"/>
      <c r="Y475" s="21">
        <v>4</v>
      </c>
      <c r="Z475" s="22" t="s">
        <v>145</v>
      </c>
      <c r="AA475" s="27"/>
      <c r="AB475" s="29" t="s">
        <v>826</v>
      </c>
      <c r="AC475" s="27"/>
      <c r="AD475" s="50"/>
    </row>
    <row r="476" spans="1:30" s="51" customFormat="1" x14ac:dyDescent="0.25">
      <c r="A476" s="4"/>
      <c r="B476" s="4">
        <v>45794</v>
      </c>
      <c r="C476" s="1" t="s">
        <v>54</v>
      </c>
      <c r="D476" s="1" t="s">
        <v>2207</v>
      </c>
      <c r="E476" s="1" t="s">
        <v>1005</v>
      </c>
      <c r="F476" s="1" t="s">
        <v>1006</v>
      </c>
      <c r="G476" s="8">
        <v>2</v>
      </c>
      <c r="H476" s="8"/>
      <c r="I476" s="115">
        <f>Table223[[#This Row],[Qty]]-Table223[[#This Row],[Issue Qty]]</f>
        <v>2</v>
      </c>
      <c r="J476" s="5">
        <v>663</v>
      </c>
      <c r="K476" s="5">
        <f t="shared" si="23"/>
        <v>1326</v>
      </c>
      <c r="L476" s="82">
        <v>0.12</v>
      </c>
      <c r="M476" s="9">
        <f t="shared" si="24"/>
        <v>159.12</v>
      </c>
      <c r="N476" s="5">
        <v>0</v>
      </c>
      <c r="O476" s="5"/>
      <c r="P476" s="5">
        <f t="shared" si="25"/>
        <v>1485.12</v>
      </c>
      <c r="Q476" s="1" t="s">
        <v>890</v>
      </c>
      <c r="R476" s="1" t="s">
        <v>890</v>
      </c>
      <c r="S476" s="1" t="s">
        <v>601</v>
      </c>
      <c r="T476" s="1">
        <v>50138</v>
      </c>
      <c r="U476" s="1"/>
      <c r="V476" s="27"/>
      <c r="W476" s="21"/>
      <c r="X476" s="28"/>
      <c r="Y476" s="21">
        <v>2</v>
      </c>
      <c r="Z476" s="22" t="s">
        <v>145</v>
      </c>
      <c r="AA476" s="27"/>
      <c r="AB476" s="29" t="s">
        <v>1007</v>
      </c>
      <c r="AC476" s="27"/>
      <c r="AD476" s="50"/>
    </row>
    <row r="477" spans="1:30" s="51" customFormat="1" x14ac:dyDescent="0.25">
      <c r="A477" s="4"/>
      <c r="B477" s="4">
        <v>45794</v>
      </c>
      <c r="C477" s="1" t="s">
        <v>1989</v>
      </c>
      <c r="D477" s="1" t="s">
        <v>2208</v>
      </c>
      <c r="E477" s="1" t="s">
        <v>1008</v>
      </c>
      <c r="F477" s="1" t="s">
        <v>1008</v>
      </c>
      <c r="G477" s="8">
        <v>20</v>
      </c>
      <c r="H477" s="8"/>
      <c r="I477" s="115">
        <f>Table223[[#This Row],[Qty]]-Table223[[#This Row],[Issue Qty]]</f>
        <v>20</v>
      </c>
      <c r="J477" s="5">
        <v>950</v>
      </c>
      <c r="K477" s="5">
        <f t="shared" si="23"/>
        <v>19000</v>
      </c>
      <c r="L477" s="82">
        <v>0.18</v>
      </c>
      <c r="M477" s="9">
        <f t="shared" si="24"/>
        <v>3420</v>
      </c>
      <c r="N477" s="5">
        <v>0</v>
      </c>
      <c r="O477" s="5"/>
      <c r="P477" s="5">
        <f t="shared" si="25"/>
        <v>22420</v>
      </c>
      <c r="Q477" s="1" t="s">
        <v>890</v>
      </c>
      <c r="R477" s="1" t="s">
        <v>890</v>
      </c>
      <c r="S477" s="1" t="s">
        <v>1009</v>
      </c>
      <c r="T477" s="1" t="s">
        <v>2209</v>
      </c>
      <c r="U477" s="1"/>
      <c r="V477" s="27"/>
      <c r="W477" s="21" t="s">
        <v>1345</v>
      </c>
      <c r="X477" s="28"/>
      <c r="Y477" s="21">
        <v>20</v>
      </c>
      <c r="Z477" s="12" t="s">
        <v>588</v>
      </c>
      <c r="AA477" s="27"/>
      <c r="AB477" s="29"/>
      <c r="AC477" s="27"/>
      <c r="AD477" s="50"/>
    </row>
    <row r="478" spans="1:30" s="51" customFormat="1" x14ac:dyDescent="0.25">
      <c r="A478" s="4"/>
      <c r="B478" s="4">
        <v>45796</v>
      </c>
      <c r="C478" s="1" t="s">
        <v>54</v>
      </c>
      <c r="D478" s="1" t="s">
        <v>2210</v>
      </c>
      <c r="E478" s="1" t="s">
        <v>1010</v>
      </c>
      <c r="F478" s="1" t="s">
        <v>1010</v>
      </c>
      <c r="G478" s="8">
        <v>10</v>
      </c>
      <c r="H478" s="8">
        <v>8</v>
      </c>
      <c r="I478" s="115">
        <f>Table223[[#This Row],[Qty]]-Table223[[#This Row],[Issue Qty]]</f>
        <v>2</v>
      </c>
      <c r="J478" s="5">
        <v>257.14</v>
      </c>
      <c r="K478" s="5">
        <f t="shared" si="23"/>
        <v>2571.3999999999996</v>
      </c>
      <c r="L478" s="82">
        <v>0.05</v>
      </c>
      <c r="M478" s="9">
        <f t="shared" si="24"/>
        <v>128.57</v>
      </c>
      <c r="N478" s="5">
        <f>169.5+30.53</f>
        <v>200.03</v>
      </c>
      <c r="O478" s="5"/>
      <c r="P478" s="5">
        <f t="shared" si="25"/>
        <v>2900</v>
      </c>
      <c r="Q478" s="1" t="s">
        <v>907</v>
      </c>
      <c r="R478" s="1" t="s">
        <v>907</v>
      </c>
      <c r="S478" s="1" t="s">
        <v>968</v>
      </c>
      <c r="T478" s="1" t="s">
        <v>2211</v>
      </c>
      <c r="U478" s="1"/>
      <c r="V478" s="1"/>
      <c r="W478" s="21" t="s">
        <v>33</v>
      </c>
      <c r="X478" s="8" t="s">
        <v>1963</v>
      </c>
      <c r="Y478" s="8">
        <v>8</v>
      </c>
      <c r="Z478" s="22" t="s">
        <v>2907</v>
      </c>
      <c r="AA478" s="22" t="s">
        <v>1011</v>
      </c>
      <c r="AB478" s="29" t="s">
        <v>1012</v>
      </c>
      <c r="AC478" s="1"/>
      <c r="AD478" s="50"/>
    </row>
    <row r="479" spans="1:30" s="51" customFormat="1" x14ac:dyDescent="0.25">
      <c r="A479" s="4"/>
      <c r="B479" s="4">
        <v>45797</v>
      </c>
      <c r="C479" s="1" t="s">
        <v>54</v>
      </c>
      <c r="D479" s="1" t="s">
        <v>2083</v>
      </c>
      <c r="E479" s="1" t="s">
        <v>840</v>
      </c>
      <c r="F479" s="1" t="s">
        <v>54</v>
      </c>
      <c r="G479" s="8">
        <v>2</v>
      </c>
      <c r="H479" s="8"/>
      <c r="I479" s="115">
        <f>Table223[[#This Row],[Qty]]-Table223[[#This Row],[Issue Qty]]</f>
        <v>2</v>
      </c>
      <c r="J479" s="5"/>
      <c r="K479" s="5">
        <f t="shared" si="23"/>
        <v>0</v>
      </c>
      <c r="L479" s="82">
        <v>0</v>
      </c>
      <c r="M479" s="9">
        <f t="shared" si="24"/>
        <v>0</v>
      </c>
      <c r="N479" s="5">
        <v>0</v>
      </c>
      <c r="O479" s="5"/>
      <c r="P479" s="5">
        <f t="shared" si="25"/>
        <v>0</v>
      </c>
      <c r="Q479" s="1" t="s">
        <v>726</v>
      </c>
      <c r="R479" s="1" t="s">
        <v>726</v>
      </c>
      <c r="S479" s="1" t="s">
        <v>358</v>
      </c>
      <c r="T479" s="1"/>
      <c r="U479" s="1"/>
      <c r="V479" s="1"/>
      <c r="W479" s="21" t="s">
        <v>688</v>
      </c>
      <c r="X479" s="8"/>
      <c r="Y479" s="8"/>
      <c r="Z479" s="22"/>
      <c r="AA479" s="1"/>
      <c r="AB479" s="29" t="s">
        <v>842</v>
      </c>
      <c r="AC479" s="1"/>
      <c r="AD479" s="50"/>
    </row>
    <row r="480" spans="1:30" s="51" customFormat="1" ht="60" x14ac:dyDescent="0.25">
      <c r="A480" s="4"/>
      <c r="B480" s="4">
        <v>45798</v>
      </c>
      <c r="C480" s="1" t="s">
        <v>54</v>
      </c>
      <c r="D480" s="26" t="s">
        <v>2212</v>
      </c>
      <c r="E480" s="26" t="s">
        <v>1013</v>
      </c>
      <c r="F480" s="1" t="s">
        <v>1014</v>
      </c>
      <c r="G480" s="8">
        <v>1</v>
      </c>
      <c r="H480" s="8">
        <v>1</v>
      </c>
      <c r="I480" s="115">
        <f>Table223[[#This Row],[Qty]]-Table223[[#This Row],[Issue Qty]]</f>
        <v>0</v>
      </c>
      <c r="J480" s="5">
        <v>2000</v>
      </c>
      <c r="K480" s="5">
        <f t="shared" si="23"/>
        <v>2000</v>
      </c>
      <c r="L480" s="82">
        <v>0.18</v>
      </c>
      <c r="M480" s="9">
        <f t="shared" si="24"/>
        <v>360</v>
      </c>
      <c r="N480" s="5">
        <v>0</v>
      </c>
      <c r="O480" s="5"/>
      <c r="P480" s="5">
        <f t="shared" si="25"/>
        <v>2360</v>
      </c>
      <c r="Q480" s="1" t="s">
        <v>890</v>
      </c>
      <c r="R480" s="1" t="s">
        <v>890</v>
      </c>
      <c r="S480" s="1" t="s">
        <v>358</v>
      </c>
      <c r="T480" s="1" t="s">
        <v>2213</v>
      </c>
      <c r="U480" s="1"/>
      <c r="V480" s="27"/>
      <c r="W480" s="21"/>
      <c r="X480" s="28"/>
      <c r="Y480" s="21">
        <v>1</v>
      </c>
      <c r="Z480" s="12" t="s">
        <v>145</v>
      </c>
      <c r="AA480" s="27"/>
      <c r="AB480" s="29"/>
      <c r="AC480" s="27"/>
      <c r="AD480" s="50"/>
    </row>
    <row r="481" spans="1:30" s="51" customFormat="1" x14ac:dyDescent="0.25">
      <c r="A481" s="4"/>
      <c r="B481" s="4">
        <v>45799</v>
      </c>
      <c r="C481" s="1" t="s">
        <v>54</v>
      </c>
      <c r="D481" s="1" t="s">
        <v>2214</v>
      </c>
      <c r="E481" s="1" t="s">
        <v>1015</v>
      </c>
      <c r="F481" s="1" t="s">
        <v>1016</v>
      </c>
      <c r="G481" s="8">
        <v>2</v>
      </c>
      <c r="H481" s="8"/>
      <c r="I481" s="115">
        <f>Table223[[#This Row],[Qty]]-Table223[[#This Row],[Issue Qty]]</f>
        <v>2</v>
      </c>
      <c r="J481" s="5">
        <v>1282</v>
      </c>
      <c r="K481" s="5">
        <f t="shared" si="23"/>
        <v>2564</v>
      </c>
      <c r="L481" s="82">
        <v>0.18</v>
      </c>
      <c r="M481" s="9">
        <f t="shared" si="24"/>
        <v>461.52</v>
      </c>
      <c r="N481" s="5">
        <v>0</v>
      </c>
      <c r="O481" s="5"/>
      <c r="P481" s="5">
        <f t="shared" si="25"/>
        <v>3025.52</v>
      </c>
      <c r="Q481" s="1" t="s">
        <v>726</v>
      </c>
      <c r="R481" s="1" t="s">
        <v>726</v>
      </c>
      <c r="S481" s="1" t="s">
        <v>1017</v>
      </c>
      <c r="T481" s="1" t="s">
        <v>2215</v>
      </c>
      <c r="U481" s="1"/>
      <c r="V481" s="1"/>
      <c r="W481" s="21" t="s">
        <v>688</v>
      </c>
      <c r="X481" s="8"/>
      <c r="Y481" s="8"/>
      <c r="Z481" s="22"/>
      <c r="AA481" s="1"/>
      <c r="AB481" s="29" t="s">
        <v>1018</v>
      </c>
      <c r="AC481" s="1"/>
      <c r="AD481" s="50"/>
    </row>
    <row r="482" spans="1:30" s="51" customFormat="1" x14ac:dyDescent="0.25">
      <c r="A482" s="4"/>
      <c r="B482" s="4">
        <v>45799</v>
      </c>
      <c r="C482" s="1" t="s">
        <v>54</v>
      </c>
      <c r="D482" s="1" t="s">
        <v>2216</v>
      </c>
      <c r="E482" s="1" t="s">
        <v>1019</v>
      </c>
      <c r="F482" s="1" t="s">
        <v>1020</v>
      </c>
      <c r="G482" s="8">
        <v>2</v>
      </c>
      <c r="H482" s="8"/>
      <c r="I482" s="115">
        <f>Table223[[#This Row],[Qty]]-Table223[[#This Row],[Issue Qty]]</f>
        <v>2</v>
      </c>
      <c r="J482" s="5">
        <v>1282</v>
      </c>
      <c r="K482" s="5">
        <f t="shared" si="23"/>
        <v>2564</v>
      </c>
      <c r="L482" s="82">
        <v>0.18</v>
      </c>
      <c r="M482" s="9">
        <f t="shared" si="24"/>
        <v>461.52</v>
      </c>
      <c r="N482" s="5">
        <v>0</v>
      </c>
      <c r="O482" s="5"/>
      <c r="P482" s="5">
        <f t="shared" si="25"/>
        <v>3025.52</v>
      </c>
      <c r="Q482" s="1" t="s">
        <v>726</v>
      </c>
      <c r="R482" s="1" t="s">
        <v>726</v>
      </c>
      <c r="S482" s="1" t="s">
        <v>1017</v>
      </c>
      <c r="T482" s="1" t="s">
        <v>2215</v>
      </c>
      <c r="U482" s="1"/>
      <c r="V482" s="1"/>
      <c r="W482" s="21" t="s">
        <v>688</v>
      </c>
      <c r="X482" s="8"/>
      <c r="Y482" s="8"/>
      <c r="Z482" s="22"/>
      <c r="AA482" s="1"/>
      <c r="AB482" s="29" t="s">
        <v>1021</v>
      </c>
      <c r="AC482" s="1"/>
      <c r="AD482" s="50"/>
    </row>
    <row r="483" spans="1:30" s="51" customFormat="1" x14ac:dyDescent="0.25">
      <c r="A483" s="4"/>
      <c r="B483" s="4">
        <v>45799</v>
      </c>
      <c r="C483" s="1" t="s">
        <v>54</v>
      </c>
      <c r="D483" s="1" t="s">
        <v>2217</v>
      </c>
      <c r="E483" s="1" t="s">
        <v>1022</v>
      </c>
      <c r="F483" s="1" t="s">
        <v>1023</v>
      </c>
      <c r="G483" s="8">
        <v>2</v>
      </c>
      <c r="H483" s="8"/>
      <c r="I483" s="115">
        <f>Table223[[#This Row],[Qty]]-Table223[[#This Row],[Issue Qty]]</f>
        <v>2</v>
      </c>
      <c r="J483" s="5">
        <v>1282</v>
      </c>
      <c r="K483" s="5">
        <f t="shared" si="23"/>
        <v>2564</v>
      </c>
      <c r="L483" s="82">
        <v>0.18</v>
      </c>
      <c r="M483" s="9">
        <f t="shared" si="24"/>
        <v>461.52</v>
      </c>
      <c r="N483" s="5">
        <v>0</v>
      </c>
      <c r="O483" s="5"/>
      <c r="P483" s="5">
        <f t="shared" si="25"/>
        <v>3025.52</v>
      </c>
      <c r="Q483" s="1" t="s">
        <v>726</v>
      </c>
      <c r="R483" s="1" t="s">
        <v>726</v>
      </c>
      <c r="S483" s="1" t="s">
        <v>1017</v>
      </c>
      <c r="T483" s="1" t="s">
        <v>2215</v>
      </c>
      <c r="U483" s="1"/>
      <c r="V483" s="1"/>
      <c r="W483" s="21" t="s">
        <v>688</v>
      </c>
      <c r="X483" s="8"/>
      <c r="Y483" s="8">
        <v>1</v>
      </c>
      <c r="Z483" s="22" t="s">
        <v>1024</v>
      </c>
      <c r="AA483" s="1"/>
      <c r="AB483" s="29" t="s">
        <v>1025</v>
      </c>
      <c r="AC483" s="1"/>
      <c r="AD483" s="50"/>
    </row>
    <row r="484" spans="1:30" s="51" customFormat="1" x14ac:dyDescent="0.25">
      <c r="A484" s="4"/>
      <c r="B484" s="4">
        <v>45799</v>
      </c>
      <c r="C484" s="1" t="s">
        <v>54</v>
      </c>
      <c r="D484" s="1" t="s">
        <v>2218</v>
      </c>
      <c r="E484" s="169" t="s">
        <v>1026</v>
      </c>
      <c r="F484" s="1" t="s">
        <v>1026</v>
      </c>
      <c r="G484" s="8">
        <v>3</v>
      </c>
      <c r="H484" s="8">
        <v>3</v>
      </c>
      <c r="I484" s="115">
        <f>Table223[[#This Row],[Qty]]-Table223[[#This Row],[Issue Qty]]</f>
        <v>0</v>
      </c>
      <c r="J484" s="5">
        <v>139.19999999999999</v>
      </c>
      <c r="K484" s="5">
        <f t="shared" si="23"/>
        <v>417.59999999999997</v>
      </c>
      <c r="L484" s="82">
        <v>0.18</v>
      </c>
      <c r="M484" s="9">
        <f t="shared" si="24"/>
        <v>75.167999999999992</v>
      </c>
      <c r="N484" s="5">
        <v>413</v>
      </c>
      <c r="O484" s="5"/>
      <c r="P484" s="5">
        <f t="shared" si="25"/>
        <v>905.76800000000003</v>
      </c>
      <c r="Q484" s="1" t="s">
        <v>726</v>
      </c>
      <c r="R484" s="1" t="s">
        <v>726</v>
      </c>
      <c r="S484" s="1" t="s">
        <v>1017</v>
      </c>
      <c r="T484" s="1" t="s">
        <v>2215</v>
      </c>
      <c r="U484" s="1"/>
      <c r="V484" s="1"/>
      <c r="W484" s="21"/>
      <c r="X484" s="8"/>
      <c r="Y484" s="8">
        <v>3</v>
      </c>
      <c r="Z484" s="22" t="s">
        <v>481</v>
      </c>
      <c r="AA484" s="1"/>
      <c r="AB484" s="29" t="s">
        <v>977</v>
      </c>
      <c r="AC484" s="1"/>
      <c r="AD484" s="50"/>
    </row>
    <row r="485" spans="1:30" s="51" customFormat="1" ht="30" x14ac:dyDescent="0.25">
      <c r="A485" s="4"/>
      <c r="B485" s="4">
        <v>45800</v>
      </c>
      <c r="C485" s="1" t="s">
        <v>1991</v>
      </c>
      <c r="D485" s="26" t="s">
        <v>2219</v>
      </c>
      <c r="E485" s="168" t="s">
        <v>1027</v>
      </c>
      <c r="F485" s="1" t="s">
        <v>1027</v>
      </c>
      <c r="G485" s="8">
        <v>2</v>
      </c>
      <c r="H485" s="8">
        <v>2</v>
      </c>
      <c r="I485" s="115">
        <f>Table223[[#This Row],[Qty]]-Table223[[#This Row],[Issue Qty]]</f>
        <v>0</v>
      </c>
      <c r="J485" s="5">
        <v>505.93</v>
      </c>
      <c r="K485" s="5">
        <f t="shared" si="23"/>
        <v>1011.86</v>
      </c>
      <c r="L485" s="82">
        <v>0.18</v>
      </c>
      <c r="M485" s="9">
        <f t="shared" si="24"/>
        <v>182.13479999999998</v>
      </c>
      <c r="N485" s="5">
        <v>99.01</v>
      </c>
      <c r="O485" s="5"/>
      <c r="P485" s="5">
        <f t="shared" si="25"/>
        <v>1293.0047999999999</v>
      </c>
      <c r="Q485" s="1" t="s">
        <v>726</v>
      </c>
      <c r="R485" s="1" t="s">
        <v>726</v>
      </c>
      <c r="S485" s="1" t="s">
        <v>691</v>
      </c>
      <c r="T485" s="1" t="s">
        <v>2220</v>
      </c>
      <c r="U485" s="1"/>
      <c r="V485" s="27"/>
      <c r="W485" s="21" t="s">
        <v>650</v>
      </c>
      <c r="X485" s="8" t="s">
        <v>651</v>
      </c>
      <c r="Y485" s="21">
        <v>2</v>
      </c>
      <c r="Z485" s="12" t="s">
        <v>1028</v>
      </c>
      <c r="AA485" s="27"/>
      <c r="AB485" s="29"/>
      <c r="AC485" s="27"/>
      <c r="AD485" s="50"/>
    </row>
    <row r="486" spans="1:30" s="51" customFormat="1" x14ac:dyDescent="0.25">
      <c r="A486" s="4"/>
      <c r="B486" s="4">
        <v>45803</v>
      </c>
      <c r="C486" s="1" t="s">
        <v>2096</v>
      </c>
      <c r="D486" s="1" t="s">
        <v>2221</v>
      </c>
      <c r="E486" s="1" t="s">
        <v>1029</v>
      </c>
      <c r="F486" s="1" t="s">
        <v>1029</v>
      </c>
      <c r="G486" s="8">
        <v>4</v>
      </c>
      <c r="H486" s="8"/>
      <c r="I486" s="115">
        <f>Table223[[#This Row],[Qty]]-Table223[[#This Row],[Issue Qty]]</f>
        <v>4</v>
      </c>
      <c r="J486" s="5">
        <v>22857.142500000002</v>
      </c>
      <c r="K486" s="5">
        <f t="shared" si="23"/>
        <v>91428.57</v>
      </c>
      <c r="L486" s="82">
        <v>0.05</v>
      </c>
      <c r="M486" s="9">
        <f t="shared" si="24"/>
        <v>4571.4285000000009</v>
      </c>
      <c r="N486" s="5">
        <v>199</v>
      </c>
      <c r="O486" s="5"/>
      <c r="P486" s="5">
        <f t="shared" si="25"/>
        <v>96198.998500000002</v>
      </c>
      <c r="Q486" s="1" t="s">
        <v>980</v>
      </c>
      <c r="R486" s="1" t="s">
        <v>980</v>
      </c>
      <c r="S486" s="1" t="s">
        <v>691</v>
      </c>
      <c r="T486" s="1" t="s">
        <v>2222</v>
      </c>
      <c r="U486" s="1"/>
      <c r="V486" s="1"/>
      <c r="W486" s="21" t="s">
        <v>29</v>
      </c>
      <c r="X486" s="8"/>
      <c r="Y486" s="8"/>
      <c r="Z486" s="22"/>
      <c r="AA486" s="1"/>
      <c r="AB486" s="29" t="s">
        <v>1030</v>
      </c>
      <c r="AC486" s="1"/>
      <c r="AD486" s="50"/>
    </row>
    <row r="487" spans="1:30" s="51" customFormat="1" x14ac:dyDescent="0.25">
      <c r="A487" s="4"/>
      <c r="B487" s="4">
        <v>45804</v>
      </c>
      <c r="C487" s="1" t="s">
        <v>1989</v>
      </c>
      <c r="D487" s="26" t="s">
        <v>2177</v>
      </c>
      <c r="E487" s="168" t="s">
        <v>971</v>
      </c>
      <c r="F487" s="1" t="s">
        <v>1031</v>
      </c>
      <c r="G487" s="8">
        <v>10</v>
      </c>
      <c r="H487" s="8">
        <v>10</v>
      </c>
      <c r="I487" s="115">
        <f>Table223[[#This Row],[Qty]]-Table223[[#This Row],[Issue Qty]]</f>
        <v>0</v>
      </c>
      <c r="J487" s="5">
        <v>0</v>
      </c>
      <c r="K487" s="5">
        <f t="shared" si="23"/>
        <v>0</v>
      </c>
      <c r="L487" s="82">
        <v>0</v>
      </c>
      <c r="M487" s="9">
        <f t="shared" si="24"/>
        <v>0</v>
      </c>
      <c r="N487" s="5">
        <v>0</v>
      </c>
      <c r="O487" s="5"/>
      <c r="P487" s="5">
        <f t="shared" si="25"/>
        <v>0</v>
      </c>
      <c r="Q487" s="1" t="s">
        <v>726</v>
      </c>
      <c r="R487" s="1" t="s">
        <v>726</v>
      </c>
      <c r="S487" s="1" t="s">
        <v>896</v>
      </c>
      <c r="T487" s="1" t="s">
        <v>37</v>
      </c>
      <c r="U487" s="1"/>
      <c r="V487" s="1"/>
      <c r="W487" s="21" t="s">
        <v>638</v>
      </c>
      <c r="X487" s="8" t="s">
        <v>1960</v>
      </c>
      <c r="Y487" s="8">
        <v>10</v>
      </c>
      <c r="Z487" s="12" t="s">
        <v>1032</v>
      </c>
      <c r="AA487" s="1"/>
      <c r="AB487" s="29"/>
      <c r="AC487" s="1"/>
      <c r="AD487" s="50"/>
    </row>
    <row r="488" spans="1:30" s="51" customFormat="1" x14ac:dyDescent="0.25">
      <c r="A488" s="4"/>
      <c r="B488" s="4">
        <v>45804</v>
      </c>
      <c r="C488" s="1" t="s">
        <v>1989</v>
      </c>
      <c r="D488" s="1" t="s">
        <v>2223</v>
      </c>
      <c r="E488" s="1" t="s">
        <v>1033</v>
      </c>
      <c r="F488" s="1" t="s">
        <v>1034</v>
      </c>
      <c r="G488" s="8">
        <v>1</v>
      </c>
      <c r="H488" s="8"/>
      <c r="I488" s="115">
        <f>Table223[[#This Row],[Qty]]-Table223[[#This Row],[Issue Qty]]</f>
        <v>1</v>
      </c>
      <c r="J488" s="5">
        <v>1840</v>
      </c>
      <c r="K488" s="5">
        <f t="shared" si="23"/>
        <v>1840</v>
      </c>
      <c r="L488" s="82">
        <v>0.18</v>
      </c>
      <c r="M488" s="9">
        <f t="shared" si="24"/>
        <v>331.2</v>
      </c>
      <c r="N488" s="5">
        <v>0</v>
      </c>
      <c r="O488" s="5"/>
      <c r="P488" s="5">
        <f t="shared" si="25"/>
        <v>2171.1999999999998</v>
      </c>
      <c r="Q488" s="1" t="s">
        <v>890</v>
      </c>
      <c r="R488" s="1" t="s">
        <v>890</v>
      </c>
      <c r="S488" s="1" t="s">
        <v>896</v>
      </c>
      <c r="T488" s="1" t="s">
        <v>2224</v>
      </c>
      <c r="U488" s="1"/>
      <c r="V488" s="27"/>
      <c r="W488" s="21"/>
      <c r="X488" s="28"/>
      <c r="Y488" s="21">
        <v>1</v>
      </c>
      <c r="Z488" s="12" t="s">
        <v>1032</v>
      </c>
      <c r="AA488" s="27"/>
      <c r="AB488" s="29" t="s">
        <v>1035</v>
      </c>
      <c r="AC488" s="27"/>
      <c r="AD488" s="50"/>
    </row>
    <row r="489" spans="1:30" s="51" customFormat="1" x14ac:dyDescent="0.25">
      <c r="A489" s="4"/>
      <c r="B489" s="4">
        <v>45805</v>
      </c>
      <c r="C489" s="1" t="s">
        <v>2003</v>
      </c>
      <c r="D489" s="26" t="s">
        <v>2225</v>
      </c>
      <c r="E489" s="26" t="s">
        <v>1036</v>
      </c>
      <c r="F489" s="1" t="s">
        <v>1036</v>
      </c>
      <c r="G489" s="8">
        <v>1</v>
      </c>
      <c r="H489" s="8"/>
      <c r="I489" s="115">
        <f>Table223[[#This Row],[Qty]]-Table223[[#This Row],[Issue Qty]]</f>
        <v>1</v>
      </c>
      <c r="J489" s="5">
        <v>350</v>
      </c>
      <c r="K489" s="5">
        <f t="shared" si="23"/>
        <v>350</v>
      </c>
      <c r="L489" s="82">
        <v>0</v>
      </c>
      <c r="M489" s="9">
        <f t="shared" si="24"/>
        <v>0</v>
      </c>
      <c r="N489" s="5">
        <v>0</v>
      </c>
      <c r="O489" s="5"/>
      <c r="P489" s="5">
        <f t="shared" si="25"/>
        <v>350</v>
      </c>
      <c r="Q489" s="1" t="s">
        <v>838</v>
      </c>
      <c r="R489" s="1" t="s">
        <v>838</v>
      </c>
      <c r="S489" s="1" t="s">
        <v>1037</v>
      </c>
      <c r="T489" s="1" t="s">
        <v>37</v>
      </c>
      <c r="U489" s="1"/>
      <c r="V489" s="1"/>
      <c r="W489" s="21"/>
      <c r="X489" s="8"/>
      <c r="Y489" s="8">
        <v>1</v>
      </c>
      <c r="Z489" s="22" t="s">
        <v>1011</v>
      </c>
      <c r="AA489" s="1"/>
      <c r="AB489" s="29"/>
      <c r="AC489" s="1"/>
      <c r="AD489" s="50"/>
    </row>
    <row r="490" spans="1:30" s="51" customFormat="1" x14ac:dyDescent="0.25">
      <c r="A490" s="4"/>
      <c r="B490" s="4">
        <v>45806</v>
      </c>
      <c r="C490" s="1" t="s">
        <v>1989</v>
      </c>
      <c r="D490" s="1" t="s">
        <v>2226</v>
      </c>
      <c r="E490" s="1" t="s">
        <v>1038</v>
      </c>
      <c r="F490" s="1" t="s">
        <v>1038</v>
      </c>
      <c r="G490" s="8">
        <v>100</v>
      </c>
      <c r="H490" s="8">
        <v>50</v>
      </c>
      <c r="I490" s="115">
        <f>Table223[[#This Row],[Qty]]-Table223[[#This Row],[Issue Qty]]</f>
        <v>50</v>
      </c>
      <c r="J490" s="5">
        <v>9.2799999999999994</v>
      </c>
      <c r="K490" s="5">
        <f t="shared" si="23"/>
        <v>927.99999999999989</v>
      </c>
      <c r="L490" s="82">
        <v>0.18</v>
      </c>
      <c r="M490" s="9">
        <f t="shared" si="24"/>
        <v>167.03999999999996</v>
      </c>
      <c r="N490" s="5">
        <f>200+200*0.18</f>
        <v>236</v>
      </c>
      <c r="O490" s="5"/>
      <c r="P490" s="5">
        <f t="shared" si="25"/>
        <v>1331.04</v>
      </c>
      <c r="Q490" s="1" t="s">
        <v>726</v>
      </c>
      <c r="R490" s="1" t="s">
        <v>726</v>
      </c>
      <c r="S490" s="1" t="s">
        <v>312</v>
      </c>
      <c r="T490" s="1" t="s">
        <v>2227</v>
      </c>
      <c r="U490" s="1"/>
      <c r="V490" s="1"/>
      <c r="W490" s="21" t="s">
        <v>638</v>
      </c>
      <c r="X490" s="8"/>
      <c r="Y490" s="8">
        <v>30</v>
      </c>
      <c r="Z490" s="22" t="s">
        <v>474</v>
      </c>
      <c r="AA490" s="1"/>
      <c r="AB490" s="29" t="s">
        <v>1039</v>
      </c>
      <c r="AC490" s="1"/>
      <c r="AD490" s="50"/>
    </row>
    <row r="491" spans="1:30" s="51" customFormat="1" ht="30" x14ac:dyDescent="0.25">
      <c r="A491" s="4"/>
      <c r="B491" s="4">
        <v>45807</v>
      </c>
      <c r="C491" s="1" t="s">
        <v>1991</v>
      </c>
      <c r="D491" s="1" t="s">
        <v>1918</v>
      </c>
      <c r="E491" s="1" t="s">
        <v>562</v>
      </c>
      <c r="F491" s="1" t="s">
        <v>1040</v>
      </c>
      <c r="G491" s="8">
        <v>1</v>
      </c>
      <c r="H491" s="8"/>
      <c r="I491" s="115">
        <f>Table223[[#This Row],[Qty]]-Table223[[#This Row],[Issue Qty]]</f>
        <v>1</v>
      </c>
      <c r="J491" s="5">
        <v>161.01499999999999</v>
      </c>
      <c r="K491" s="5">
        <f t="shared" si="23"/>
        <v>161.01499999999999</v>
      </c>
      <c r="L491" s="82">
        <v>0.18</v>
      </c>
      <c r="M491" s="9">
        <f t="shared" si="24"/>
        <v>28.982699999999998</v>
      </c>
      <c r="N491" s="5">
        <v>99</v>
      </c>
      <c r="O491" s="5"/>
      <c r="P491" s="5">
        <f t="shared" si="25"/>
        <v>288.99770000000001</v>
      </c>
      <c r="Q491" s="1" t="s">
        <v>939</v>
      </c>
      <c r="R491" s="1" t="s">
        <v>939</v>
      </c>
      <c r="S491" s="1" t="s">
        <v>691</v>
      </c>
      <c r="T491" s="1" t="s">
        <v>2228</v>
      </c>
      <c r="U491" s="1"/>
      <c r="V491" s="27"/>
      <c r="W491" s="21" t="s">
        <v>89</v>
      </c>
      <c r="X491" s="28" t="s">
        <v>692</v>
      </c>
      <c r="Y491" s="21">
        <v>1</v>
      </c>
      <c r="Z491" s="12" t="s">
        <v>2949</v>
      </c>
      <c r="AA491" s="27"/>
      <c r="AB491" s="29"/>
      <c r="AC491" s="27"/>
      <c r="AD491" s="50"/>
    </row>
    <row r="492" spans="1:30" s="51" customFormat="1" x14ac:dyDescent="0.25">
      <c r="A492" s="4"/>
      <c r="B492" s="4">
        <v>45807</v>
      </c>
      <c r="C492" s="1" t="s">
        <v>1991</v>
      </c>
      <c r="D492" s="1" t="s">
        <v>2229</v>
      </c>
      <c r="E492" s="169" t="s">
        <v>1041</v>
      </c>
      <c r="F492" s="1" t="s">
        <v>1041</v>
      </c>
      <c r="G492" s="8">
        <v>3</v>
      </c>
      <c r="H492" s="8">
        <v>3</v>
      </c>
      <c r="I492" s="115">
        <f>Table223[[#This Row],[Qty]]-Table223[[#This Row],[Issue Qty]]</f>
        <v>0</v>
      </c>
      <c r="J492" s="5">
        <v>62.713332999999999</v>
      </c>
      <c r="K492" s="5">
        <f t="shared" si="23"/>
        <v>188.13999899999999</v>
      </c>
      <c r="L492" s="82">
        <v>0.18</v>
      </c>
      <c r="M492" s="9">
        <f t="shared" si="24"/>
        <v>33.865199819999994</v>
      </c>
      <c r="N492" s="5">
        <v>0</v>
      </c>
      <c r="O492" s="5"/>
      <c r="P492" s="5">
        <f t="shared" si="25"/>
        <v>222.00519881999998</v>
      </c>
      <c r="Q492" s="1" t="s">
        <v>939</v>
      </c>
      <c r="R492" s="1" t="s">
        <v>939</v>
      </c>
      <c r="S492" s="1" t="s">
        <v>691</v>
      </c>
      <c r="T492" s="1" t="s">
        <v>2228</v>
      </c>
      <c r="U492" s="1"/>
      <c r="V492" s="27"/>
      <c r="W492" s="21" t="s">
        <v>38</v>
      </c>
      <c r="X492" s="28"/>
      <c r="Y492" s="21">
        <v>3</v>
      </c>
      <c r="Z492" s="22" t="s">
        <v>481</v>
      </c>
      <c r="AA492" s="27"/>
      <c r="AB492" s="29" t="s">
        <v>1042</v>
      </c>
      <c r="AC492" s="27"/>
      <c r="AD492" s="50"/>
    </row>
    <row r="493" spans="1:30" s="51" customFormat="1" ht="30" x14ac:dyDescent="0.25">
      <c r="A493" s="4"/>
      <c r="B493" s="4">
        <v>45807</v>
      </c>
      <c r="C493" s="1" t="s">
        <v>1991</v>
      </c>
      <c r="D493" s="26" t="s">
        <v>1970</v>
      </c>
      <c r="E493" s="26" t="s">
        <v>652</v>
      </c>
      <c r="F493" s="1" t="s">
        <v>652</v>
      </c>
      <c r="G493" s="8">
        <v>3</v>
      </c>
      <c r="H493" s="8">
        <v>3</v>
      </c>
      <c r="I493" s="115">
        <f>Table223[[#This Row],[Qty]]-Table223[[#This Row],[Issue Qty]]</f>
        <v>0</v>
      </c>
      <c r="J493" s="5">
        <v>24.576667</v>
      </c>
      <c r="K493" s="5">
        <f t="shared" si="23"/>
        <v>73.730001000000001</v>
      </c>
      <c r="L493" s="82">
        <v>0.18</v>
      </c>
      <c r="M493" s="9">
        <f t="shared" si="24"/>
        <v>13.271400180000001</v>
      </c>
      <c r="N493" s="5">
        <v>0</v>
      </c>
      <c r="O493" s="5"/>
      <c r="P493" s="5">
        <f t="shared" si="25"/>
        <v>87.001401180000002</v>
      </c>
      <c r="Q493" s="1" t="s">
        <v>726</v>
      </c>
      <c r="R493" s="1" t="s">
        <v>726</v>
      </c>
      <c r="S493" s="1" t="s">
        <v>691</v>
      </c>
      <c r="T493" s="1" t="s">
        <v>2228</v>
      </c>
      <c r="U493" s="1"/>
      <c r="V493" s="1"/>
      <c r="W493" s="21" t="s">
        <v>650</v>
      </c>
      <c r="X493" s="8" t="s">
        <v>651</v>
      </c>
      <c r="Y493" s="8">
        <v>3</v>
      </c>
      <c r="Z493" s="22" t="s">
        <v>481</v>
      </c>
      <c r="AA493" s="1"/>
      <c r="AB493" s="29"/>
      <c r="AC493" s="1"/>
      <c r="AD493" s="50"/>
    </row>
    <row r="494" spans="1:30" s="51" customFormat="1" x14ac:dyDescent="0.25">
      <c r="A494" s="4"/>
      <c r="B494" s="4">
        <v>45807</v>
      </c>
      <c r="C494" s="1" t="s">
        <v>54</v>
      </c>
      <c r="D494" s="1" t="s">
        <v>2114</v>
      </c>
      <c r="E494" s="169" t="s">
        <v>878</v>
      </c>
      <c r="F494" s="1" t="s">
        <v>879</v>
      </c>
      <c r="G494" s="8">
        <v>1</v>
      </c>
      <c r="H494" s="8">
        <v>1</v>
      </c>
      <c r="I494" s="115">
        <f>Table223[[#This Row],[Qty]]-Table223[[#This Row],[Issue Qty]]</f>
        <v>0</v>
      </c>
      <c r="J494" s="5">
        <v>1040</v>
      </c>
      <c r="K494" s="5">
        <f t="shared" si="23"/>
        <v>1040</v>
      </c>
      <c r="L494" s="82">
        <v>0.18</v>
      </c>
      <c r="M494" s="9">
        <f t="shared" si="24"/>
        <v>187.2</v>
      </c>
      <c r="N494" s="5">
        <v>0</v>
      </c>
      <c r="O494" s="5"/>
      <c r="P494" s="5">
        <f t="shared" si="25"/>
        <v>1227.2</v>
      </c>
      <c r="Q494" s="1" t="s">
        <v>939</v>
      </c>
      <c r="R494" s="1" t="s">
        <v>939</v>
      </c>
      <c r="S494" s="1" t="s">
        <v>829</v>
      </c>
      <c r="T494" s="1" t="s">
        <v>2230</v>
      </c>
      <c r="U494" s="1"/>
      <c r="V494" s="27"/>
      <c r="W494" s="21"/>
      <c r="X494" s="28"/>
      <c r="Y494" s="21">
        <v>1</v>
      </c>
      <c r="Z494" s="12" t="s">
        <v>612</v>
      </c>
      <c r="AA494" s="27"/>
      <c r="AB494" s="29" t="s">
        <v>880</v>
      </c>
      <c r="AC494" s="27"/>
      <c r="AD494" s="50"/>
    </row>
    <row r="495" spans="1:30" s="51" customFormat="1" x14ac:dyDescent="0.25">
      <c r="A495" s="4"/>
      <c r="B495" s="4">
        <v>45807</v>
      </c>
      <c r="C495" s="1" t="s">
        <v>1991</v>
      </c>
      <c r="D495" s="1" t="s">
        <v>2231</v>
      </c>
      <c r="E495" s="1" t="s">
        <v>1043</v>
      </c>
      <c r="F495" s="1" t="s">
        <v>1043</v>
      </c>
      <c r="G495" s="8">
        <v>1</v>
      </c>
      <c r="H495" s="8">
        <v>1</v>
      </c>
      <c r="I495" s="115">
        <f>Table223[[#This Row],[Qty]]-Table223[[#This Row],[Issue Qty]]</f>
        <v>0</v>
      </c>
      <c r="J495" s="5">
        <v>27.12</v>
      </c>
      <c r="K495" s="5">
        <f t="shared" si="23"/>
        <v>27.12</v>
      </c>
      <c r="L495" s="82">
        <v>0.18</v>
      </c>
      <c r="M495" s="9">
        <f t="shared" si="24"/>
        <v>4.8815999999999997</v>
      </c>
      <c r="N495" s="5">
        <v>0</v>
      </c>
      <c r="O495" s="5"/>
      <c r="P495" s="5">
        <f t="shared" si="25"/>
        <v>32.001600000000003</v>
      </c>
      <c r="Q495" s="1" t="s">
        <v>726</v>
      </c>
      <c r="R495" s="1" t="s">
        <v>726</v>
      </c>
      <c r="S495" s="1" t="s">
        <v>691</v>
      </c>
      <c r="T495" s="1" t="s">
        <v>2228</v>
      </c>
      <c r="U495" s="1"/>
      <c r="V495" s="1"/>
      <c r="W495" s="21" t="s">
        <v>650</v>
      </c>
      <c r="X495" s="8" t="s">
        <v>651</v>
      </c>
      <c r="Y495" s="8">
        <v>1</v>
      </c>
      <c r="Z495" s="22" t="s">
        <v>481</v>
      </c>
      <c r="AA495" s="1"/>
      <c r="AB495" s="29" t="s">
        <v>1043</v>
      </c>
      <c r="AC495" s="1"/>
      <c r="AD495" s="50"/>
    </row>
    <row r="496" spans="1:30" s="51" customFormat="1" x14ac:dyDescent="0.25">
      <c r="A496" s="4"/>
      <c r="B496" s="4">
        <v>45808</v>
      </c>
      <c r="C496" s="1" t="s">
        <v>2003</v>
      </c>
      <c r="D496" s="1" t="s">
        <v>2232</v>
      </c>
      <c r="E496" s="1" t="s">
        <v>1044</v>
      </c>
      <c r="F496" s="1" t="s">
        <v>1044</v>
      </c>
      <c r="G496" s="8">
        <v>5</v>
      </c>
      <c r="H496" s="8"/>
      <c r="I496" s="115">
        <f>Table223[[#This Row],[Qty]]-Table223[[#This Row],[Issue Qty]]</f>
        <v>5</v>
      </c>
      <c r="J496" s="5">
        <f>25904.69/5</f>
        <v>5180.9380000000001</v>
      </c>
      <c r="K496" s="5">
        <f t="shared" si="23"/>
        <v>25904.690000000002</v>
      </c>
      <c r="L496" s="82">
        <v>0</v>
      </c>
      <c r="M496" s="9">
        <f t="shared" si="24"/>
        <v>0</v>
      </c>
      <c r="N496" s="5">
        <v>0</v>
      </c>
      <c r="O496" s="5"/>
      <c r="P496" s="5">
        <f t="shared" si="25"/>
        <v>25904.690000000002</v>
      </c>
      <c r="Q496" s="1" t="s">
        <v>980</v>
      </c>
      <c r="R496" s="1" t="s">
        <v>980</v>
      </c>
      <c r="S496" s="1" t="s">
        <v>1045</v>
      </c>
      <c r="T496" s="1">
        <v>41231</v>
      </c>
      <c r="U496" s="1"/>
      <c r="V496" s="1"/>
      <c r="W496" s="21" t="s">
        <v>1046</v>
      </c>
      <c r="X496" s="8"/>
      <c r="Y496" s="8"/>
      <c r="Z496" s="22"/>
      <c r="AA496" s="1"/>
      <c r="AB496" s="29" t="s">
        <v>1047</v>
      </c>
      <c r="AC496" s="1"/>
      <c r="AD496" s="50"/>
    </row>
    <row r="497" spans="1:30" s="51" customFormat="1" x14ac:dyDescent="0.25">
      <c r="A497" s="4"/>
      <c r="B497" s="4">
        <v>45808</v>
      </c>
      <c r="C497" s="1" t="s">
        <v>54</v>
      </c>
      <c r="D497" s="1" t="s">
        <v>2206</v>
      </c>
      <c r="E497" s="1" t="s">
        <v>1003</v>
      </c>
      <c r="F497" s="1" t="s">
        <v>1004</v>
      </c>
      <c r="G497" s="8">
        <v>6</v>
      </c>
      <c r="H497" s="8">
        <v>6</v>
      </c>
      <c r="I497" s="115">
        <f>Table223[[#This Row],[Qty]]-Table223[[#This Row],[Issue Qty]]</f>
        <v>0</v>
      </c>
      <c r="J497" s="5">
        <v>178</v>
      </c>
      <c r="K497" s="5">
        <f t="shared" ref="K497:K560" si="26">G497*J497</f>
        <v>1068</v>
      </c>
      <c r="L497" s="82">
        <v>0.12</v>
      </c>
      <c r="M497" s="9">
        <f t="shared" ref="M497:M560" si="27">K497*L497</f>
        <v>128.16</v>
      </c>
      <c r="N497" s="5">
        <v>112.04</v>
      </c>
      <c r="O497" s="5"/>
      <c r="P497" s="5">
        <f t="shared" ref="P497:P560" si="28">K497+M497+N497+O497</f>
        <v>1308.2</v>
      </c>
      <c r="Q497" s="1" t="s">
        <v>890</v>
      </c>
      <c r="R497" s="1" t="s">
        <v>890</v>
      </c>
      <c r="S497" s="1" t="s">
        <v>601</v>
      </c>
      <c r="T497" s="1">
        <v>50181</v>
      </c>
      <c r="U497" s="1"/>
      <c r="V497" s="27"/>
      <c r="W497" s="21" t="s">
        <v>268</v>
      </c>
      <c r="X497" s="28"/>
      <c r="Y497" s="21">
        <v>6</v>
      </c>
      <c r="Z497" s="12" t="s">
        <v>145</v>
      </c>
      <c r="AA497" s="27"/>
      <c r="AB497" s="29" t="s">
        <v>1048</v>
      </c>
      <c r="AC497" s="27"/>
      <c r="AD497" s="50"/>
    </row>
    <row r="498" spans="1:30" s="51" customFormat="1" ht="30" x14ac:dyDescent="0.25">
      <c r="A498" s="4"/>
      <c r="B498" s="4">
        <v>45808</v>
      </c>
      <c r="C498" s="1" t="s">
        <v>2003</v>
      </c>
      <c r="D498" s="1" t="s">
        <v>1810</v>
      </c>
      <c r="E498" s="1" t="s">
        <v>316</v>
      </c>
      <c r="F498" s="1" t="s">
        <v>316</v>
      </c>
      <c r="G498" s="8">
        <v>5</v>
      </c>
      <c r="H498" s="8"/>
      <c r="I498" s="115">
        <f>Table223[[#This Row],[Qty]]-Table223[[#This Row],[Issue Qty]]</f>
        <v>5</v>
      </c>
      <c r="J498" s="5">
        <f>68370/5</f>
        <v>13674</v>
      </c>
      <c r="K498" s="5">
        <f t="shared" si="26"/>
        <v>68370</v>
      </c>
      <c r="L498" s="82">
        <v>0</v>
      </c>
      <c r="M498" s="9">
        <f t="shared" si="27"/>
        <v>0</v>
      </c>
      <c r="N498" s="5">
        <v>0</v>
      </c>
      <c r="O498" s="5"/>
      <c r="P498" s="5">
        <f t="shared" si="28"/>
        <v>68370</v>
      </c>
      <c r="Q498" s="1" t="s">
        <v>980</v>
      </c>
      <c r="R498" s="1" t="s">
        <v>980</v>
      </c>
      <c r="S498" s="1" t="s">
        <v>1045</v>
      </c>
      <c r="T498" s="1">
        <v>41231</v>
      </c>
      <c r="U498" s="1"/>
      <c r="V498" s="1"/>
      <c r="W498" s="21" t="s">
        <v>1046</v>
      </c>
      <c r="X498" s="8"/>
      <c r="Y498" s="8"/>
      <c r="Z498" s="22"/>
      <c r="AA498" s="1"/>
      <c r="AB498" s="29" t="s">
        <v>318</v>
      </c>
      <c r="AC498" s="1"/>
      <c r="AD498" s="50"/>
    </row>
    <row r="499" spans="1:30" s="51" customFormat="1" x14ac:dyDescent="0.25">
      <c r="A499" s="4"/>
      <c r="B499" s="4">
        <v>45808</v>
      </c>
      <c r="C499" s="1" t="s">
        <v>54</v>
      </c>
      <c r="D499" s="1" t="s">
        <v>2039</v>
      </c>
      <c r="E499" s="169" t="s">
        <v>771</v>
      </c>
      <c r="F499" s="1" t="s">
        <v>1049</v>
      </c>
      <c r="G499" s="8">
        <v>1</v>
      </c>
      <c r="H499" s="8">
        <v>1</v>
      </c>
      <c r="I499" s="115">
        <f>Table223[[#This Row],[Qty]]-Table223[[#This Row],[Issue Qty]]</f>
        <v>0</v>
      </c>
      <c r="J499" s="5">
        <v>1295</v>
      </c>
      <c r="K499" s="5">
        <f t="shared" si="26"/>
        <v>1295</v>
      </c>
      <c r="L499" s="82">
        <v>0.12</v>
      </c>
      <c r="M499" s="9">
        <f t="shared" si="27"/>
        <v>155.4</v>
      </c>
      <c r="N499" s="5">
        <v>0</v>
      </c>
      <c r="O499" s="5"/>
      <c r="P499" s="5">
        <f t="shared" si="28"/>
        <v>1450.4</v>
      </c>
      <c r="Q499" s="1" t="s">
        <v>939</v>
      </c>
      <c r="R499" s="1" t="s">
        <v>939</v>
      </c>
      <c r="S499" s="1" t="s">
        <v>601</v>
      </c>
      <c r="T499" s="1">
        <v>50181</v>
      </c>
      <c r="U499" s="1"/>
      <c r="V499" s="27"/>
      <c r="W499" s="21" t="s">
        <v>3195</v>
      </c>
      <c r="X499" s="28"/>
      <c r="Y499" s="21">
        <v>1</v>
      </c>
      <c r="Z499" s="12" t="s">
        <v>612</v>
      </c>
      <c r="AA499" s="27"/>
      <c r="AB499" s="29"/>
      <c r="AC499" s="27"/>
      <c r="AD499" s="50"/>
    </row>
    <row r="500" spans="1:30" s="51" customFormat="1" x14ac:dyDescent="0.25">
      <c r="A500" s="4"/>
      <c r="B500" s="4">
        <v>45808</v>
      </c>
      <c r="C500" s="1" t="s">
        <v>54</v>
      </c>
      <c r="D500" s="1" t="s">
        <v>2038</v>
      </c>
      <c r="E500" s="169" t="s">
        <v>768</v>
      </c>
      <c r="F500" s="1" t="s">
        <v>1050</v>
      </c>
      <c r="G500" s="8">
        <v>1</v>
      </c>
      <c r="H500" s="8">
        <v>1</v>
      </c>
      <c r="I500" s="115">
        <f>Table223[[#This Row],[Qty]]-Table223[[#This Row],[Issue Qty]]</f>
        <v>0</v>
      </c>
      <c r="J500" s="5">
        <v>1195</v>
      </c>
      <c r="K500" s="5">
        <f t="shared" si="26"/>
        <v>1195</v>
      </c>
      <c r="L500" s="82">
        <v>0.12</v>
      </c>
      <c r="M500" s="9">
        <f t="shared" si="27"/>
        <v>143.4</v>
      </c>
      <c r="N500" s="5">
        <v>0</v>
      </c>
      <c r="O500" s="5"/>
      <c r="P500" s="5">
        <f t="shared" si="28"/>
        <v>1338.4</v>
      </c>
      <c r="Q500" s="1" t="s">
        <v>939</v>
      </c>
      <c r="R500" s="1" t="s">
        <v>939</v>
      </c>
      <c r="S500" s="1" t="s">
        <v>601</v>
      </c>
      <c r="T500" s="1">
        <v>50181</v>
      </c>
      <c r="U500" s="1"/>
      <c r="V500" s="27"/>
      <c r="W500" s="21" t="s">
        <v>3195</v>
      </c>
      <c r="X500" s="28"/>
      <c r="Y500" s="21">
        <v>1</v>
      </c>
      <c r="Z500" s="12" t="s">
        <v>612</v>
      </c>
      <c r="AA500" s="27"/>
      <c r="AB500" s="29"/>
      <c r="AC500" s="27"/>
      <c r="AD500" s="50"/>
    </row>
    <row r="501" spans="1:30" s="51" customFormat="1" x14ac:dyDescent="0.25">
      <c r="A501" s="4"/>
      <c r="B501" s="4">
        <v>45810</v>
      </c>
      <c r="C501" s="1" t="s">
        <v>1989</v>
      </c>
      <c r="D501" s="26" t="s">
        <v>2233</v>
      </c>
      <c r="E501" s="26" t="s">
        <v>1051</v>
      </c>
      <c r="F501" s="1" t="s">
        <v>1052</v>
      </c>
      <c r="G501" s="8">
        <v>10</v>
      </c>
      <c r="H501" s="8"/>
      <c r="I501" s="115">
        <f>Table223[[#This Row],[Qty]]-Table223[[#This Row],[Issue Qty]]</f>
        <v>10</v>
      </c>
      <c r="J501" s="5">
        <v>3252.7</v>
      </c>
      <c r="K501" s="5">
        <f t="shared" si="26"/>
        <v>32527</v>
      </c>
      <c r="L501" s="82">
        <v>0</v>
      </c>
      <c r="M501" s="9">
        <f t="shared" si="27"/>
        <v>0</v>
      </c>
      <c r="N501" s="5">
        <v>0</v>
      </c>
      <c r="O501" s="5"/>
      <c r="P501" s="5">
        <f t="shared" si="28"/>
        <v>32527</v>
      </c>
      <c r="Q501" s="1" t="s">
        <v>980</v>
      </c>
      <c r="R501" s="1" t="s">
        <v>980</v>
      </c>
      <c r="S501" s="1" t="s">
        <v>1053</v>
      </c>
      <c r="T501" s="1">
        <v>250500589</v>
      </c>
      <c r="U501" s="1"/>
      <c r="V501" s="1"/>
      <c r="W501" s="21" t="s">
        <v>22</v>
      </c>
      <c r="X501" s="21" t="s">
        <v>1963</v>
      </c>
      <c r="Y501" s="8"/>
      <c r="Z501" s="22"/>
      <c r="AA501" s="1"/>
      <c r="AB501" s="29"/>
      <c r="AC501" s="1"/>
      <c r="AD501" s="50"/>
    </row>
    <row r="502" spans="1:30" s="51" customFormat="1" ht="30" x14ac:dyDescent="0.25">
      <c r="A502" s="4"/>
      <c r="B502" s="4">
        <v>45810</v>
      </c>
      <c r="C502" s="1" t="s">
        <v>1989</v>
      </c>
      <c r="D502" s="1" t="s">
        <v>2234</v>
      </c>
      <c r="E502" s="1" t="s">
        <v>1054</v>
      </c>
      <c r="F502" s="1" t="s">
        <v>1055</v>
      </c>
      <c r="G502" s="8">
        <v>1</v>
      </c>
      <c r="H502" s="8">
        <v>1</v>
      </c>
      <c r="I502" s="115">
        <f>Table223[[#This Row],[Qty]]-Table223[[#This Row],[Issue Qty]]</f>
        <v>0</v>
      </c>
      <c r="J502" s="5">
        <v>1300</v>
      </c>
      <c r="K502" s="5">
        <f t="shared" si="26"/>
        <v>1300</v>
      </c>
      <c r="L502" s="82">
        <v>0.18</v>
      </c>
      <c r="M502" s="9">
        <f t="shared" si="27"/>
        <v>234</v>
      </c>
      <c r="N502" s="5">
        <v>0</v>
      </c>
      <c r="O502" s="5"/>
      <c r="P502" s="5">
        <f t="shared" si="28"/>
        <v>1534</v>
      </c>
      <c r="Q502" s="1" t="s">
        <v>838</v>
      </c>
      <c r="R502" s="1" t="s">
        <v>838</v>
      </c>
      <c r="S502" s="1" t="s">
        <v>1056</v>
      </c>
      <c r="T502" s="1">
        <v>24</v>
      </c>
      <c r="U502" s="1"/>
      <c r="V502" s="27"/>
      <c r="W502" s="21"/>
      <c r="X502" s="28"/>
      <c r="Y502" s="21">
        <v>1</v>
      </c>
      <c r="Z502" s="12" t="s">
        <v>2922</v>
      </c>
      <c r="AA502" s="27"/>
      <c r="AB502" s="29"/>
      <c r="AC502" s="27"/>
      <c r="AD502" s="50"/>
    </row>
    <row r="503" spans="1:30" s="51" customFormat="1" x14ac:dyDescent="0.25">
      <c r="A503" s="4"/>
      <c r="B503" s="4">
        <v>45810</v>
      </c>
      <c r="C503" s="1" t="s">
        <v>1993</v>
      </c>
      <c r="D503" s="1" t="s">
        <v>37</v>
      </c>
      <c r="E503" s="1" t="s">
        <v>1057</v>
      </c>
      <c r="F503" s="1" t="s">
        <v>1057</v>
      </c>
      <c r="G503" s="8">
        <v>2</v>
      </c>
      <c r="H503" s="8"/>
      <c r="I503" s="115">
        <f>Table223[[#This Row],[Qty]]-Table223[[#This Row],[Issue Qty]]</f>
        <v>2</v>
      </c>
      <c r="J503" s="5">
        <v>100</v>
      </c>
      <c r="K503" s="5">
        <f t="shared" si="26"/>
        <v>200</v>
      </c>
      <c r="L503" s="82">
        <v>0.18</v>
      </c>
      <c r="M503" s="9">
        <f t="shared" si="27"/>
        <v>36</v>
      </c>
      <c r="N503" s="5">
        <v>0</v>
      </c>
      <c r="O503" s="5"/>
      <c r="P503" s="5">
        <f t="shared" si="28"/>
        <v>236</v>
      </c>
      <c r="Q503" s="1" t="s">
        <v>838</v>
      </c>
      <c r="R503" s="1" t="s">
        <v>838</v>
      </c>
      <c r="S503" s="1" t="s">
        <v>1056</v>
      </c>
      <c r="T503" s="1">
        <v>24</v>
      </c>
      <c r="U503" s="1"/>
      <c r="V503" s="27"/>
      <c r="W503" s="21"/>
      <c r="X503" s="28"/>
      <c r="Y503" s="21">
        <v>2</v>
      </c>
      <c r="Z503" s="12" t="s">
        <v>1011</v>
      </c>
      <c r="AA503" s="27"/>
      <c r="AB503" s="29"/>
      <c r="AC503" s="27"/>
      <c r="AD503" s="50"/>
    </row>
    <row r="504" spans="1:30" s="51" customFormat="1" ht="30" x14ac:dyDescent="0.25">
      <c r="A504" s="4"/>
      <c r="B504" s="4">
        <v>45811</v>
      </c>
      <c r="C504" s="1" t="s">
        <v>1989</v>
      </c>
      <c r="D504" s="1" t="s">
        <v>2235</v>
      </c>
      <c r="E504" s="1" t="s">
        <v>1058</v>
      </c>
      <c r="F504" s="1" t="s">
        <v>1059</v>
      </c>
      <c r="G504" s="8">
        <v>1</v>
      </c>
      <c r="H504" s="8">
        <v>1</v>
      </c>
      <c r="I504" s="115">
        <f>Table223[[#This Row],[Qty]]-Table223[[#This Row],[Issue Qty]]</f>
        <v>0</v>
      </c>
      <c r="J504" s="5">
        <v>1050</v>
      </c>
      <c r="K504" s="5">
        <f t="shared" si="26"/>
        <v>1050</v>
      </c>
      <c r="L504" s="82">
        <v>0.05</v>
      </c>
      <c r="M504" s="9">
        <f t="shared" si="27"/>
        <v>52.5</v>
      </c>
      <c r="N504" s="5">
        <v>88.5</v>
      </c>
      <c r="O504" s="5"/>
      <c r="P504" s="5">
        <f t="shared" si="28"/>
        <v>1191</v>
      </c>
      <c r="Q504" s="1" t="s">
        <v>838</v>
      </c>
      <c r="R504" s="1" t="s">
        <v>838</v>
      </c>
      <c r="S504" s="1" t="s">
        <v>1060</v>
      </c>
      <c r="T504" s="1" t="s">
        <v>2236</v>
      </c>
      <c r="U504" s="1"/>
      <c r="V504" s="27"/>
      <c r="W504" s="21"/>
      <c r="X504" s="28"/>
      <c r="Y504" s="21">
        <v>1</v>
      </c>
      <c r="Z504" s="12" t="s">
        <v>2915</v>
      </c>
      <c r="AA504" s="27"/>
      <c r="AB504" s="29" t="s">
        <v>1061</v>
      </c>
      <c r="AC504" s="27"/>
      <c r="AD504" s="50"/>
    </row>
    <row r="505" spans="1:30" s="51" customFormat="1" x14ac:dyDescent="0.25">
      <c r="A505" s="4"/>
      <c r="B505" s="4">
        <v>45811</v>
      </c>
      <c r="C505" s="1" t="s">
        <v>54</v>
      </c>
      <c r="D505" s="1" t="s">
        <v>2237</v>
      </c>
      <c r="E505" s="169" t="s">
        <v>1062</v>
      </c>
      <c r="F505" s="1" t="s">
        <v>1062</v>
      </c>
      <c r="G505" s="8">
        <v>8</v>
      </c>
      <c r="H505" s="8">
        <v>8</v>
      </c>
      <c r="I505" s="115">
        <f>Table223[[#This Row],[Qty]]-Table223[[#This Row],[Issue Qty]]</f>
        <v>0</v>
      </c>
      <c r="J505" s="5">
        <v>679</v>
      </c>
      <c r="K505" s="5">
        <f t="shared" si="26"/>
        <v>5432</v>
      </c>
      <c r="L505" s="82">
        <v>0.18</v>
      </c>
      <c r="M505" s="9">
        <f t="shared" si="27"/>
        <v>977.76</v>
      </c>
      <c r="N505" s="5">
        <v>0</v>
      </c>
      <c r="O505" s="5"/>
      <c r="P505" s="5">
        <f t="shared" si="28"/>
        <v>6409.76</v>
      </c>
      <c r="Q505" s="1" t="s">
        <v>939</v>
      </c>
      <c r="R505" s="1" t="s">
        <v>939</v>
      </c>
      <c r="S505" s="1" t="s">
        <v>764</v>
      </c>
      <c r="T505" s="1" t="s">
        <v>2238</v>
      </c>
      <c r="U505" s="1"/>
      <c r="V505" s="27"/>
      <c r="W505" s="21"/>
      <c r="X505" s="28"/>
      <c r="Y505" s="21">
        <v>8</v>
      </c>
      <c r="Z505" s="12" t="s">
        <v>331</v>
      </c>
      <c r="AA505" s="27"/>
      <c r="AB505" s="29" t="s">
        <v>1063</v>
      </c>
      <c r="AC505" s="27"/>
      <c r="AD505" s="50"/>
    </row>
    <row r="506" spans="1:30" s="51" customFormat="1" x14ac:dyDescent="0.25">
      <c r="A506" s="4"/>
      <c r="B506" s="4">
        <v>45811</v>
      </c>
      <c r="C506" s="1" t="s">
        <v>54</v>
      </c>
      <c r="D506" s="1" t="s">
        <v>2239</v>
      </c>
      <c r="E506" s="169" t="s">
        <v>1064</v>
      </c>
      <c r="F506" s="1" t="s">
        <v>1064</v>
      </c>
      <c r="G506" s="8">
        <v>8</v>
      </c>
      <c r="H506" s="8">
        <v>8</v>
      </c>
      <c r="I506" s="115">
        <f>Table223[[#This Row],[Qty]]-Table223[[#This Row],[Issue Qty]]</f>
        <v>0</v>
      </c>
      <c r="J506" s="5">
        <v>1549</v>
      </c>
      <c r="K506" s="5">
        <f t="shared" si="26"/>
        <v>12392</v>
      </c>
      <c r="L506" s="82">
        <v>0.18</v>
      </c>
      <c r="M506" s="9">
        <f t="shared" si="27"/>
        <v>2230.56</v>
      </c>
      <c r="N506" s="5">
        <v>0</v>
      </c>
      <c r="O506" s="5"/>
      <c r="P506" s="5">
        <f t="shared" si="28"/>
        <v>14622.56</v>
      </c>
      <c r="Q506" s="1" t="s">
        <v>939</v>
      </c>
      <c r="R506" s="1" t="s">
        <v>939</v>
      </c>
      <c r="S506" s="1" t="s">
        <v>764</v>
      </c>
      <c r="T506" s="1" t="s">
        <v>2238</v>
      </c>
      <c r="U506" s="1"/>
      <c r="V506" s="27"/>
      <c r="W506" s="21"/>
      <c r="X506" s="28"/>
      <c r="Y506" s="21">
        <v>8</v>
      </c>
      <c r="Z506" s="12" t="s">
        <v>331</v>
      </c>
      <c r="AA506" s="27"/>
      <c r="AB506" s="29" t="s">
        <v>1065</v>
      </c>
      <c r="AC506" s="27"/>
      <c r="AD506" s="50"/>
    </row>
    <row r="507" spans="1:30" s="51" customFormat="1" x14ac:dyDescent="0.25">
      <c r="A507" s="4"/>
      <c r="B507" s="4">
        <v>45812</v>
      </c>
      <c r="C507" s="1" t="s">
        <v>1991</v>
      </c>
      <c r="D507" s="26" t="s">
        <v>2240</v>
      </c>
      <c r="E507" s="26" t="s">
        <v>1066</v>
      </c>
      <c r="F507" s="1" t="s">
        <v>1066</v>
      </c>
      <c r="G507" s="8">
        <v>1</v>
      </c>
      <c r="H507" s="8"/>
      <c r="I507" s="115">
        <f>Table223[[#This Row],[Qty]]-Table223[[#This Row],[Issue Qty]]</f>
        <v>1</v>
      </c>
      <c r="J507" s="5">
        <v>72390</v>
      </c>
      <c r="K507" s="5">
        <f t="shared" si="26"/>
        <v>72390</v>
      </c>
      <c r="L507" s="82">
        <v>0.18</v>
      </c>
      <c r="M507" s="9">
        <f t="shared" si="27"/>
        <v>13030.199999999999</v>
      </c>
      <c r="N507" s="5">
        <v>0</v>
      </c>
      <c r="O507" s="5"/>
      <c r="P507" s="5">
        <f t="shared" si="28"/>
        <v>85420.2</v>
      </c>
      <c r="Q507" s="1" t="s">
        <v>980</v>
      </c>
      <c r="R507" s="1" t="s">
        <v>980</v>
      </c>
      <c r="S507" s="1" t="s">
        <v>875</v>
      </c>
      <c r="T507" s="1" t="s">
        <v>2241</v>
      </c>
      <c r="U507" s="1"/>
      <c r="V507" s="1"/>
      <c r="W507" s="21" t="s">
        <v>388</v>
      </c>
      <c r="X507" s="8"/>
      <c r="Y507" s="8"/>
      <c r="Z507" s="22"/>
      <c r="AA507" s="1"/>
      <c r="AB507" s="29"/>
      <c r="AC507" s="1"/>
      <c r="AD507" s="50"/>
    </row>
    <row r="508" spans="1:30" s="51" customFormat="1" x14ac:dyDescent="0.25">
      <c r="A508" s="4"/>
      <c r="B508" s="4">
        <v>45812</v>
      </c>
      <c r="C508" s="1" t="s">
        <v>1991</v>
      </c>
      <c r="D508" s="26" t="s">
        <v>2242</v>
      </c>
      <c r="E508" s="26" t="s">
        <v>1067</v>
      </c>
      <c r="F508" s="1" t="s">
        <v>1067</v>
      </c>
      <c r="G508" s="8">
        <v>1</v>
      </c>
      <c r="H508" s="8"/>
      <c r="I508" s="115">
        <f>Table223[[#This Row],[Qty]]-Table223[[#This Row],[Issue Qty]]</f>
        <v>1</v>
      </c>
      <c r="J508" s="5">
        <v>81430</v>
      </c>
      <c r="K508" s="5">
        <f t="shared" si="26"/>
        <v>81430</v>
      </c>
      <c r="L508" s="82">
        <v>0.18</v>
      </c>
      <c r="M508" s="9">
        <f t="shared" si="27"/>
        <v>14657.4</v>
      </c>
      <c r="N508" s="5">
        <v>0</v>
      </c>
      <c r="O508" s="5"/>
      <c r="P508" s="5">
        <f t="shared" si="28"/>
        <v>96087.4</v>
      </c>
      <c r="Q508" s="1" t="s">
        <v>980</v>
      </c>
      <c r="R508" s="1" t="s">
        <v>980</v>
      </c>
      <c r="S508" s="1" t="s">
        <v>875</v>
      </c>
      <c r="T508" s="1" t="s">
        <v>2241</v>
      </c>
      <c r="U508" s="1"/>
      <c r="V508" s="1"/>
      <c r="W508" s="21" t="s">
        <v>388</v>
      </c>
      <c r="X508" s="8"/>
      <c r="Y508" s="8"/>
      <c r="Z508" s="22"/>
      <c r="AA508" s="1"/>
      <c r="AB508" s="29"/>
      <c r="AC508" s="1"/>
      <c r="AD508" s="50"/>
    </row>
    <row r="509" spans="1:30" s="51" customFormat="1" x14ac:dyDescent="0.25">
      <c r="A509" s="4"/>
      <c r="B509" s="4">
        <v>45813</v>
      </c>
      <c r="C509" s="1" t="s">
        <v>2003</v>
      </c>
      <c r="D509" s="26" t="s">
        <v>2243</v>
      </c>
      <c r="E509" s="26" t="s">
        <v>1068</v>
      </c>
      <c r="F509" s="1" t="s">
        <v>1069</v>
      </c>
      <c r="G509" s="8">
        <v>1</v>
      </c>
      <c r="H509" s="8">
        <v>1</v>
      </c>
      <c r="I509" s="115">
        <f>Table223[[#This Row],[Qty]]-Table223[[#This Row],[Issue Qty]]</f>
        <v>0</v>
      </c>
      <c r="J509" s="5">
        <v>10000</v>
      </c>
      <c r="K509" s="5">
        <f t="shared" si="26"/>
        <v>10000</v>
      </c>
      <c r="L509" s="82">
        <v>0.18</v>
      </c>
      <c r="M509" s="9">
        <f t="shared" si="27"/>
        <v>1800</v>
      </c>
      <c r="N509" s="5">
        <v>0</v>
      </c>
      <c r="O509" s="5"/>
      <c r="P509" s="5">
        <f t="shared" si="28"/>
        <v>11800</v>
      </c>
      <c r="Q509" s="1" t="s">
        <v>907</v>
      </c>
      <c r="R509" s="1" t="s">
        <v>907</v>
      </c>
      <c r="S509" s="1" t="s">
        <v>956</v>
      </c>
      <c r="T509" s="1" t="s">
        <v>2188</v>
      </c>
      <c r="U509" s="1"/>
      <c r="V509" s="27"/>
      <c r="W509" s="21"/>
      <c r="X509" s="28"/>
      <c r="Y509" s="21">
        <v>1</v>
      </c>
      <c r="Z509" s="22" t="s">
        <v>2909</v>
      </c>
      <c r="AA509" s="27"/>
      <c r="AB509" s="29"/>
      <c r="AC509" s="27"/>
      <c r="AD509" s="50"/>
    </row>
    <row r="510" spans="1:30" s="51" customFormat="1" x14ac:dyDescent="0.25">
      <c r="A510" s="4"/>
      <c r="B510" s="4">
        <v>45813</v>
      </c>
      <c r="C510" s="1" t="s">
        <v>1989</v>
      </c>
      <c r="D510" s="26" t="s">
        <v>2244</v>
      </c>
      <c r="E510" s="26" t="s">
        <v>1070</v>
      </c>
      <c r="F510" s="1" t="s">
        <v>1070</v>
      </c>
      <c r="G510" s="8">
        <v>5</v>
      </c>
      <c r="H510" s="8">
        <v>2</v>
      </c>
      <c r="I510" s="115">
        <f>Table223[[#This Row],[Qty]]-Table223[[#This Row],[Issue Qty]]</f>
        <v>3</v>
      </c>
      <c r="J510" s="5">
        <v>9281</v>
      </c>
      <c r="K510" s="5">
        <f t="shared" si="26"/>
        <v>46405</v>
      </c>
      <c r="L510" s="82">
        <v>0.05</v>
      </c>
      <c r="M510" s="9">
        <f t="shared" si="27"/>
        <v>2320.25</v>
      </c>
      <c r="N510" s="5">
        <v>0</v>
      </c>
      <c r="O510" s="5"/>
      <c r="P510" s="5">
        <f t="shared" si="28"/>
        <v>48725.25</v>
      </c>
      <c r="Q510" s="1" t="s">
        <v>907</v>
      </c>
      <c r="R510" s="1" t="s">
        <v>907</v>
      </c>
      <c r="S510" s="1" t="s">
        <v>444</v>
      </c>
      <c r="T510" s="1" t="s">
        <v>2245</v>
      </c>
      <c r="U510" s="1"/>
      <c r="V510" s="1"/>
      <c r="W510" s="21" t="s">
        <v>64</v>
      </c>
      <c r="X510" s="21" t="s">
        <v>460</v>
      </c>
      <c r="Y510" s="8">
        <v>4</v>
      </c>
      <c r="Z510" s="22"/>
      <c r="AA510" s="1"/>
      <c r="AB510" s="29"/>
      <c r="AC510" s="1"/>
      <c r="AD510" s="50"/>
    </row>
    <row r="511" spans="1:30" s="51" customFormat="1" x14ac:dyDescent="0.25">
      <c r="A511" s="4"/>
      <c r="B511" s="4">
        <v>45813</v>
      </c>
      <c r="C511" s="1" t="s">
        <v>1989</v>
      </c>
      <c r="D511" s="26" t="s">
        <v>2246</v>
      </c>
      <c r="E511" s="26" t="s">
        <v>1071</v>
      </c>
      <c r="F511" s="1" t="s">
        <v>1071</v>
      </c>
      <c r="G511" s="8">
        <v>5</v>
      </c>
      <c r="H511" s="8">
        <v>2</v>
      </c>
      <c r="I511" s="115">
        <f>Table223[[#This Row],[Qty]]-Table223[[#This Row],[Issue Qty]]</f>
        <v>3</v>
      </c>
      <c r="J511" s="5">
        <v>9281</v>
      </c>
      <c r="K511" s="5">
        <f t="shared" si="26"/>
        <v>46405</v>
      </c>
      <c r="L511" s="82">
        <v>0.05</v>
      </c>
      <c r="M511" s="9">
        <f t="shared" si="27"/>
        <v>2320.25</v>
      </c>
      <c r="N511" s="5">
        <v>0</v>
      </c>
      <c r="O511" s="5"/>
      <c r="P511" s="5">
        <f t="shared" si="28"/>
        <v>48725.25</v>
      </c>
      <c r="Q511" s="1" t="s">
        <v>907</v>
      </c>
      <c r="R511" s="1" t="s">
        <v>907</v>
      </c>
      <c r="S511" s="1" t="s">
        <v>444</v>
      </c>
      <c r="T511" s="1" t="s">
        <v>2245</v>
      </c>
      <c r="U511" s="1"/>
      <c r="V511" s="1"/>
      <c r="W511" s="21" t="s">
        <v>64</v>
      </c>
      <c r="X511" s="21" t="s">
        <v>460</v>
      </c>
      <c r="Y511" s="8">
        <v>4</v>
      </c>
      <c r="Z511" s="22"/>
      <c r="AA511" s="1"/>
      <c r="AB511" s="29"/>
      <c r="AC511" s="1"/>
      <c r="AD511" s="50"/>
    </row>
    <row r="512" spans="1:30" s="51" customFormat="1" x14ac:dyDescent="0.25">
      <c r="A512" s="4"/>
      <c r="B512" s="4">
        <v>45814</v>
      </c>
      <c r="C512" s="1" t="s">
        <v>54</v>
      </c>
      <c r="D512" s="1" t="s">
        <v>2247</v>
      </c>
      <c r="E512" s="169" t="s">
        <v>1072</v>
      </c>
      <c r="F512" s="1" t="s">
        <v>1072</v>
      </c>
      <c r="G512" s="8">
        <v>2</v>
      </c>
      <c r="H512" s="8">
        <v>2</v>
      </c>
      <c r="I512" s="115">
        <f>Table223[[#This Row],[Qty]]-Table223[[#This Row],[Issue Qty]]</f>
        <v>0</v>
      </c>
      <c r="J512" s="5">
        <v>100</v>
      </c>
      <c r="K512" s="5">
        <f t="shared" si="26"/>
        <v>200</v>
      </c>
      <c r="L512" s="82">
        <v>0.18</v>
      </c>
      <c r="M512" s="9">
        <f t="shared" si="27"/>
        <v>36</v>
      </c>
      <c r="N512" s="5">
        <v>0</v>
      </c>
      <c r="O512" s="5"/>
      <c r="P512" s="5">
        <f t="shared" si="28"/>
        <v>236</v>
      </c>
      <c r="Q512" s="1" t="s">
        <v>1073</v>
      </c>
      <c r="R512" s="1" t="s">
        <v>1073</v>
      </c>
      <c r="S512" s="1" t="s">
        <v>1074</v>
      </c>
      <c r="T512" s="1" t="s">
        <v>37</v>
      </c>
      <c r="U512" s="1"/>
      <c r="V512" s="27"/>
      <c r="W512" s="21"/>
      <c r="X512" s="28"/>
      <c r="Y512" s="21">
        <v>2</v>
      </c>
      <c r="Z512" s="12" t="s">
        <v>1075</v>
      </c>
      <c r="AA512" s="27"/>
      <c r="AB512" s="29"/>
      <c r="AC512" s="27"/>
      <c r="AD512" s="50"/>
    </row>
    <row r="513" spans="1:30" s="51" customFormat="1" x14ac:dyDescent="0.25">
      <c r="A513" s="4"/>
      <c r="B513" s="4">
        <v>45814</v>
      </c>
      <c r="C513" s="1" t="s">
        <v>2003</v>
      </c>
      <c r="D513" s="1" t="s">
        <v>2248</v>
      </c>
      <c r="E513" s="169" t="s">
        <v>1076</v>
      </c>
      <c r="F513" s="1" t="s">
        <v>1077</v>
      </c>
      <c r="G513" s="8">
        <v>1</v>
      </c>
      <c r="H513" s="8">
        <v>1</v>
      </c>
      <c r="I513" s="115">
        <f>Table223[[#This Row],[Qty]]-Table223[[#This Row],[Issue Qty]]</f>
        <v>0</v>
      </c>
      <c r="J513" s="5">
        <v>635.59</v>
      </c>
      <c r="K513" s="5">
        <f t="shared" si="26"/>
        <v>635.59</v>
      </c>
      <c r="L513" s="82">
        <v>0.18</v>
      </c>
      <c r="M513" s="9">
        <f t="shared" si="27"/>
        <v>114.4062</v>
      </c>
      <c r="N513" s="5">
        <v>0</v>
      </c>
      <c r="O513" s="5"/>
      <c r="P513" s="5">
        <f t="shared" si="28"/>
        <v>749.99620000000004</v>
      </c>
      <c r="Q513" s="1" t="s">
        <v>1073</v>
      </c>
      <c r="R513" s="1" t="s">
        <v>1073</v>
      </c>
      <c r="S513" s="1" t="s">
        <v>1078</v>
      </c>
      <c r="T513" s="1" t="s">
        <v>2249</v>
      </c>
      <c r="U513" s="1"/>
      <c r="V513" s="27"/>
      <c r="W513" s="21"/>
      <c r="X513" s="28"/>
      <c r="Y513" s="21">
        <v>1</v>
      </c>
      <c r="Z513" s="12" t="s">
        <v>1075</v>
      </c>
      <c r="AA513" s="27"/>
      <c r="AB513" s="29"/>
      <c r="AC513" s="27"/>
      <c r="AD513" s="50"/>
    </row>
    <row r="514" spans="1:30" s="51" customFormat="1" ht="30" x14ac:dyDescent="0.25">
      <c r="A514" s="4"/>
      <c r="B514" s="4">
        <v>45814</v>
      </c>
      <c r="C514" s="1" t="s">
        <v>1991</v>
      </c>
      <c r="D514" s="26" t="s">
        <v>2250</v>
      </c>
      <c r="E514" s="26" t="s">
        <v>1079</v>
      </c>
      <c r="F514" s="1" t="s">
        <v>1079</v>
      </c>
      <c r="G514" s="8">
        <v>6</v>
      </c>
      <c r="H514" s="8">
        <v>6</v>
      </c>
      <c r="I514" s="115">
        <f>Table223[[#This Row],[Qty]]-Table223[[#This Row],[Issue Qty]]</f>
        <v>0</v>
      </c>
      <c r="J514" s="5">
        <v>767.51166669999998</v>
      </c>
      <c r="K514" s="5">
        <f t="shared" si="26"/>
        <v>4605.0700001999994</v>
      </c>
      <c r="L514" s="82">
        <v>0.18</v>
      </c>
      <c r="M514" s="9">
        <f t="shared" si="27"/>
        <v>828.91260003599984</v>
      </c>
      <c r="N514" s="5">
        <v>125.02</v>
      </c>
      <c r="O514" s="5"/>
      <c r="P514" s="5">
        <f t="shared" si="28"/>
        <v>5559.002600236</v>
      </c>
      <c r="Q514" s="1" t="s">
        <v>726</v>
      </c>
      <c r="R514" s="1" t="s">
        <v>726</v>
      </c>
      <c r="S514" s="1" t="s">
        <v>1080</v>
      </c>
      <c r="T514" s="1" t="s">
        <v>2251</v>
      </c>
      <c r="U514" s="1"/>
      <c r="V514" s="1"/>
      <c r="W514" s="21" t="s">
        <v>650</v>
      </c>
      <c r="X514" s="8" t="s">
        <v>674</v>
      </c>
      <c r="Y514" s="8">
        <v>6</v>
      </c>
      <c r="Z514" s="22" t="s">
        <v>517</v>
      </c>
      <c r="AA514" s="1"/>
      <c r="AB514" s="29"/>
      <c r="AC514" s="1"/>
      <c r="AD514" s="50"/>
    </row>
    <row r="515" spans="1:30" s="51" customFormat="1" x14ac:dyDescent="0.25">
      <c r="A515" s="4"/>
      <c r="B515" s="4">
        <v>45815</v>
      </c>
      <c r="C515" s="1" t="s">
        <v>1989</v>
      </c>
      <c r="D515" s="1" t="s">
        <v>2252</v>
      </c>
      <c r="E515" s="150" t="s">
        <v>1081</v>
      </c>
      <c r="F515" s="1" t="s">
        <v>1082</v>
      </c>
      <c r="G515" s="8">
        <v>5</v>
      </c>
      <c r="H515" s="8"/>
      <c r="I515" s="115">
        <f>Table223[[#This Row],[Qty]]-Table223[[#This Row],[Issue Qty]]</f>
        <v>5</v>
      </c>
      <c r="J515" s="5">
        <v>23</v>
      </c>
      <c r="K515" s="5">
        <f t="shared" si="26"/>
        <v>115</v>
      </c>
      <c r="L515" s="82">
        <v>0.18</v>
      </c>
      <c r="M515" s="9">
        <f t="shared" si="27"/>
        <v>20.7</v>
      </c>
      <c r="N515" s="5"/>
      <c r="O515" s="5"/>
      <c r="P515" s="5">
        <f t="shared" si="28"/>
        <v>135.69999999999999</v>
      </c>
      <c r="Q515" s="1" t="s">
        <v>1083</v>
      </c>
      <c r="R515" s="1" t="s">
        <v>1083</v>
      </c>
      <c r="S515" s="1" t="s">
        <v>792</v>
      </c>
      <c r="T515" s="1" t="s">
        <v>2253</v>
      </c>
      <c r="U515" s="1"/>
      <c r="V515" s="1"/>
      <c r="W515" s="21" t="s">
        <v>78</v>
      </c>
      <c r="X515" s="21" t="s">
        <v>1084</v>
      </c>
      <c r="Y515" s="8"/>
      <c r="Z515" s="22"/>
      <c r="AA515" s="1"/>
      <c r="AB515" s="29" t="s">
        <v>1085</v>
      </c>
      <c r="AC515" s="1"/>
      <c r="AD515" s="50"/>
    </row>
    <row r="516" spans="1:30" s="51" customFormat="1" x14ac:dyDescent="0.25">
      <c r="A516" s="4"/>
      <c r="B516" s="4">
        <v>45815</v>
      </c>
      <c r="C516" s="1" t="s">
        <v>1989</v>
      </c>
      <c r="D516" s="1" t="s">
        <v>2252</v>
      </c>
      <c r="E516" s="150" t="s">
        <v>1081</v>
      </c>
      <c r="F516" s="1" t="s">
        <v>706</v>
      </c>
      <c r="G516" s="8">
        <v>5</v>
      </c>
      <c r="H516" s="8"/>
      <c r="I516" s="115">
        <f>Table223[[#This Row],[Qty]]-Table223[[#This Row],[Issue Qty]]</f>
        <v>5</v>
      </c>
      <c r="J516" s="5">
        <v>23</v>
      </c>
      <c r="K516" s="5">
        <f t="shared" si="26"/>
        <v>115</v>
      </c>
      <c r="L516" s="82">
        <v>0.18</v>
      </c>
      <c r="M516" s="9">
        <f t="shared" si="27"/>
        <v>20.7</v>
      </c>
      <c r="N516" s="5">
        <v>0</v>
      </c>
      <c r="O516" s="5"/>
      <c r="P516" s="5">
        <f t="shared" si="28"/>
        <v>135.69999999999999</v>
      </c>
      <c r="Q516" s="1" t="s">
        <v>1083</v>
      </c>
      <c r="R516" s="1" t="s">
        <v>1083</v>
      </c>
      <c r="S516" s="1" t="s">
        <v>792</v>
      </c>
      <c r="T516" s="1" t="s">
        <v>2253</v>
      </c>
      <c r="U516" s="1"/>
      <c r="V516" s="27"/>
      <c r="W516" s="21"/>
      <c r="X516" s="28"/>
      <c r="Y516" s="21">
        <v>5</v>
      </c>
      <c r="Z516" s="12" t="s">
        <v>1086</v>
      </c>
      <c r="AA516" s="27"/>
      <c r="AB516" s="29" t="s">
        <v>1085</v>
      </c>
      <c r="AC516" s="27"/>
      <c r="AD516" s="50"/>
    </row>
    <row r="517" spans="1:30" s="51" customFormat="1" x14ac:dyDescent="0.25">
      <c r="A517" s="4"/>
      <c r="B517" s="4">
        <v>45815</v>
      </c>
      <c r="C517" s="1" t="s">
        <v>54</v>
      </c>
      <c r="D517" s="1" t="s">
        <v>2254</v>
      </c>
      <c r="E517" s="1" t="s">
        <v>1088</v>
      </c>
      <c r="F517" s="1" t="s">
        <v>1089</v>
      </c>
      <c r="G517" s="8">
        <v>1</v>
      </c>
      <c r="H517" s="8">
        <v>1</v>
      </c>
      <c r="I517" s="115">
        <f>Table223[[#This Row],[Qty]]-Table223[[#This Row],[Issue Qty]]</f>
        <v>0</v>
      </c>
      <c r="J517" s="5">
        <v>680</v>
      </c>
      <c r="K517" s="5">
        <f t="shared" si="26"/>
        <v>680</v>
      </c>
      <c r="L517" s="82">
        <v>0.12</v>
      </c>
      <c r="M517" s="9">
        <f t="shared" si="27"/>
        <v>81.599999999999994</v>
      </c>
      <c r="N517" s="5">
        <v>0</v>
      </c>
      <c r="O517" s="5"/>
      <c r="P517" s="5">
        <f t="shared" si="28"/>
        <v>761.6</v>
      </c>
      <c r="Q517" s="1" t="s">
        <v>907</v>
      </c>
      <c r="R517" s="1" t="s">
        <v>907</v>
      </c>
      <c r="S517" s="1" t="s">
        <v>601</v>
      </c>
      <c r="T517" s="1">
        <v>50199</v>
      </c>
      <c r="U517" s="1"/>
      <c r="V517" s="27"/>
      <c r="W517" s="21"/>
      <c r="X517" s="28"/>
      <c r="Y517" s="21">
        <v>1</v>
      </c>
      <c r="Z517" s="12" t="s">
        <v>2909</v>
      </c>
      <c r="AA517" s="27"/>
      <c r="AB517" s="29" t="s">
        <v>826</v>
      </c>
      <c r="AC517" s="27"/>
      <c r="AD517" s="50"/>
    </row>
    <row r="518" spans="1:30" s="51" customFormat="1" ht="45" x14ac:dyDescent="0.25">
      <c r="A518" s="4"/>
      <c r="B518" s="4">
        <v>45815</v>
      </c>
      <c r="C518" s="1" t="s">
        <v>2003</v>
      </c>
      <c r="D518" s="26" t="s">
        <v>2255</v>
      </c>
      <c r="E518" s="26" t="s">
        <v>1090</v>
      </c>
      <c r="F518" s="1" t="s">
        <v>1090</v>
      </c>
      <c r="G518" s="8">
        <v>1</v>
      </c>
      <c r="H518" s="8"/>
      <c r="I518" s="115">
        <f>Table223[[#This Row],[Qty]]-Table223[[#This Row],[Issue Qty]]</f>
        <v>1</v>
      </c>
      <c r="J518" s="5">
        <v>190000</v>
      </c>
      <c r="K518" s="5">
        <f t="shared" si="26"/>
        <v>190000</v>
      </c>
      <c r="L518" s="82">
        <v>0.18</v>
      </c>
      <c r="M518" s="9">
        <f t="shared" si="27"/>
        <v>34200</v>
      </c>
      <c r="N518" s="5">
        <v>590</v>
      </c>
      <c r="O518" s="5"/>
      <c r="P518" s="5">
        <f t="shared" si="28"/>
        <v>224790</v>
      </c>
      <c r="Q518" s="1" t="s">
        <v>1083</v>
      </c>
      <c r="R518" s="1" t="s">
        <v>1083</v>
      </c>
      <c r="S518" s="1" t="s">
        <v>792</v>
      </c>
      <c r="T518" s="1" t="s">
        <v>2253</v>
      </c>
      <c r="U518" s="1"/>
      <c r="V518" s="1"/>
      <c r="W518" s="21" t="s">
        <v>388</v>
      </c>
      <c r="X518" s="8"/>
      <c r="Y518" s="8">
        <v>1</v>
      </c>
      <c r="Z518" s="22" t="s">
        <v>3352</v>
      </c>
      <c r="AA518" s="1" t="s">
        <v>3418</v>
      </c>
      <c r="AB518" s="29"/>
      <c r="AC518" s="1"/>
      <c r="AD518" s="50"/>
    </row>
    <row r="519" spans="1:30" s="51" customFormat="1" x14ac:dyDescent="0.25">
      <c r="A519" s="4"/>
      <c r="B519" s="4">
        <v>45815</v>
      </c>
      <c r="C519" s="1" t="s">
        <v>54</v>
      </c>
      <c r="D519" s="1" t="s">
        <v>2256</v>
      </c>
      <c r="E519" s="1" t="s">
        <v>1091</v>
      </c>
      <c r="F519" s="1" t="s">
        <v>1092</v>
      </c>
      <c r="G519" s="8">
        <v>1</v>
      </c>
      <c r="H519" s="8">
        <v>1</v>
      </c>
      <c r="I519" s="115">
        <f>Table223[[#This Row],[Qty]]-Table223[[#This Row],[Issue Qty]]</f>
        <v>0</v>
      </c>
      <c r="J519" s="5">
        <v>986</v>
      </c>
      <c r="K519" s="5">
        <f t="shared" si="26"/>
        <v>986</v>
      </c>
      <c r="L519" s="82">
        <v>0.12</v>
      </c>
      <c r="M519" s="9">
        <f t="shared" si="27"/>
        <v>118.32</v>
      </c>
      <c r="N519" s="5">
        <v>0</v>
      </c>
      <c r="O519" s="5"/>
      <c r="P519" s="5">
        <f t="shared" si="28"/>
        <v>1104.32</v>
      </c>
      <c r="Q519" s="1" t="s">
        <v>907</v>
      </c>
      <c r="R519" s="1" t="s">
        <v>907</v>
      </c>
      <c r="S519" s="1" t="s">
        <v>601</v>
      </c>
      <c r="T519" s="1">
        <v>50199</v>
      </c>
      <c r="U519" s="1"/>
      <c r="V519" s="27"/>
      <c r="W519" s="21"/>
      <c r="X519" s="28"/>
      <c r="Y519" s="21">
        <v>1</v>
      </c>
      <c r="Z519" s="12" t="s">
        <v>936</v>
      </c>
      <c r="AA519" s="27"/>
      <c r="AB519" s="29" t="s">
        <v>770</v>
      </c>
      <c r="AC519" s="27"/>
      <c r="AD519" s="50"/>
    </row>
    <row r="520" spans="1:30" s="51" customFormat="1" x14ac:dyDescent="0.25">
      <c r="A520" s="4"/>
      <c r="B520" s="4">
        <v>45817</v>
      </c>
      <c r="C520" s="1" t="s">
        <v>2096</v>
      </c>
      <c r="D520" s="1" t="s">
        <v>2257</v>
      </c>
      <c r="E520" s="1" t="s">
        <v>1093</v>
      </c>
      <c r="F520" s="1" t="s">
        <v>1093</v>
      </c>
      <c r="G520" s="8">
        <v>1</v>
      </c>
      <c r="H520" s="8">
        <v>1</v>
      </c>
      <c r="I520" s="115">
        <f>Table223[[#This Row],[Qty]]-Table223[[#This Row],[Issue Qty]]</f>
        <v>0</v>
      </c>
      <c r="J520" s="5">
        <v>24761.9</v>
      </c>
      <c r="K520" s="5">
        <f t="shared" si="26"/>
        <v>24761.9</v>
      </c>
      <c r="L520" s="82">
        <v>0.05</v>
      </c>
      <c r="M520" s="9">
        <f t="shared" si="27"/>
        <v>1238.0950000000003</v>
      </c>
      <c r="N520" s="5">
        <v>0</v>
      </c>
      <c r="O520" s="5"/>
      <c r="P520" s="5">
        <f t="shared" si="28"/>
        <v>25999.995000000003</v>
      </c>
      <c r="Q520" s="1" t="s">
        <v>1083</v>
      </c>
      <c r="R520" s="1" t="s">
        <v>1083</v>
      </c>
      <c r="S520" s="1" t="s">
        <v>968</v>
      </c>
      <c r="T520" s="1" t="s">
        <v>2258</v>
      </c>
      <c r="U520" s="1"/>
      <c r="V520" s="27"/>
      <c r="W520" s="21" t="s">
        <v>29</v>
      </c>
      <c r="X520" s="28" t="s">
        <v>1094</v>
      </c>
      <c r="Y520" s="21">
        <v>1</v>
      </c>
      <c r="Z520" s="22" t="s">
        <v>3017</v>
      </c>
      <c r="AA520" s="27"/>
      <c r="AB520" s="29"/>
      <c r="AC520" s="27"/>
      <c r="AD520" s="50"/>
    </row>
    <row r="521" spans="1:30" s="51" customFormat="1" x14ac:dyDescent="0.25">
      <c r="A521" s="4"/>
      <c r="B521" s="4">
        <v>45817</v>
      </c>
      <c r="C521" s="1" t="s">
        <v>54</v>
      </c>
      <c r="D521" s="1" t="s">
        <v>2259</v>
      </c>
      <c r="E521" s="1" t="s">
        <v>1095</v>
      </c>
      <c r="F521" s="1" t="s">
        <v>1095</v>
      </c>
      <c r="G521" s="8">
        <v>1</v>
      </c>
      <c r="H521" s="8"/>
      <c r="I521" s="115">
        <f>Table223[[#This Row],[Qty]]-Table223[[#This Row],[Issue Qty]]</f>
        <v>1</v>
      </c>
      <c r="J521" s="5">
        <v>350</v>
      </c>
      <c r="K521" s="5">
        <f t="shared" si="26"/>
        <v>350</v>
      </c>
      <c r="L521" s="82">
        <v>0.18</v>
      </c>
      <c r="M521" s="9">
        <f t="shared" si="27"/>
        <v>63</v>
      </c>
      <c r="N521" s="5">
        <v>0</v>
      </c>
      <c r="O521" s="5"/>
      <c r="P521" s="5">
        <f t="shared" si="28"/>
        <v>413</v>
      </c>
      <c r="Q521" s="1" t="s">
        <v>838</v>
      </c>
      <c r="R521" s="1" t="s">
        <v>838</v>
      </c>
      <c r="S521" s="1" t="s">
        <v>358</v>
      </c>
      <c r="T521" s="1" t="s">
        <v>2260</v>
      </c>
      <c r="U521" s="1"/>
      <c r="V521" s="1"/>
      <c r="W521" s="21"/>
      <c r="X521" s="8"/>
      <c r="Y521" s="8">
        <v>1</v>
      </c>
      <c r="Z521" s="22" t="s">
        <v>936</v>
      </c>
      <c r="AA521" s="1"/>
      <c r="AB521" s="29" t="s">
        <v>1096</v>
      </c>
      <c r="AC521" s="1"/>
      <c r="AD521" s="50"/>
    </row>
    <row r="522" spans="1:30" s="51" customFormat="1" x14ac:dyDescent="0.25">
      <c r="A522" s="4"/>
      <c r="B522" s="4">
        <v>45817</v>
      </c>
      <c r="C522" s="1" t="s">
        <v>54</v>
      </c>
      <c r="D522" s="1" t="s">
        <v>2261</v>
      </c>
      <c r="E522" s="1" t="s">
        <v>1097</v>
      </c>
      <c r="F522" s="1" t="s">
        <v>1097</v>
      </c>
      <c r="G522" s="8">
        <v>1</v>
      </c>
      <c r="H522" s="8"/>
      <c r="I522" s="115">
        <f>Table223[[#This Row],[Qty]]-Table223[[#This Row],[Issue Qty]]</f>
        <v>1</v>
      </c>
      <c r="J522" s="5">
        <v>220</v>
      </c>
      <c r="K522" s="5">
        <f t="shared" si="26"/>
        <v>220</v>
      </c>
      <c r="L522" s="82">
        <v>0.18</v>
      </c>
      <c r="M522" s="9">
        <f t="shared" si="27"/>
        <v>39.6</v>
      </c>
      <c r="N522" s="5">
        <v>0</v>
      </c>
      <c r="O522" s="5"/>
      <c r="P522" s="5">
        <f t="shared" si="28"/>
        <v>259.60000000000002</v>
      </c>
      <c r="Q522" s="1" t="s">
        <v>838</v>
      </c>
      <c r="R522" s="1" t="s">
        <v>838</v>
      </c>
      <c r="S522" s="1" t="s">
        <v>358</v>
      </c>
      <c r="T522" s="1" t="s">
        <v>2260</v>
      </c>
      <c r="U522" s="1"/>
      <c r="V522" s="1"/>
      <c r="W522" s="21"/>
      <c r="X522" s="8"/>
      <c r="Y522" s="8">
        <v>1</v>
      </c>
      <c r="Z522" s="22" t="s">
        <v>936</v>
      </c>
      <c r="AA522" s="1"/>
      <c r="AB522" s="29" t="s">
        <v>1098</v>
      </c>
      <c r="AC522" s="1"/>
      <c r="AD522" s="50"/>
    </row>
    <row r="523" spans="1:30" s="51" customFormat="1" ht="30" x14ac:dyDescent="0.25">
      <c r="A523" s="4"/>
      <c r="B523" s="4">
        <v>45817</v>
      </c>
      <c r="C523" s="1" t="s">
        <v>1989</v>
      </c>
      <c r="D523" s="1" t="s">
        <v>2262</v>
      </c>
      <c r="E523" s="1" t="s">
        <v>1099</v>
      </c>
      <c r="F523" s="1" t="s">
        <v>1099</v>
      </c>
      <c r="G523" s="8">
        <v>5</v>
      </c>
      <c r="H523" s="8">
        <v>5</v>
      </c>
      <c r="I523" s="115">
        <f>Table223[[#This Row],[Qty]]-Table223[[#This Row],[Issue Qty]]</f>
        <v>0</v>
      </c>
      <c r="J523" s="5">
        <v>14.406667000000001</v>
      </c>
      <c r="K523" s="5">
        <f t="shared" si="26"/>
        <v>72.033335000000008</v>
      </c>
      <c r="L523" s="82">
        <v>0.18</v>
      </c>
      <c r="M523" s="9">
        <f t="shared" si="27"/>
        <v>12.966000300000001</v>
      </c>
      <c r="N523" s="5">
        <f>116.9/7</f>
        <v>16.7</v>
      </c>
      <c r="O523" s="5"/>
      <c r="P523" s="5">
        <f t="shared" si="28"/>
        <v>101.69933530000002</v>
      </c>
      <c r="Q523" s="1" t="s">
        <v>606</v>
      </c>
      <c r="R523" s="1" t="s">
        <v>606</v>
      </c>
      <c r="S523" s="1" t="s">
        <v>691</v>
      </c>
      <c r="T523" s="1" t="s">
        <v>2263</v>
      </c>
      <c r="U523" s="1"/>
      <c r="V523" s="1"/>
      <c r="W523" s="21"/>
      <c r="X523" s="8"/>
      <c r="Y523" s="8">
        <v>5</v>
      </c>
      <c r="Z523" s="22" t="s">
        <v>2958</v>
      </c>
      <c r="AA523" s="1"/>
      <c r="AB523" s="29" t="s">
        <v>1101</v>
      </c>
      <c r="AC523" s="1"/>
      <c r="AD523" s="50"/>
    </row>
    <row r="524" spans="1:30" s="51" customFormat="1" ht="30" x14ac:dyDescent="0.25">
      <c r="A524" s="4"/>
      <c r="B524" s="4">
        <v>45817</v>
      </c>
      <c r="C524" s="1" t="s">
        <v>1991</v>
      </c>
      <c r="D524" s="26" t="s">
        <v>2264</v>
      </c>
      <c r="E524" s="26" t="s">
        <v>1102</v>
      </c>
      <c r="F524" s="1" t="s">
        <v>1102</v>
      </c>
      <c r="G524" s="8">
        <v>1</v>
      </c>
      <c r="H524" s="8"/>
      <c r="I524" s="115">
        <f>Table223[[#This Row],[Qty]]-Table223[[#This Row],[Issue Qty]]</f>
        <v>1</v>
      </c>
      <c r="J524" s="5">
        <v>77800</v>
      </c>
      <c r="K524" s="5">
        <f t="shared" si="26"/>
        <v>77800</v>
      </c>
      <c r="L524" s="82">
        <v>0.18</v>
      </c>
      <c r="M524" s="9">
        <f t="shared" si="27"/>
        <v>14004</v>
      </c>
      <c r="N524" s="5">
        <v>0</v>
      </c>
      <c r="O524" s="5"/>
      <c r="P524" s="5">
        <f t="shared" si="28"/>
        <v>91804</v>
      </c>
      <c r="Q524" s="1" t="s">
        <v>1083</v>
      </c>
      <c r="R524" s="1" t="s">
        <v>1083</v>
      </c>
      <c r="S524" s="1" t="s">
        <v>792</v>
      </c>
      <c r="T524" s="1" t="s">
        <v>2265</v>
      </c>
      <c r="U524" s="1"/>
      <c r="V524" s="1"/>
      <c r="W524" s="21" t="s">
        <v>89</v>
      </c>
      <c r="X524" s="8"/>
      <c r="Y524" s="8"/>
      <c r="Z524" s="22"/>
      <c r="AA524" s="1"/>
      <c r="AB524" s="29"/>
      <c r="AC524" s="1"/>
      <c r="AD524" s="50"/>
    </row>
    <row r="525" spans="1:30" s="51" customFormat="1" x14ac:dyDescent="0.25">
      <c r="A525" s="4"/>
      <c r="B525" s="4">
        <v>45817</v>
      </c>
      <c r="C525" s="1" t="s">
        <v>1993</v>
      </c>
      <c r="D525" s="26" t="s">
        <v>2266</v>
      </c>
      <c r="E525" s="26" t="s">
        <v>1103</v>
      </c>
      <c r="F525" s="1" t="s">
        <v>1104</v>
      </c>
      <c r="G525" s="8">
        <v>4</v>
      </c>
      <c r="H525" s="8">
        <v>4</v>
      </c>
      <c r="I525" s="115">
        <f>Table223[[#This Row],[Qty]]-Table223[[#This Row],[Issue Qty]]</f>
        <v>0</v>
      </c>
      <c r="J525" s="5">
        <v>60.952500000000001</v>
      </c>
      <c r="K525" s="5">
        <f t="shared" si="26"/>
        <v>243.81</v>
      </c>
      <c r="L525" s="82">
        <v>0.18</v>
      </c>
      <c r="M525" s="9">
        <f t="shared" si="27"/>
        <v>43.885799999999996</v>
      </c>
      <c r="N525" s="5">
        <f>116.9/7</f>
        <v>16.7</v>
      </c>
      <c r="O525" s="5"/>
      <c r="P525" s="5">
        <f t="shared" si="28"/>
        <v>304.39580000000001</v>
      </c>
      <c r="Q525" s="1" t="s">
        <v>1083</v>
      </c>
      <c r="R525" s="1" t="s">
        <v>1083</v>
      </c>
      <c r="S525" s="1" t="s">
        <v>691</v>
      </c>
      <c r="T525" s="1" t="s">
        <v>2263</v>
      </c>
      <c r="U525" s="1"/>
      <c r="V525" s="1"/>
      <c r="W525" s="21"/>
      <c r="X525" s="8"/>
      <c r="Y525" s="8">
        <v>4</v>
      </c>
      <c r="Z525" s="22" t="s">
        <v>1086</v>
      </c>
      <c r="AA525" s="1"/>
      <c r="AB525" s="29"/>
      <c r="AC525" s="1"/>
      <c r="AD525" s="50"/>
    </row>
    <row r="526" spans="1:30" s="53" customFormat="1" x14ac:dyDescent="0.25">
      <c r="A526" s="4"/>
      <c r="B526" s="4">
        <v>45817</v>
      </c>
      <c r="C526" s="1" t="s">
        <v>54</v>
      </c>
      <c r="D526" s="26" t="s">
        <v>2267</v>
      </c>
      <c r="E526" s="168" t="s">
        <v>1105</v>
      </c>
      <c r="F526" s="1" t="s">
        <v>1105</v>
      </c>
      <c r="G526" s="8">
        <v>1</v>
      </c>
      <c r="H526" s="8">
        <v>1</v>
      </c>
      <c r="I526" s="115">
        <f>Table223[[#This Row],[Qty]]-Table223[[#This Row],[Issue Qty]]</f>
        <v>0</v>
      </c>
      <c r="J526" s="5">
        <v>280</v>
      </c>
      <c r="K526" s="5">
        <f t="shared" si="26"/>
        <v>280</v>
      </c>
      <c r="L526" s="82">
        <v>0.18</v>
      </c>
      <c r="M526" s="9">
        <f t="shared" si="27"/>
        <v>50.4</v>
      </c>
      <c r="N526" s="5">
        <v>0</v>
      </c>
      <c r="O526" s="5"/>
      <c r="P526" s="5">
        <f t="shared" si="28"/>
        <v>330.4</v>
      </c>
      <c r="Q526" s="1" t="s">
        <v>838</v>
      </c>
      <c r="R526" s="1" t="s">
        <v>838</v>
      </c>
      <c r="S526" s="1" t="s">
        <v>358</v>
      </c>
      <c r="T526" s="1" t="s">
        <v>2260</v>
      </c>
      <c r="U526" s="1"/>
      <c r="V526" s="1"/>
      <c r="W526" s="21"/>
      <c r="X526" s="8"/>
      <c r="Y526" s="8">
        <v>1</v>
      </c>
      <c r="Z526" s="22" t="s">
        <v>936</v>
      </c>
      <c r="AA526" s="1"/>
      <c r="AB526" s="29"/>
      <c r="AC526" s="1"/>
      <c r="AD526" s="52"/>
    </row>
    <row r="527" spans="1:30" s="53" customFormat="1" x14ac:dyDescent="0.25">
      <c r="A527" s="4"/>
      <c r="B527" s="4">
        <v>45817</v>
      </c>
      <c r="C527" s="1" t="s">
        <v>54</v>
      </c>
      <c r="D527" s="26" t="s">
        <v>2268</v>
      </c>
      <c r="E527" s="168" t="s">
        <v>1106</v>
      </c>
      <c r="F527" s="1" t="s">
        <v>1106</v>
      </c>
      <c r="G527" s="8">
        <v>1</v>
      </c>
      <c r="H527" s="8">
        <v>1</v>
      </c>
      <c r="I527" s="115">
        <f>Table223[[#This Row],[Qty]]-Table223[[#This Row],[Issue Qty]]</f>
        <v>0</v>
      </c>
      <c r="J527" s="5">
        <v>120</v>
      </c>
      <c r="K527" s="5">
        <f t="shared" si="26"/>
        <v>120</v>
      </c>
      <c r="L527" s="82">
        <v>0.18</v>
      </c>
      <c r="M527" s="9">
        <f t="shared" si="27"/>
        <v>21.599999999999998</v>
      </c>
      <c r="N527" s="5">
        <v>0</v>
      </c>
      <c r="O527" s="5"/>
      <c r="P527" s="5">
        <f t="shared" si="28"/>
        <v>141.6</v>
      </c>
      <c r="Q527" s="1" t="s">
        <v>838</v>
      </c>
      <c r="R527" s="1" t="s">
        <v>838</v>
      </c>
      <c r="S527" s="1" t="s">
        <v>358</v>
      </c>
      <c r="T527" s="1" t="s">
        <v>2260</v>
      </c>
      <c r="U527" s="1"/>
      <c r="V527" s="1"/>
      <c r="W527" s="21"/>
      <c r="X527" s="8"/>
      <c r="Y527" s="8">
        <v>1</v>
      </c>
      <c r="Z527" s="22" t="s">
        <v>936</v>
      </c>
      <c r="AA527" s="1"/>
      <c r="AB527" s="29"/>
      <c r="AC527" s="1"/>
      <c r="AD527" s="52"/>
    </row>
    <row r="528" spans="1:30" s="53" customFormat="1" x14ac:dyDescent="0.25">
      <c r="A528" s="4"/>
      <c r="B528" s="4">
        <v>45817</v>
      </c>
      <c r="C528" s="1" t="s">
        <v>2003</v>
      </c>
      <c r="D528" s="26" t="s">
        <v>2269</v>
      </c>
      <c r="E528" s="26" t="s">
        <v>1107</v>
      </c>
      <c r="F528" s="1" t="s">
        <v>1107</v>
      </c>
      <c r="G528" s="8">
        <v>1</v>
      </c>
      <c r="H528" s="8">
        <v>1</v>
      </c>
      <c r="I528" s="115">
        <f>Table223[[#This Row],[Qty]]-Table223[[#This Row],[Issue Qty]]</f>
        <v>0</v>
      </c>
      <c r="J528" s="5">
        <v>1000</v>
      </c>
      <c r="K528" s="5">
        <f t="shared" si="26"/>
        <v>1000</v>
      </c>
      <c r="L528" s="82">
        <v>0</v>
      </c>
      <c r="M528" s="9">
        <f t="shared" si="27"/>
        <v>0</v>
      </c>
      <c r="N528" s="5">
        <v>0</v>
      </c>
      <c r="O528" s="5"/>
      <c r="P528" s="5">
        <f t="shared" si="28"/>
        <v>1000</v>
      </c>
      <c r="Q528" s="1" t="s">
        <v>838</v>
      </c>
      <c r="R528" s="1" t="s">
        <v>838</v>
      </c>
      <c r="S528" s="1" t="s">
        <v>1108</v>
      </c>
      <c r="T528" s="1">
        <v>1104</v>
      </c>
      <c r="U528" s="1"/>
      <c r="V528" s="1"/>
      <c r="W528" s="21"/>
      <c r="X528" s="8"/>
      <c r="Y528" s="8">
        <v>1</v>
      </c>
      <c r="Z528" s="22" t="s">
        <v>2915</v>
      </c>
      <c r="AA528" s="1"/>
      <c r="AB528" s="29"/>
      <c r="AC528" s="1"/>
      <c r="AD528" s="52"/>
    </row>
    <row r="529" spans="1:30" s="53" customFormat="1" x14ac:dyDescent="0.25">
      <c r="A529" s="4"/>
      <c r="B529" s="4">
        <v>45821</v>
      </c>
      <c r="C529" s="1" t="s">
        <v>54</v>
      </c>
      <c r="D529" s="1" t="s">
        <v>2270</v>
      </c>
      <c r="E529" s="1" t="s">
        <v>1109</v>
      </c>
      <c r="F529" s="1" t="s">
        <v>1109</v>
      </c>
      <c r="G529" s="8">
        <v>1</v>
      </c>
      <c r="H529" s="8">
        <v>1</v>
      </c>
      <c r="I529" s="115">
        <f>Table223[[#This Row],[Qty]]-Table223[[#This Row],[Issue Qty]]</f>
        <v>0</v>
      </c>
      <c r="J529" s="5">
        <v>1500</v>
      </c>
      <c r="K529" s="5">
        <f t="shared" si="26"/>
        <v>1500</v>
      </c>
      <c r="L529" s="82">
        <v>0.18</v>
      </c>
      <c r="M529" s="9">
        <f t="shared" si="27"/>
        <v>270</v>
      </c>
      <c r="N529" s="5">
        <v>0</v>
      </c>
      <c r="O529" s="5"/>
      <c r="P529" s="5">
        <f t="shared" si="28"/>
        <v>1770</v>
      </c>
      <c r="Q529" s="1" t="s">
        <v>838</v>
      </c>
      <c r="R529" s="1" t="s">
        <v>838</v>
      </c>
      <c r="S529" s="1" t="s">
        <v>820</v>
      </c>
      <c r="T529" s="1" t="s">
        <v>2271</v>
      </c>
      <c r="U529" s="1"/>
      <c r="V529" s="27"/>
      <c r="W529" s="21"/>
      <c r="X529" s="28"/>
      <c r="Y529" s="21">
        <v>1</v>
      </c>
      <c r="Z529" s="12" t="s">
        <v>2922</v>
      </c>
      <c r="AA529" s="27"/>
      <c r="AB529" s="29"/>
      <c r="AC529" s="27"/>
      <c r="AD529" s="52"/>
    </row>
    <row r="530" spans="1:30" s="53" customFormat="1" x14ac:dyDescent="0.25">
      <c r="A530" s="4"/>
      <c r="B530" s="4">
        <v>45821</v>
      </c>
      <c r="C530" s="1" t="s">
        <v>1993</v>
      </c>
      <c r="D530" s="1" t="s">
        <v>2272</v>
      </c>
      <c r="E530" s="169" t="s">
        <v>1110</v>
      </c>
      <c r="F530" s="1" t="s">
        <v>1110</v>
      </c>
      <c r="G530" s="8">
        <v>4</v>
      </c>
      <c r="H530" s="8">
        <v>4</v>
      </c>
      <c r="I530" s="115">
        <f>Table223[[#This Row],[Qty]]-Table223[[#This Row],[Issue Qty]]</f>
        <v>0</v>
      </c>
      <c r="J530" s="5">
        <v>248.57</v>
      </c>
      <c r="K530" s="5">
        <f t="shared" si="26"/>
        <v>994.28</v>
      </c>
      <c r="L530" s="82">
        <v>0.05</v>
      </c>
      <c r="M530" s="9">
        <f t="shared" si="27"/>
        <v>49.713999999999999</v>
      </c>
      <c r="N530" s="5">
        <v>200.01</v>
      </c>
      <c r="O530" s="5"/>
      <c r="P530" s="5">
        <f t="shared" si="28"/>
        <v>1244.0039999999999</v>
      </c>
      <c r="Q530" s="1" t="s">
        <v>1073</v>
      </c>
      <c r="R530" s="1" t="s">
        <v>1073</v>
      </c>
      <c r="S530" s="1" t="s">
        <v>968</v>
      </c>
      <c r="T530" s="1" t="s">
        <v>2273</v>
      </c>
      <c r="U530" s="1"/>
      <c r="V530" s="27"/>
      <c r="W530" s="21"/>
      <c r="X530" s="28"/>
      <c r="Y530" s="21">
        <v>4</v>
      </c>
      <c r="Z530" s="12" t="s">
        <v>1011</v>
      </c>
      <c r="AA530" s="27"/>
      <c r="AB530" s="29"/>
      <c r="AC530" s="27"/>
      <c r="AD530" s="52"/>
    </row>
    <row r="531" spans="1:30" s="53" customFormat="1" x14ac:dyDescent="0.25">
      <c r="A531" s="4"/>
      <c r="B531" s="4">
        <v>45821</v>
      </c>
      <c r="C531" s="1" t="s">
        <v>54</v>
      </c>
      <c r="D531" s="1" t="s">
        <v>2274</v>
      </c>
      <c r="E531" s="169" t="s">
        <v>1111</v>
      </c>
      <c r="F531" s="1" t="s">
        <v>1111</v>
      </c>
      <c r="G531" s="8">
        <v>4</v>
      </c>
      <c r="H531" s="8">
        <v>4</v>
      </c>
      <c r="I531" s="115">
        <f>Table223[[#This Row],[Qty]]-Table223[[#This Row],[Issue Qty]]</f>
        <v>0</v>
      </c>
      <c r="J531" s="5">
        <v>583.79999999999995</v>
      </c>
      <c r="K531" s="5">
        <f t="shared" si="26"/>
        <v>2335.1999999999998</v>
      </c>
      <c r="L531" s="82">
        <v>0.18</v>
      </c>
      <c r="M531" s="9">
        <f t="shared" si="27"/>
        <v>420.33599999999996</v>
      </c>
      <c r="N531" s="5">
        <v>0</v>
      </c>
      <c r="O531" s="5"/>
      <c r="P531" s="5">
        <f t="shared" si="28"/>
        <v>2755.5359999999996</v>
      </c>
      <c r="Q531" s="1" t="s">
        <v>1073</v>
      </c>
      <c r="R531" s="1" t="s">
        <v>1073</v>
      </c>
      <c r="S531" s="1" t="s">
        <v>358</v>
      </c>
      <c r="T531" s="1" t="s">
        <v>2275</v>
      </c>
      <c r="U531" s="1"/>
      <c r="V531" s="1"/>
      <c r="W531" s="21"/>
      <c r="X531" s="8"/>
      <c r="Y531" s="8">
        <v>4</v>
      </c>
      <c r="Z531" s="22" t="s">
        <v>2904</v>
      </c>
      <c r="AA531" s="1"/>
      <c r="AB531" s="29" t="s">
        <v>1112</v>
      </c>
      <c r="AC531" s="1"/>
      <c r="AD531" s="52"/>
    </row>
    <row r="532" spans="1:30" s="53" customFormat="1" x14ac:dyDescent="0.25">
      <c r="A532" s="4"/>
      <c r="B532" s="4">
        <v>45821</v>
      </c>
      <c r="C532" s="1" t="s">
        <v>54</v>
      </c>
      <c r="D532" s="1" t="s">
        <v>2276</v>
      </c>
      <c r="E532" s="1" t="s">
        <v>1113</v>
      </c>
      <c r="F532" s="1" t="s">
        <v>870</v>
      </c>
      <c r="G532" s="8">
        <v>1</v>
      </c>
      <c r="H532" s="8">
        <v>1</v>
      </c>
      <c r="I532" s="115">
        <f>Table223[[#This Row],[Qty]]-Table223[[#This Row],[Issue Qty]]</f>
        <v>0</v>
      </c>
      <c r="J532" s="5">
        <v>9508.7999999999993</v>
      </c>
      <c r="K532" s="5">
        <f t="shared" si="26"/>
        <v>9508.7999999999993</v>
      </c>
      <c r="L532" s="82">
        <v>0.18</v>
      </c>
      <c r="M532" s="9">
        <f t="shared" si="27"/>
        <v>1711.5839999999998</v>
      </c>
      <c r="N532" s="5">
        <v>0</v>
      </c>
      <c r="O532" s="5"/>
      <c r="P532" s="5">
        <f t="shared" si="28"/>
        <v>11220.383999999998</v>
      </c>
      <c r="Q532" s="1" t="s">
        <v>907</v>
      </c>
      <c r="R532" s="1" t="s">
        <v>907</v>
      </c>
      <c r="S532" s="1" t="s">
        <v>358</v>
      </c>
      <c r="T532" s="1" t="s">
        <v>2277</v>
      </c>
      <c r="U532" s="1"/>
      <c r="V532" s="1"/>
      <c r="W532" s="21" t="s">
        <v>809</v>
      </c>
      <c r="X532" s="8"/>
      <c r="Y532" s="8">
        <v>1</v>
      </c>
      <c r="Z532" s="12" t="s">
        <v>2909</v>
      </c>
      <c r="AA532" s="1"/>
      <c r="AB532" s="29" t="s">
        <v>813</v>
      </c>
      <c r="AC532" s="1"/>
      <c r="AD532" s="52"/>
    </row>
    <row r="533" spans="1:30" s="53" customFormat="1" x14ac:dyDescent="0.25">
      <c r="A533" s="4"/>
      <c r="B533" s="4">
        <v>45821</v>
      </c>
      <c r="C533" s="1" t="s">
        <v>54</v>
      </c>
      <c r="D533" s="1" t="s">
        <v>2278</v>
      </c>
      <c r="E533" s="169" t="s">
        <v>1114</v>
      </c>
      <c r="F533" s="1" t="s">
        <v>1114</v>
      </c>
      <c r="G533" s="8">
        <v>1</v>
      </c>
      <c r="H533" s="8">
        <v>1</v>
      </c>
      <c r="I533" s="115">
        <f>Table223[[#This Row],[Qty]]-Table223[[#This Row],[Issue Qty]]</f>
        <v>0</v>
      </c>
      <c r="J533" s="5">
        <v>2549.4</v>
      </c>
      <c r="K533" s="5">
        <f t="shared" si="26"/>
        <v>2549.4</v>
      </c>
      <c r="L533" s="82">
        <v>0.18</v>
      </c>
      <c r="M533" s="9">
        <f t="shared" si="27"/>
        <v>458.892</v>
      </c>
      <c r="N533" s="5">
        <v>0</v>
      </c>
      <c r="O533" s="5"/>
      <c r="P533" s="5">
        <f t="shared" si="28"/>
        <v>3008.2919999999999</v>
      </c>
      <c r="Q533" s="1" t="s">
        <v>1073</v>
      </c>
      <c r="R533" s="1" t="s">
        <v>1073</v>
      </c>
      <c r="S533" s="1" t="s">
        <v>358</v>
      </c>
      <c r="T533" s="1" t="s">
        <v>2275</v>
      </c>
      <c r="U533" s="1"/>
      <c r="V533" s="27"/>
      <c r="W533" s="21"/>
      <c r="X533" s="28"/>
      <c r="Y533" s="21">
        <v>1</v>
      </c>
      <c r="Z533" s="12" t="s">
        <v>1115</v>
      </c>
      <c r="AA533" s="27"/>
      <c r="AB533" s="29" t="s">
        <v>1116</v>
      </c>
      <c r="AC533" s="27"/>
      <c r="AD533" s="52"/>
    </row>
    <row r="534" spans="1:30" s="53" customFormat="1" x14ac:dyDescent="0.25">
      <c r="A534" s="4"/>
      <c r="B534" s="4">
        <v>45824</v>
      </c>
      <c r="C534" s="1" t="s">
        <v>54</v>
      </c>
      <c r="D534" s="1" t="s">
        <v>2237</v>
      </c>
      <c r="E534" s="169" t="s">
        <v>1062</v>
      </c>
      <c r="F534" s="1" t="s">
        <v>1062</v>
      </c>
      <c r="G534" s="8">
        <v>8</v>
      </c>
      <c r="H534" s="8">
        <v>8</v>
      </c>
      <c r="I534" s="115">
        <f>Table223[[#This Row],[Qty]]-Table223[[#This Row],[Issue Qty]]</f>
        <v>0</v>
      </c>
      <c r="J534" s="5">
        <v>575</v>
      </c>
      <c r="K534" s="5">
        <f t="shared" si="26"/>
        <v>4600</v>
      </c>
      <c r="L534" s="82">
        <v>0.18</v>
      </c>
      <c r="M534" s="9">
        <f t="shared" si="27"/>
        <v>828</v>
      </c>
      <c r="N534" s="5">
        <v>0</v>
      </c>
      <c r="O534" s="5"/>
      <c r="P534" s="5">
        <f t="shared" si="28"/>
        <v>5428</v>
      </c>
      <c r="Q534" s="1" t="s">
        <v>1073</v>
      </c>
      <c r="R534" s="1" t="s">
        <v>1073</v>
      </c>
      <c r="S534" s="1" t="s">
        <v>1117</v>
      </c>
      <c r="T534" s="1" t="s">
        <v>2279</v>
      </c>
      <c r="U534" s="1"/>
      <c r="V534" s="27"/>
      <c r="W534" s="21"/>
      <c r="X534" s="28"/>
      <c r="Y534" s="21">
        <v>8</v>
      </c>
      <c r="Z534" s="12" t="s">
        <v>1075</v>
      </c>
      <c r="AA534" s="27"/>
      <c r="AB534" s="29" t="s">
        <v>1063</v>
      </c>
      <c r="AC534" s="27"/>
      <c r="AD534" s="52"/>
    </row>
    <row r="535" spans="1:30" s="53" customFormat="1" x14ac:dyDescent="0.25">
      <c r="A535" s="4"/>
      <c r="B535" s="4">
        <v>45824</v>
      </c>
      <c r="C535" s="1" t="s">
        <v>54</v>
      </c>
      <c r="D535" s="1" t="s">
        <v>2239</v>
      </c>
      <c r="E535" s="169" t="s">
        <v>1064</v>
      </c>
      <c r="F535" s="1" t="s">
        <v>1064</v>
      </c>
      <c r="G535" s="8">
        <v>8</v>
      </c>
      <c r="H535" s="8">
        <v>8</v>
      </c>
      <c r="I535" s="115">
        <f>Table223[[#This Row],[Qty]]-Table223[[#This Row],[Issue Qty]]</f>
        <v>0</v>
      </c>
      <c r="J535" s="5">
        <v>1550</v>
      </c>
      <c r="K535" s="5">
        <f t="shared" si="26"/>
        <v>12400</v>
      </c>
      <c r="L535" s="82">
        <v>0.18</v>
      </c>
      <c r="M535" s="9">
        <f t="shared" si="27"/>
        <v>2232</v>
      </c>
      <c r="N535" s="5">
        <v>0</v>
      </c>
      <c r="O535" s="5"/>
      <c r="P535" s="5">
        <f t="shared" si="28"/>
        <v>14632</v>
      </c>
      <c r="Q535" s="1" t="s">
        <v>1073</v>
      </c>
      <c r="R535" s="1" t="s">
        <v>1073</v>
      </c>
      <c r="S535" s="1" t="s">
        <v>1117</v>
      </c>
      <c r="T535" s="1" t="s">
        <v>2279</v>
      </c>
      <c r="U535" s="1"/>
      <c r="V535" s="27"/>
      <c r="W535" s="21"/>
      <c r="X535" s="28"/>
      <c r="Y535" s="21">
        <v>8</v>
      </c>
      <c r="Z535" s="12" t="s">
        <v>1075</v>
      </c>
      <c r="AA535" s="27"/>
      <c r="AB535" s="29" t="s">
        <v>1065</v>
      </c>
      <c r="AC535" s="27"/>
      <c r="AD535" s="52"/>
    </row>
    <row r="536" spans="1:30" s="53" customFormat="1" x14ac:dyDescent="0.25">
      <c r="A536" s="4"/>
      <c r="B536" s="4">
        <v>45824</v>
      </c>
      <c r="C536" s="1" t="s">
        <v>54</v>
      </c>
      <c r="D536" s="1" t="s">
        <v>2276</v>
      </c>
      <c r="E536" s="1" t="s">
        <v>1113</v>
      </c>
      <c r="F536" s="1" t="s">
        <v>870</v>
      </c>
      <c r="G536" s="8">
        <v>1</v>
      </c>
      <c r="H536" s="8"/>
      <c r="I536" s="115">
        <f>Table223[[#This Row],[Qty]]-Table223[[#This Row],[Issue Qty]]</f>
        <v>1</v>
      </c>
      <c r="J536" s="5">
        <v>10350</v>
      </c>
      <c r="K536" s="5">
        <f t="shared" si="26"/>
        <v>10350</v>
      </c>
      <c r="L536" s="82">
        <v>0.18</v>
      </c>
      <c r="M536" s="9">
        <f t="shared" si="27"/>
        <v>1863</v>
      </c>
      <c r="N536" s="5">
        <v>0</v>
      </c>
      <c r="O536" s="5"/>
      <c r="P536" s="5">
        <f t="shared" si="28"/>
        <v>12213</v>
      </c>
      <c r="Q536" s="1" t="s">
        <v>907</v>
      </c>
      <c r="R536" s="1" t="s">
        <v>907</v>
      </c>
      <c r="S536" s="1" t="s">
        <v>829</v>
      </c>
      <c r="T536" s="1" t="s">
        <v>2280</v>
      </c>
      <c r="U536" s="1"/>
      <c r="V536" s="27"/>
      <c r="W536" s="21"/>
      <c r="X536" s="28"/>
      <c r="Y536" s="21"/>
      <c r="Z536" s="12"/>
      <c r="AA536" s="27"/>
      <c r="AB536" s="29" t="s">
        <v>813</v>
      </c>
      <c r="AC536" s="27"/>
      <c r="AD536" s="52"/>
    </row>
    <row r="537" spans="1:30" s="51" customFormat="1" x14ac:dyDescent="0.25">
      <c r="A537" s="4"/>
      <c r="B537" s="4">
        <v>45824</v>
      </c>
      <c r="C537" s="1" t="s">
        <v>54</v>
      </c>
      <c r="D537" s="1" t="s">
        <v>2281</v>
      </c>
      <c r="E537" s="1" t="s">
        <v>1118</v>
      </c>
      <c r="F537" s="1" t="s">
        <v>1119</v>
      </c>
      <c r="G537" s="8">
        <v>1</v>
      </c>
      <c r="H537" s="8"/>
      <c r="I537" s="115">
        <f>Table223[[#This Row],[Qty]]-Table223[[#This Row],[Issue Qty]]</f>
        <v>1</v>
      </c>
      <c r="J537" s="5">
        <v>1000</v>
      </c>
      <c r="K537" s="5">
        <f t="shared" si="26"/>
        <v>1000</v>
      </c>
      <c r="L537" s="82">
        <v>0.18</v>
      </c>
      <c r="M537" s="9">
        <f t="shared" si="27"/>
        <v>180</v>
      </c>
      <c r="N537" s="5">
        <v>0</v>
      </c>
      <c r="O537" s="5"/>
      <c r="P537" s="5">
        <f t="shared" si="28"/>
        <v>1180</v>
      </c>
      <c r="Q537" s="1" t="s">
        <v>907</v>
      </c>
      <c r="R537" s="1" t="s">
        <v>907</v>
      </c>
      <c r="S537" s="1" t="s">
        <v>358</v>
      </c>
      <c r="T537" s="1" t="s">
        <v>2282</v>
      </c>
      <c r="U537" s="1"/>
      <c r="V537" s="27"/>
      <c r="W537" s="21"/>
      <c r="X537" s="28"/>
      <c r="Y537" s="21">
        <v>1</v>
      </c>
      <c r="Z537" s="12" t="s">
        <v>936</v>
      </c>
      <c r="AA537" s="27"/>
      <c r="AB537" s="29"/>
      <c r="AC537" s="27"/>
      <c r="AD537" s="50"/>
    </row>
    <row r="538" spans="1:30" s="53" customFormat="1" x14ac:dyDescent="0.25">
      <c r="A538" s="4"/>
      <c r="B538" s="4">
        <v>45824</v>
      </c>
      <c r="C538" s="1" t="s">
        <v>1993</v>
      </c>
      <c r="D538" s="1" t="s">
        <v>2283</v>
      </c>
      <c r="E538" s="1" t="s">
        <v>1120</v>
      </c>
      <c r="F538" s="1" t="s">
        <v>1121</v>
      </c>
      <c r="G538" s="8">
        <v>4</v>
      </c>
      <c r="H538" s="8"/>
      <c r="I538" s="115">
        <f>Table223[[#This Row],[Qty]]-Table223[[#This Row],[Issue Qty]]</f>
        <v>4</v>
      </c>
      <c r="J538" s="5">
        <v>250</v>
      </c>
      <c r="K538" s="5">
        <f t="shared" si="26"/>
        <v>1000</v>
      </c>
      <c r="L538" s="82">
        <v>0.18</v>
      </c>
      <c r="M538" s="9">
        <f t="shared" si="27"/>
        <v>180</v>
      </c>
      <c r="N538" s="5">
        <v>0</v>
      </c>
      <c r="O538" s="5"/>
      <c r="P538" s="5">
        <f t="shared" si="28"/>
        <v>1180</v>
      </c>
      <c r="Q538" s="1" t="s">
        <v>907</v>
      </c>
      <c r="R538" s="1" t="s">
        <v>907</v>
      </c>
      <c r="S538" s="1" t="s">
        <v>829</v>
      </c>
      <c r="T538" s="1" t="s">
        <v>2280</v>
      </c>
      <c r="U538" s="1"/>
      <c r="V538" s="27"/>
      <c r="W538" s="21"/>
      <c r="X538" s="28"/>
      <c r="Y538" s="21">
        <v>4</v>
      </c>
      <c r="Z538" s="12" t="s">
        <v>936</v>
      </c>
      <c r="AA538" s="27"/>
      <c r="AB538" s="29"/>
      <c r="AC538" s="27"/>
      <c r="AD538" s="52"/>
    </row>
    <row r="539" spans="1:30" s="51" customFormat="1" x14ac:dyDescent="0.25">
      <c r="A539" s="4"/>
      <c r="B539" s="4">
        <v>45824</v>
      </c>
      <c r="C539" s="1" t="s">
        <v>54</v>
      </c>
      <c r="D539" s="1" t="s">
        <v>2284</v>
      </c>
      <c r="E539" s="1" t="s">
        <v>1122</v>
      </c>
      <c r="F539" s="1" t="s">
        <v>1122</v>
      </c>
      <c r="G539" s="8">
        <v>1</v>
      </c>
      <c r="H539" s="8"/>
      <c r="I539" s="115">
        <f>Table223[[#This Row],[Qty]]-Table223[[#This Row],[Issue Qty]]</f>
        <v>1</v>
      </c>
      <c r="J539" s="5">
        <v>3800</v>
      </c>
      <c r="K539" s="5">
        <f t="shared" si="26"/>
        <v>3800</v>
      </c>
      <c r="L539" s="82">
        <v>0.18</v>
      </c>
      <c r="M539" s="9">
        <f t="shared" si="27"/>
        <v>684</v>
      </c>
      <c r="N539" s="5">
        <v>0</v>
      </c>
      <c r="O539" s="5"/>
      <c r="P539" s="5">
        <f t="shared" si="28"/>
        <v>4484</v>
      </c>
      <c r="Q539" s="1" t="s">
        <v>907</v>
      </c>
      <c r="R539" s="1" t="s">
        <v>907</v>
      </c>
      <c r="S539" s="1" t="s">
        <v>764</v>
      </c>
      <c r="T539" s="1" t="s">
        <v>2285</v>
      </c>
      <c r="U539" s="1"/>
      <c r="V539" s="27"/>
      <c r="W539" s="21"/>
      <c r="X539" s="28"/>
      <c r="Y539" s="21">
        <v>1</v>
      </c>
      <c r="Z539" s="12" t="s">
        <v>936</v>
      </c>
      <c r="AA539" s="27"/>
      <c r="AB539" s="29"/>
      <c r="AC539" s="27"/>
      <c r="AD539" s="50"/>
    </row>
    <row r="540" spans="1:30" s="24" customFormat="1" x14ac:dyDescent="0.25">
      <c r="A540" s="4"/>
      <c r="B540" s="4">
        <v>45824</v>
      </c>
      <c r="C540" s="1" t="s">
        <v>1991</v>
      </c>
      <c r="D540" s="1" t="s">
        <v>2286</v>
      </c>
      <c r="E540" s="1" t="s">
        <v>1123</v>
      </c>
      <c r="F540" s="1" t="s">
        <v>1123</v>
      </c>
      <c r="G540" s="8">
        <v>6</v>
      </c>
      <c r="H540" s="8"/>
      <c r="I540" s="115">
        <f>Table223[[#This Row],[Qty]]-Table223[[#This Row],[Issue Qty]]</f>
        <v>6</v>
      </c>
      <c r="J540" s="5">
        <v>4406.9133333333302</v>
      </c>
      <c r="K540" s="5">
        <f t="shared" si="26"/>
        <v>26441.479999999981</v>
      </c>
      <c r="L540" s="82">
        <v>0</v>
      </c>
      <c r="M540" s="9">
        <f t="shared" si="27"/>
        <v>0</v>
      </c>
      <c r="N540" s="5">
        <v>0</v>
      </c>
      <c r="O540" s="5"/>
      <c r="P540" s="5">
        <f t="shared" si="28"/>
        <v>26441.479999999981</v>
      </c>
      <c r="Q540" s="1" t="s">
        <v>980</v>
      </c>
      <c r="R540" s="1" t="s">
        <v>980</v>
      </c>
      <c r="S540" s="1" t="s">
        <v>1124</v>
      </c>
      <c r="T540" s="1" t="s">
        <v>2287</v>
      </c>
      <c r="U540" s="1"/>
      <c r="V540" s="1"/>
      <c r="W540" s="21" t="s">
        <v>52</v>
      </c>
      <c r="X540" s="8"/>
      <c r="Y540" s="8">
        <v>1</v>
      </c>
      <c r="Z540" s="22" t="s">
        <v>1125</v>
      </c>
      <c r="AA540" s="1"/>
      <c r="AB540" s="29" t="s">
        <v>1123</v>
      </c>
      <c r="AC540" s="1"/>
      <c r="AD540" s="2"/>
    </row>
    <row r="541" spans="1:30" s="24" customFormat="1" x14ac:dyDescent="0.25">
      <c r="A541" s="4"/>
      <c r="B541" s="4">
        <v>45824</v>
      </c>
      <c r="C541" s="1" t="s">
        <v>1991</v>
      </c>
      <c r="D541" s="1" t="s">
        <v>2288</v>
      </c>
      <c r="E541" s="1" t="s">
        <v>1126</v>
      </c>
      <c r="F541" s="1" t="s">
        <v>1127</v>
      </c>
      <c r="G541" s="8">
        <v>8</v>
      </c>
      <c r="H541" s="8"/>
      <c r="I541" s="115">
        <f>Table223[[#This Row],[Qty]]-Table223[[#This Row],[Issue Qty]]</f>
        <v>8</v>
      </c>
      <c r="J541" s="5">
        <v>1322.44625</v>
      </c>
      <c r="K541" s="5">
        <f t="shared" si="26"/>
        <v>10579.57</v>
      </c>
      <c r="L541" s="82">
        <v>0</v>
      </c>
      <c r="M541" s="9">
        <f t="shared" si="27"/>
        <v>0</v>
      </c>
      <c r="N541" s="5">
        <v>0</v>
      </c>
      <c r="O541" s="5"/>
      <c r="P541" s="5">
        <f t="shared" si="28"/>
        <v>10579.57</v>
      </c>
      <c r="Q541" s="1" t="s">
        <v>980</v>
      </c>
      <c r="R541" s="1" t="s">
        <v>980</v>
      </c>
      <c r="S541" s="1" t="s">
        <v>1124</v>
      </c>
      <c r="T541" s="1" t="s">
        <v>2287</v>
      </c>
      <c r="U541" s="1"/>
      <c r="V541" s="1"/>
      <c r="W541" s="21" t="s">
        <v>38</v>
      </c>
      <c r="X541" s="21" t="s">
        <v>1128</v>
      </c>
      <c r="Y541" s="8">
        <v>2</v>
      </c>
      <c r="Z541" s="22" t="s">
        <v>1125</v>
      </c>
      <c r="AA541" s="1"/>
      <c r="AB541" s="29" t="s">
        <v>1127</v>
      </c>
      <c r="AC541" s="1"/>
      <c r="AD541" s="2"/>
    </row>
    <row r="542" spans="1:30" s="24" customFormat="1" ht="30" x14ac:dyDescent="0.25">
      <c r="A542" s="4"/>
      <c r="B542" s="4">
        <v>45824</v>
      </c>
      <c r="C542" s="1" t="s">
        <v>1989</v>
      </c>
      <c r="D542" s="1" t="s">
        <v>2289</v>
      </c>
      <c r="E542" s="1" t="s">
        <v>1129</v>
      </c>
      <c r="F542" s="1" t="s">
        <v>1129</v>
      </c>
      <c r="G542" s="8">
        <v>1</v>
      </c>
      <c r="H542" s="8">
        <v>1</v>
      </c>
      <c r="I542" s="115">
        <f>Table223[[#This Row],[Qty]]-Table223[[#This Row],[Issue Qty]]</f>
        <v>0</v>
      </c>
      <c r="J542" s="5">
        <v>727.12</v>
      </c>
      <c r="K542" s="5">
        <f t="shared" si="26"/>
        <v>727.12</v>
      </c>
      <c r="L542" s="82">
        <v>0.18</v>
      </c>
      <c r="M542" s="9">
        <f t="shared" si="27"/>
        <v>130.88159999999999</v>
      </c>
      <c r="N542" s="5">
        <v>99</v>
      </c>
      <c r="O542" s="5"/>
      <c r="P542" s="5">
        <f t="shared" si="28"/>
        <v>957.00160000000005</v>
      </c>
      <c r="Q542" s="1" t="s">
        <v>907</v>
      </c>
      <c r="R542" s="1" t="s">
        <v>907</v>
      </c>
      <c r="S542" s="1" t="s">
        <v>691</v>
      </c>
      <c r="T542" s="1" t="s">
        <v>2290</v>
      </c>
      <c r="U542" s="1"/>
      <c r="V542" s="27"/>
      <c r="W542" s="21"/>
      <c r="X542" s="28"/>
      <c r="Y542" s="21">
        <v>1</v>
      </c>
      <c r="Z542" s="12" t="s">
        <v>2909</v>
      </c>
      <c r="AA542" s="27"/>
      <c r="AB542" s="29" t="s">
        <v>1130</v>
      </c>
      <c r="AC542" s="27"/>
      <c r="AD542" s="2"/>
    </row>
    <row r="543" spans="1:30" s="24" customFormat="1" x14ac:dyDescent="0.25">
      <c r="A543" s="4"/>
      <c r="B543" s="4">
        <v>45824</v>
      </c>
      <c r="C543" s="1" t="s">
        <v>1993</v>
      </c>
      <c r="D543" s="1" t="s">
        <v>2291</v>
      </c>
      <c r="E543" s="1" t="s">
        <v>1131</v>
      </c>
      <c r="F543" s="1" t="s">
        <v>1131</v>
      </c>
      <c r="G543" s="8">
        <v>6</v>
      </c>
      <c r="H543" s="8">
        <v>2</v>
      </c>
      <c r="I543" s="115">
        <f>Table223[[#This Row],[Qty]]-Table223[[#This Row],[Issue Qty]]</f>
        <v>4</v>
      </c>
      <c r="J543" s="5">
        <v>264.49</v>
      </c>
      <c r="K543" s="5">
        <f t="shared" si="26"/>
        <v>1586.94</v>
      </c>
      <c r="L543" s="82">
        <v>0</v>
      </c>
      <c r="M543" s="9">
        <f t="shared" si="27"/>
        <v>0</v>
      </c>
      <c r="N543" s="5">
        <v>0</v>
      </c>
      <c r="O543" s="5"/>
      <c r="P543" s="5">
        <f t="shared" si="28"/>
        <v>1586.94</v>
      </c>
      <c r="Q543" s="1" t="s">
        <v>980</v>
      </c>
      <c r="R543" s="1" t="s">
        <v>980</v>
      </c>
      <c r="S543" s="1" t="s">
        <v>1124</v>
      </c>
      <c r="T543" s="1" t="s">
        <v>2287</v>
      </c>
      <c r="U543" s="1"/>
      <c r="V543" s="1"/>
      <c r="W543" s="21" t="s">
        <v>420</v>
      </c>
      <c r="X543" s="8" t="s">
        <v>1132</v>
      </c>
      <c r="Y543" s="8">
        <v>2</v>
      </c>
      <c r="Z543" s="22" t="s">
        <v>1125</v>
      </c>
      <c r="AA543" s="1"/>
      <c r="AB543" s="29" t="s">
        <v>1131</v>
      </c>
      <c r="AC543" s="1"/>
      <c r="AD543" s="2"/>
    </row>
    <row r="544" spans="1:30" s="24" customFormat="1" x14ac:dyDescent="0.25">
      <c r="A544" s="4"/>
      <c r="B544" s="4">
        <v>45824</v>
      </c>
      <c r="C544" s="1" t="s">
        <v>2096</v>
      </c>
      <c r="D544" s="1" t="s">
        <v>2292</v>
      </c>
      <c r="E544" s="1" t="s">
        <v>1133</v>
      </c>
      <c r="F544" s="1" t="s">
        <v>1133</v>
      </c>
      <c r="G544" s="8">
        <v>4</v>
      </c>
      <c r="H544" s="8"/>
      <c r="I544" s="115">
        <f>Table223[[#This Row],[Qty]]-Table223[[#This Row],[Issue Qty]]</f>
        <v>4</v>
      </c>
      <c r="J544" s="5">
        <v>9840.7175000000007</v>
      </c>
      <c r="K544" s="5">
        <f t="shared" si="26"/>
        <v>39362.870000000003</v>
      </c>
      <c r="L544" s="82">
        <v>0</v>
      </c>
      <c r="M544" s="9">
        <f t="shared" si="27"/>
        <v>0</v>
      </c>
      <c r="N544" s="5">
        <v>0</v>
      </c>
      <c r="O544" s="5"/>
      <c r="P544" s="5">
        <f t="shared" si="28"/>
        <v>39362.870000000003</v>
      </c>
      <c r="Q544" s="1" t="s">
        <v>980</v>
      </c>
      <c r="R544" s="1" t="s">
        <v>980</v>
      </c>
      <c r="S544" s="1" t="s">
        <v>1124</v>
      </c>
      <c r="T544" s="1" t="s">
        <v>2287</v>
      </c>
      <c r="U544" s="1"/>
      <c r="V544" s="1"/>
      <c r="W544" s="21" t="s">
        <v>29</v>
      </c>
      <c r="X544" s="8"/>
      <c r="Y544" s="8">
        <v>2</v>
      </c>
      <c r="Z544" s="22" t="s">
        <v>1125</v>
      </c>
      <c r="AA544" s="1"/>
      <c r="AB544" s="29" t="s">
        <v>1133</v>
      </c>
      <c r="AC544" s="1"/>
      <c r="AD544" s="2"/>
    </row>
    <row r="545" spans="1:30" s="24" customFormat="1" x14ac:dyDescent="0.25">
      <c r="A545" s="4"/>
      <c r="B545" s="4">
        <v>45824</v>
      </c>
      <c r="C545" s="1" t="s">
        <v>1991</v>
      </c>
      <c r="D545" s="1" t="s">
        <v>2293</v>
      </c>
      <c r="E545" s="1" t="s">
        <v>1134</v>
      </c>
      <c r="F545" s="1" t="s">
        <v>1134</v>
      </c>
      <c r="G545" s="8">
        <v>4</v>
      </c>
      <c r="H545" s="8"/>
      <c r="I545" s="115">
        <f>Table223[[#This Row],[Qty]]-Table223[[#This Row],[Issue Qty]]</f>
        <v>4</v>
      </c>
      <c r="J545" s="5">
        <v>52893.452499999999</v>
      </c>
      <c r="K545" s="5">
        <f t="shared" si="26"/>
        <v>211573.81</v>
      </c>
      <c r="L545" s="82">
        <v>0</v>
      </c>
      <c r="M545" s="9">
        <f t="shared" si="27"/>
        <v>0</v>
      </c>
      <c r="N545" s="5">
        <v>0</v>
      </c>
      <c r="O545" s="5"/>
      <c r="P545" s="5">
        <f t="shared" si="28"/>
        <v>211573.81</v>
      </c>
      <c r="Q545" s="1" t="s">
        <v>980</v>
      </c>
      <c r="R545" s="1" t="s">
        <v>980</v>
      </c>
      <c r="S545" s="1" t="s">
        <v>1124</v>
      </c>
      <c r="T545" s="1" t="s">
        <v>2287</v>
      </c>
      <c r="U545" s="1"/>
      <c r="V545" s="1"/>
      <c r="W545" s="21" t="s">
        <v>25</v>
      </c>
      <c r="X545" s="8"/>
      <c r="Y545" s="8"/>
      <c r="Z545" s="22"/>
      <c r="AA545" s="1"/>
      <c r="AB545" s="29" t="s">
        <v>1134</v>
      </c>
      <c r="AC545" s="1"/>
      <c r="AD545" s="2"/>
    </row>
    <row r="546" spans="1:30" s="24" customFormat="1" x14ac:dyDescent="0.25">
      <c r="A546" s="4"/>
      <c r="B546" s="4">
        <v>45824</v>
      </c>
      <c r="C546" s="1" t="s">
        <v>2096</v>
      </c>
      <c r="D546" s="1" t="s">
        <v>2294</v>
      </c>
      <c r="E546" s="1" t="s">
        <v>1135</v>
      </c>
      <c r="F546" s="1" t="s">
        <v>1135</v>
      </c>
      <c r="G546" s="8">
        <v>1</v>
      </c>
      <c r="H546" s="8"/>
      <c r="I546" s="115">
        <f>Table223[[#This Row],[Qty]]-Table223[[#This Row],[Issue Qty]]</f>
        <v>1</v>
      </c>
      <c r="J546" s="5">
        <v>4050.6</v>
      </c>
      <c r="K546" s="5">
        <f t="shared" si="26"/>
        <v>4050.6</v>
      </c>
      <c r="L546" s="82">
        <v>0</v>
      </c>
      <c r="M546" s="9">
        <f t="shared" si="27"/>
        <v>0</v>
      </c>
      <c r="N546" s="5">
        <v>0</v>
      </c>
      <c r="O546" s="5"/>
      <c r="P546" s="5">
        <f t="shared" si="28"/>
        <v>4050.6</v>
      </c>
      <c r="Q546" s="1" t="s">
        <v>980</v>
      </c>
      <c r="R546" s="1" t="s">
        <v>980</v>
      </c>
      <c r="S546" s="1" t="s">
        <v>1124</v>
      </c>
      <c r="T546" s="1" t="s">
        <v>2287</v>
      </c>
      <c r="U546" s="1"/>
      <c r="V546" s="1"/>
      <c r="W546" s="21" t="s">
        <v>29</v>
      </c>
      <c r="X546" s="8"/>
      <c r="Y546" s="8">
        <v>1</v>
      </c>
      <c r="Z546" s="22" t="s">
        <v>1125</v>
      </c>
      <c r="AA546" s="1"/>
      <c r="AB546" s="29" t="s">
        <v>1135</v>
      </c>
      <c r="AC546" s="1"/>
      <c r="AD546" s="2"/>
    </row>
    <row r="547" spans="1:30" s="24" customFormat="1" x14ac:dyDescent="0.25">
      <c r="A547" s="4"/>
      <c r="B547" s="4">
        <v>45824</v>
      </c>
      <c r="C547" s="1" t="s">
        <v>1991</v>
      </c>
      <c r="D547" s="1" t="s">
        <v>2295</v>
      </c>
      <c r="E547" s="1" t="s">
        <v>1136</v>
      </c>
      <c r="F547" s="1" t="s">
        <v>1136</v>
      </c>
      <c r="G547" s="8">
        <v>4</v>
      </c>
      <c r="H547" s="8"/>
      <c r="I547" s="115">
        <f>Table223[[#This Row],[Qty]]-Table223[[#This Row],[Issue Qty]]</f>
        <v>4</v>
      </c>
      <c r="J547" s="5">
        <v>14101.6875</v>
      </c>
      <c r="K547" s="5">
        <f t="shared" si="26"/>
        <v>56406.75</v>
      </c>
      <c r="L547" s="82">
        <v>0</v>
      </c>
      <c r="M547" s="9">
        <f t="shared" si="27"/>
        <v>0</v>
      </c>
      <c r="N547" s="5">
        <v>0</v>
      </c>
      <c r="O547" s="5"/>
      <c r="P547" s="5">
        <f t="shared" si="28"/>
        <v>56406.75</v>
      </c>
      <c r="Q547" s="1" t="s">
        <v>980</v>
      </c>
      <c r="R547" s="1" t="s">
        <v>980</v>
      </c>
      <c r="S547" s="1" t="s">
        <v>1124</v>
      </c>
      <c r="T547" s="1" t="s">
        <v>2287</v>
      </c>
      <c r="U547" s="1"/>
      <c r="V547" s="1"/>
      <c r="W547" s="21" t="s">
        <v>244</v>
      </c>
      <c r="X547" s="8"/>
      <c r="Y547" s="8">
        <v>2</v>
      </c>
      <c r="Z547" s="22" t="s">
        <v>1125</v>
      </c>
      <c r="AA547" s="1"/>
      <c r="AB547" s="29" t="s">
        <v>1136</v>
      </c>
      <c r="AC547" s="1"/>
      <c r="AD547" s="2"/>
    </row>
    <row r="548" spans="1:30" s="24" customFormat="1" x14ac:dyDescent="0.25">
      <c r="A548" s="4"/>
      <c r="B548" s="4">
        <v>45824</v>
      </c>
      <c r="C548" s="1" t="s">
        <v>1991</v>
      </c>
      <c r="D548" s="1" t="s">
        <v>2296</v>
      </c>
      <c r="E548" s="1" t="s">
        <v>1137</v>
      </c>
      <c r="F548" s="1" t="s">
        <v>1137</v>
      </c>
      <c r="G548" s="8">
        <v>6</v>
      </c>
      <c r="H548" s="8"/>
      <c r="I548" s="115">
        <f>Table223[[#This Row],[Qty]]-Table223[[#This Row],[Issue Qty]]</f>
        <v>6</v>
      </c>
      <c r="J548" s="5">
        <v>14983.3183333333</v>
      </c>
      <c r="K548" s="5">
        <f t="shared" si="26"/>
        <v>89899.9099999998</v>
      </c>
      <c r="L548" s="82">
        <v>0</v>
      </c>
      <c r="M548" s="9">
        <f t="shared" si="27"/>
        <v>0</v>
      </c>
      <c r="N548" s="5">
        <v>0</v>
      </c>
      <c r="O548" s="5"/>
      <c r="P548" s="5">
        <f t="shared" si="28"/>
        <v>89899.9099999998</v>
      </c>
      <c r="Q548" s="1" t="s">
        <v>980</v>
      </c>
      <c r="R548" s="1" t="s">
        <v>980</v>
      </c>
      <c r="S548" s="1" t="s">
        <v>1124</v>
      </c>
      <c r="T548" s="1" t="s">
        <v>2287</v>
      </c>
      <c r="U548" s="1"/>
      <c r="V548" s="1"/>
      <c r="W548" s="21" t="s">
        <v>25</v>
      </c>
      <c r="X548" s="8"/>
      <c r="Y548" s="8">
        <v>2</v>
      </c>
      <c r="Z548" s="22" t="s">
        <v>1125</v>
      </c>
      <c r="AA548" s="1"/>
      <c r="AB548" s="29" t="s">
        <v>1137</v>
      </c>
      <c r="AC548" s="1"/>
      <c r="AD548" s="2"/>
    </row>
    <row r="549" spans="1:30" s="24" customFormat="1" x14ac:dyDescent="0.25">
      <c r="A549" s="4"/>
      <c r="B549" s="4">
        <v>45824</v>
      </c>
      <c r="C549" s="1" t="s">
        <v>1991</v>
      </c>
      <c r="D549" s="1" t="s">
        <v>2297</v>
      </c>
      <c r="E549" s="1" t="s">
        <v>1138</v>
      </c>
      <c r="F549" s="1" t="s">
        <v>1138</v>
      </c>
      <c r="G549" s="8">
        <v>6</v>
      </c>
      <c r="H549" s="8"/>
      <c r="I549" s="115">
        <f>Table223[[#This Row],[Qty]]-Table223[[#This Row],[Issue Qty]]</f>
        <v>6</v>
      </c>
      <c r="J549" s="5">
        <v>10575.163333333299</v>
      </c>
      <c r="K549" s="5">
        <f t="shared" si="26"/>
        <v>63450.979999999792</v>
      </c>
      <c r="L549" s="82">
        <v>0</v>
      </c>
      <c r="M549" s="9">
        <f t="shared" si="27"/>
        <v>0</v>
      </c>
      <c r="N549" s="5">
        <v>0</v>
      </c>
      <c r="O549" s="5"/>
      <c r="P549" s="5">
        <f t="shared" si="28"/>
        <v>63450.979999999792</v>
      </c>
      <c r="Q549" s="1" t="s">
        <v>980</v>
      </c>
      <c r="R549" s="1" t="s">
        <v>980</v>
      </c>
      <c r="S549" s="1" t="s">
        <v>1124</v>
      </c>
      <c r="T549" s="1" t="s">
        <v>2287</v>
      </c>
      <c r="U549" s="1"/>
      <c r="V549" s="1"/>
      <c r="W549" s="21" t="s">
        <v>244</v>
      </c>
      <c r="X549" s="8"/>
      <c r="Y549" s="8">
        <v>2</v>
      </c>
      <c r="Z549" s="22" t="s">
        <v>1125</v>
      </c>
      <c r="AA549" s="1"/>
      <c r="AB549" s="29" t="s">
        <v>1138</v>
      </c>
      <c r="AC549" s="1"/>
      <c r="AD549" s="2"/>
    </row>
    <row r="550" spans="1:30" s="24" customFormat="1" x14ac:dyDescent="0.25">
      <c r="A550" s="4"/>
      <c r="B550" s="4">
        <v>45824</v>
      </c>
      <c r="C550" s="1" t="s">
        <v>1991</v>
      </c>
      <c r="D550" s="1" t="s">
        <v>2286</v>
      </c>
      <c r="E550" s="1" t="s">
        <v>1123</v>
      </c>
      <c r="F550" s="1" t="s">
        <v>1123</v>
      </c>
      <c r="G550" s="8">
        <v>6</v>
      </c>
      <c r="H550" s="8"/>
      <c r="I550" s="115">
        <f>Table223[[#This Row],[Qty]]-Table223[[#This Row],[Issue Qty]]</f>
        <v>6</v>
      </c>
      <c r="J550" s="5">
        <v>4406.9133333333302</v>
      </c>
      <c r="K550" s="5">
        <f t="shared" si="26"/>
        <v>26441.479999999981</v>
      </c>
      <c r="L550" s="82">
        <v>0</v>
      </c>
      <c r="M550" s="9">
        <f t="shared" si="27"/>
        <v>0</v>
      </c>
      <c r="N550" s="5">
        <v>0</v>
      </c>
      <c r="O550" s="5"/>
      <c r="P550" s="5">
        <f t="shared" si="28"/>
        <v>26441.479999999981</v>
      </c>
      <c r="Q550" s="1" t="s">
        <v>980</v>
      </c>
      <c r="R550" s="1" t="s">
        <v>980</v>
      </c>
      <c r="S550" s="1" t="s">
        <v>1124</v>
      </c>
      <c r="T550" s="1" t="s">
        <v>2287</v>
      </c>
      <c r="U550" s="1"/>
      <c r="V550" s="1"/>
      <c r="W550" s="21" t="s">
        <v>52</v>
      </c>
      <c r="X550" s="8"/>
      <c r="Y550" s="8">
        <v>1</v>
      </c>
      <c r="Z550" s="22" t="s">
        <v>1125</v>
      </c>
      <c r="AA550" s="1"/>
      <c r="AB550" s="29" t="s">
        <v>1123</v>
      </c>
      <c r="AC550" s="1"/>
      <c r="AD550" s="2"/>
    </row>
    <row r="551" spans="1:30" s="24" customFormat="1" x14ac:dyDescent="0.25">
      <c r="A551" s="4"/>
      <c r="B551" s="4">
        <v>45826</v>
      </c>
      <c r="C551" s="1" t="s">
        <v>54</v>
      </c>
      <c r="D551" s="1" t="s">
        <v>2276</v>
      </c>
      <c r="E551" s="1" t="s">
        <v>1113</v>
      </c>
      <c r="F551" s="1" t="s">
        <v>870</v>
      </c>
      <c r="G551" s="8">
        <v>1</v>
      </c>
      <c r="H551" s="8">
        <v>1</v>
      </c>
      <c r="I551" s="115">
        <f>Table223[[#This Row],[Qty]]-Table223[[#This Row],[Issue Qty]]</f>
        <v>0</v>
      </c>
      <c r="J551" s="5">
        <f>9895+2240</f>
        <v>12135</v>
      </c>
      <c r="K551" s="5">
        <f t="shared" si="26"/>
        <v>12135</v>
      </c>
      <c r="L551" s="82">
        <v>0.18</v>
      </c>
      <c r="M551" s="9">
        <f t="shared" si="27"/>
        <v>2184.2999999999997</v>
      </c>
      <c r="N551" s="5">
        <v>1180</v>
      </c>
      <c r="O551" s="5"/>
      <c r="P551" s="5">
        <f t="shared" si="28"/>
        <v>15499.3</v>
      </c>
      <c r="Q551" s="1" t="s">
        <v>907</v>
      </c>
      <c r="R551" s="1" t="s">
        <v>907</v>
      </c>
      <c r="S551" s="1" t="s">
        <v>1017</v>
      </c>
      <c r="T551" s="1" t="s">
        <v>2298</v>
      </c>
      <c r="U551" s="1"/>
      <c r="V551" s="27"/>
      <c r="W551" s="21"/>
      <c r="X551" s="28"/>
      <c r="Y551" s="21">
        <v>1</v>
      </c>
      <c r="Z551" s="12" t="s">
        <v>2915</v>
      </c>
      <c r="AA551" s="27"/>
      <c r="AB551" s="29" t="s">
        <v>813</v>
      </c>
      <c r="AC551" s="27"/>
      <c r="AD551" s="2"/>
    </row>
    <row r="552" spans="1:30" s="24" customFormat="1" x14ac:dyDescent="0.25">
      <c r="A552" s="4"/>
      <c r="B552" s="4">
        <v>45827</v>
      </c>
      <c r="C552" s="1" t="s">
        <v>54</v>
      </c>
      <c r="D552" s="1" t="s">
        <v>2283</v>
      </c>
      <c r="E552" s="1" t="s">
        <v>1120</v>
      </c>
      <c r="F552" s="1" t="s">
        <v>1120</v>
      </c>
      <c r="G552" s="8">
        <v>4</v>
      </c>
      <c r="H552" s="8"/>
      <c r="I552" s="115">
        <f>Table223[[#This Row],[Qty]]-Table223[[#This Row],[Issue Qty]]</f>
        <v>4</v>
      </c>
      <c r="J552" s="5">
        <v>100</v>
      </c>
      <c r="K552" s="5">
        <f t="shared" si="26"/>
        <v>400</v>
      </c>
      <c r="L552" s="82">
        <v>0.18</v>
      </c>
      <c r="M552" s="9">
        <f t="shared" si="27"/>
        <v>72</v>
      </c>
      <c r="N552" s="5">
        <v>0</v>
      </c>
      <c r="O552" s="5"/>
      <c r="P552" s="5">
        <f t="shared" si="28"/>
        <v>472</v>
      </c>
      <c r="Q552" s="1" t="s">
        <v>907</v>
      </c>
      <c r="R552" s="1" t="s">
        <v>907</v>
      </c>
      <c r="S552" s="1" t="s">
        <v>358</v>
      </c>
      <c r="T552" s="1" t="s">
        <v>2299</v>
      </c>
      <c r="U552" s="1"/>
      <c r="V552" s="27"/>
      <c r="W552" s="21"/>
      <c r="X552" s="28"/>
      <c r="Y552" s="21">
        <v>4</v>
      </c>
      <c r="Z552" s="12" t="s">
        <v>936</v>
      </c>
      <c r="AA552" s="27"/>
      <c r="AB552" s="29" t="s">
        <v>1139</v>
      </c>
      <c r="AC552" s="27"/>
      <c r="AD552" s="2"/>
    </row>
    <row r="553" spans="1:30" s="24" customFormat="1" x14ac:dyDescent="0.25">
      <c r="A553" s="4"/>
      <c r="B553" s="4">
        <v>45828</v>
      </c>
      <c r="C553" s="1" t="s">
        <v>54</v>
      </c>
      <c r="D553" s="26" t="s">
        <v>2272</v>
      </c>
      <c r="E553" s="26" t="s">
        <v>1110</v>
      </c>
      <c r="F553" s="1" t="s">
        <v>1110</v>
      </c>
      <c r="G553" s="8">
        <v>2</v>
      </c>
      <c r="H553" s="8"/>
      <c r="I553" s="115">
        <f>Table223[[#This Row],[Qty]]-Table223[[#This Row],[Issue Qty]]</f>
        <v>2</v>
      </c>
      <c r="J553" s="5">
        <v>248.57</v>
      </c>
      <c r="K553" s="5">
        <f t="shared" si="26"/>
        <v>497.14</v>
      </c>
      <c r="L553" s="82">
        <v>0.05</v>
      </c>
      <c r="M553" s="9">
        <f t="shared" si="27"/>
        <v>24.856999999999999</v>
      </c>
      <c r="N553" s="5">
        <f>169.49+30.51</f>
        <v>200</v>
      </c>
      <c r="O553" s="5"/>
      <c r="P553" s="5">
        <f t="shared" si="28"/>
        <v>721.99699999999996</v>
      </c>
      <c r="Q553" s="1" t="s">
        <v>1073</v>
      </c>
      <c r="R553" s="1" t="s">
        <v>1073</v>
      </c>
      <c r="S553" s="1" t="s">
        <v>968</v>
      </c>
      <c r="T553" s="1" t="s">
        <v>2300</v>
      </c>
      <c r="U553" s="1"/>
      <c r="V553" s="1"/>
      <c r="W553" s="21" t="s">
        <v>33</v>
      </c>
      <c r="X553" s="8" t="s">
        <v>1963</v>
      </c>
      <c r="Y553" s="8"/>
      <c r="Z553" s="22"/>
      <c r="AA553" s="1"/>
      <c r="AB553" s="29"/>
      <c r="AC553" s="1"/>
      <c r="AD553" s="2"/>
    </row>
    <row r="554" spans="1:30" s="24" customFormat="1" x14ac:dyDescent="0.25">
      <c r="A554" s="4"/>
      <c r="B554" s="4">
        <v>45829</v>
      </c>
      <c r="C554" s="1" t="s">
        <v>54</v>
      </c>
      <c r="D554" s="1" t="s">
        <v>2301</v>
      </c>
      <c r="E554" s="1" t="s">
        <v>1140</v>
      </c>
      <c r="F554" s="1" t="s">
        <v>1141</v>
      </c>
      <c r="G554" s="8">
        <v>1</v>
      </c>
      <c r="H554" s="8"/>
      <c r="I554" s="115">
        <f>Table223[[#This Row],[Qty]]-Table223[[#This Row],[Issue Qty]]</f>
        <v>1</v>
      </c>
      <c r="J554" s="5">
        <v>869</v>
      </c>
      <c r="K554" s="5">
        <f t="shared" si="26"/>
        <v>869</v>
      </c>
      <c r="L554" s="82">
        <v>0.12</v>
      </c>
      <c r="M554" s="9">
        <f t="shared" si="27"/>
        <v>104.28</v>
      </c>
      <c r="N554" s="5"/>
      <c r="O554" s="5"/>
      <c r="P554" s="5">
        <f t="shared" si="28"/>
        <v>973.28</v>
      </c>
      <c r="Q554" s="1" t="s">
        <v>1083</v>
      </c>
      <c r="R554" s="1" t="s">
        <v>1083</v>
      </c>
      <c r="S554" s="1" t="s">
        <v>601</v>
      </c>
      <c r="T554" s="1">
        <v>50253</v>
      </c>
      <c r="U554" s="1"/>
      <c r="V554" s="27"/>
      <c r="W554" s="21"/>
      <c r="X554" s="28"/>
      <c r="Y554" s="21">
        <v>1</v>
      </c>
      <c r="Z554" s="12" t="s">
        <v>1075</v>
      </c>
      <c r="AA554" s="27"/>
      <c r="AB554" s="29" t="s">
        <v>1142</v>
      </c>
      <c r="AC554" s="27"/>
      <c r="AD554" s="2"/>
    </row>
    <row r="555" spans="1:30" s="24" customFormat="1" x14ac:dyDescent="0.25">
      <c r="A555" s="4"/>
      <c r="B555" s="4">
        <v>45829</v>
      </c>
      <c r="C555" s="1" t="s">
        <v>54</v>
      </c>
      <c r="D555" s="1" t="s">
        <v>2302</v>
      </c>
      <c r="E555" s="1" t="s">
        <v>1143</v>
      </c>
      <c r="F555" s="1" t="s">
        <v>1144</v>
      </c>
      <c r="G555" s="8">
        <v>2</v>
      </c>
      <c r="H555" s="8"/>
      <c r="I555" s="115">
        <f>Table223[[#This Row],[Qty]]-Table223[[#This Row],[Issue Qty]]</f>
        <v>2</v>
      </c>
      <c r="J555" s="5">
        <v>369</v>
      </c>
      <c r="K555" s="5">
        <f t="shared" si="26"/>
        <v>738</v>
      </c>
      <c r="L555" s="82">
        <v>0.12</v>
      </c>
      <c r="M555" s="9">
        <f t="shared" si="27"/>
        <v>88.56</v>
      </c>
      <c r="N555" s="5"/>
      <c r="O555" s="5"/>
      <c r="P555" s="5">
        <f t="shared" si="28"/>
        <v>826.56</v>
      </c>
      <c r="Q555" s="1" t="s">
        <v>1083</v>
      </c>
      <c r="R555" s="1" t="s">
        <v>1083</v>
      </c>
      <c r="S555" s="1" t="s">
        <v>601</v>
      </c>
      <c r="T555" s="1">
        <v>50253</v>
      </c>
      <c r="U555" s="1"/>
      <c r="V555" s="1"/>
      <c r="W555" s="21"/>
      <c r="X555" s="8"/>
      <c r="Y555" s="8">
        <v>2</v>
      </c>
      <c r="Z555" s="22" t="s">
        <v>1086</v>
      </c>
      <c r="AA555" s="1"/>
      <c r="AB555" s="29" t="s">
        <v>1145</v>
      </c>
      <c r="AC555" s="1"/>
      <c r="AD555" s="2"/>
    </row>
    <row r="556" spans="1:30" s="24" customFormat="1" x14ac:dyDescent="0.25">
      <c r="A556" s="4"/>
      <c r="B556" s="4">
        <v>45829</v>
      </c>
      <c r="C556" s="1" t="s">
        <v>54</v>
      </c>
      <c r="D556" s="1" t="s">
        <v>2303</v>
      </c>
      <c r="E556" s="169" t="s">
        <v>1146</v>
      </c>
      <c r="F556" s="1" t="s">
        <v>1147</v>
      </c>
      <c r="G556" s="8">
        <v>1</v>
      </c>
      <c r="H556" s="8">
        <v>1</v>
      </c>
      <c r="I556" s="115">
        <f>Table223[[#This Row],[Qty]]-Table223[[#This Row],[Issue Qty]]</f>
        <v>0</v>
      </c>
      <c r="J556" s="5">
        <v>1178</v>
      </c>
      <c r="K556" s="5">
        <f t="shared" si="26"/>
        <v>1178</v>
      </c>
      <c r="L556" s="82">
        <v>0.12</v>
      </c>
      <c r="M556" s="9">
        <f t="shared" si="27"/>
        <v>141.35999999999999</v>
      </c>
      <c r="N556" s="5"/>
      <c r="O556" s="5"/>
      <c r="P556" s="5">
        <f t="shared" si="28"/>
        <v>1319.36</v>
      </c>
      <c r="Q556" s="1" t="s">
        <v>1073</v>
      </c>
      <c r="R556" s="1" t="s">
        <v>1073</v>
      </c>
      <c r="S556" s="1" t="s">
        <v>601</v>
      </c>
      <c r="T556" s="1">
        <v>50253</v>
      </c>
      <c r="U556" s="1"/>
      <c r="V556" s="27"/>
      <c r="W556" s="21"/>
      <c r="X556" s="28"/>
      <c r="Y556" s="21">
        <v>1</v>
      </c>
      <c r="Z556" s="12" t="s">
        <v>1075</v>
      </c>
      <c r="AA556" s="27"/>
      <c r="AB556" s="29" t="s">
        <v>1148</v>
      </c>
      <c r="AC556" s="27"/>
      <c r="AD556" s="2"/>
    </row>
    <row r="557" spans="1:30" s="24" customFormat="1" x14ac:dyDescent="0.25">
      <c r="A557" s="4"/>
      <c r="B557" s="4">
        <v>45829</v>
      </c>
      <c r="C557" s="1" t="s">
        <v>54</v>
      </c>
      <c r="D557" s="1" t="s">
        <v>2304</v>
      </c>
      <c r="E557" s="1" t="s">
        <v>1149</v>
      </c>
      <c r="F557" s="1" t="s">
        <v>1150</v>
      </c>
      <c r="G557" s="8">
        <v>4</v>
      </c>
      <c r="H557" s="8">
        <v>4</v>
      </c>
      <c r="I557" s="115">
        <f>Table223[[#This Row],[Qty]]-Table223[[#This Row],[Issue Qty]]</f>
        <v>0</v>
      </c>
      <c r="J557" s="5">
        <v>678</v>
      </c>
      <c r="K557" s="5">
        <f t="shared" si="26"/>
        <v>2712</v>
      </c>
      <c r="L557" s="82">
        <v>0.18</v>
      </c>
      <c r="M557" s="9">
        <f t="shared" si="27"/>
        <v>488.15999999999997</v>
      </c>
      <c r="N557" s="5">
        <v>0.48</v>
      </c>
      <c r="O557" s="5"/>
      <c r="P557" s="5">
        <f t="shared" si="28"/>
        <v>3200.64</v>
      </c>
      <c r="Q557" s="1" t="s">
        <v>1083</v>
      </c>
      <c r="R557" s="1" t="s">
        <v>1083</v>
      </c>
      <c r="S557" s="1" t="s">
        <v>730</v>
      </c>
      <c r="T557" s="1" t="s">
        <v>2305</v>
      </c>
      <c r="U557" s="1"/>
      <c r="V557" s="27"/>
      <c r="W557" s="21" t="s">
        <v>3195</v>
      </c>
      <c r="X557" s="28"/>
      <c r="Y557" s="21">
        <v>4</v>
      </c>
      <c r="Z557" s="12" t="s">
        <v>1086</v>
      </c>
      <c r="AA557" s="27"/>
      <c r="AB557" s="29"/>
      <c r="AC557" s="27"/>
      <c r="AD557" s="2"/>
    </row>
    <row r="558" spans="1:30" s="24" customFormat="1" x14ac:dyDescent="0.25">
      <c r="A558" s="4"/>
      <c r="B558" s="4">
        <v>45829</v>
      </c>
      <c r="C558" s="1" t="s">
        <v>54</v>
      </c>
      <c r="D558" s="1" t="s">
        <v>2306</v>
      </c>
      <c r="E558" s="1" t="s">
        <v>1151</v>
      </c>
      <c r="F558" s="1" t="s">
        <v>1152</v>
      </c>
      <c r="G558" s="8">
        <v>4</v>
      </c>
      <c r="H558" s="8">
        <v>4</v>
      </c>
      <c r="I558" s="115">
        <f>Table223[[#This Row],[Qty]]-Table223[[#This Row],[Issue Qty]]</f>
        <v>0</v>
      </c>
      <c r="J558" s="5">
        <v>1888</v>
      </c>
      <c r="K558" s="5">
        <f t="shared" si="26"/>
        <v>7552</v>
      </c>
      <c r="L558" s="82">
        <v>0.18</v>
      </c>
      <c r="M558" s="9">
        <f t="shared" si="27"/>
        <v>1359.36</v>
      </c>
      <c r="N558" s="5"/>
      <c r="O558" s="5"/>
      <c r="P558" s="5">
        <f t="shared" si="28"/>
        <v>8911.36</v>
      </c>
      <c r="Q558" s="1" t="s">
        <v>1083</v>
      </c>
      <c r="R558" s="1" t="s">
        <v>1083</v>
      </c>
      <c r="S558" s="1" t="s">
        <v>730</v>
      </c>
      <c r="T558" s="1" t="s">
        <v>2305</v>
      </c>
      <c r="U558" s="1"/>
      <c r="V558" s="27"/>
      <c r="W558" s="21" t="s">
        <v>3195</v>
      </c>
      <c r="X558" s="28"/>
      <c r="Y558" s="21">
        <v>4</v>
      </c>
      <c r="Z558" s="12" t="s">
        <v>1086</v>
      </c>
      <c r="AA558" s="27"/>
      <c r="AB558" s="29"/>
      <c r="AC558" s="27"/>
      <c r="AD558" s="2"/>
    </row>
    <row r="559" spans="1:30" s="24" customFormat="1" x14ac:dyDescent="0.25">
      <c r="A559" s="4"/>
      <c r="B559" s="4">
        <v>45829</v>
      </c>
      <c r="C559" s="1" t="s">
        <v>54</v>
      </c>
      <c r="D559" s="1" t="s">
        <v>2307</v>
      </c>
      <c r="E559" s="169" t="s">
        <v>1153</v>
      </c>
      <c r="F559" s="1" t="s">
        <v>1154</v>
      </c>
      <c r="G559" s="8">
        <v>3</v>
      </c>
      <c r="H559" s="8">
        <v>3</v>
      </c>
      <c r="I559" s="115">
        <f>Table223[[#This Row],[Qty]]-Table223[[#This Row],[Issue Qty]]</f>
        <v>0</v>
      </c>
      <c r="J559" s="5">
        <v>142</v>
      </c>
      <c r="K559" s="5">
        <f t="shared" si="26"/>
        <v>426</v>
      </c>
      <c r="L559" s="82">
        <v>0.12</v>
      </c>
      <c r="M559" s="9">
        <f t="shared" si="27"/>
        <v>51.12</v>
      </c>
      <c r="N559" s="5"/>
      <c r="O559" s="5"/>
      <c r="P559" s="5">
        <f t="shared" si="28"/>
        <v>477.12</v>
      </c>
      <c r="Q559" s="1" t="s">
        <v>1073</v>
      </c>
      <c r="R559" s="1" t="s">
        <v>1073</v>
      </c>
      <c r="S559" s="1" t="s">
        <v>601</v>
      </c>
      <c r="T559" s="1">
        <v>50253</v>
      </c>
      <c r="U559" s="1"/>
      <c r="V559" s="27"/>
      <c r="W559" s="21"/>
      <c r="X559" s="28"/>
      <c r="Y559" s="21">
        <v>3</v>
      </c>
      <c r="Z559" s="12" t="s">
        <v>1075</v>
      </c>
      <c r="AA559" s="27"/>
      <c r="AB559" s="29"/>
      <c r="AC559" s="27"/>
      <c r="AD559" s="2"/>
    </row>
    <row r="560" spans="1:30" s="24" customFormat="1" x14ac:dyDescent="0.25">
      <c r="A560" s="4"/>
      <c r="B560" s="4">
        <v>45831</v>
      </c>
      <c r="C560" s="1" t="s">
        <v>1989</v>
      </c>
      <c r="D560" s="26" t="s">
        <v>2308</v>
      </c>
      <c r="E560" s="26" t="s">
        <v>1155</v>
      </c>
      <c r="F560" s="1" t="s">
        <v>1156</v>
      </c>
      <c r="G560" s="8">
        <v>12</v>
      </c>
      <c r="H560" s="8"/>
      <c r="I560" s="115">
        <f>Table223[[#This Row],[Qty]]-Table223[[#This Row],[Issue Qty]]</f>
        <v>12</v>
      </c>
      <c r="J560" s="5">
        <v>11.26</v>
      </c>
      <c r="K560" s="5">
        <f t="shared" si="26"/>
        <v>135.12</v>
      </c>
      <c r="L560" s="82">
        <v>0.18</v>
      </c>
      <c r="M560" s="9">
        <f t="shared" si="27"/>
        <v>24.3216</v>
      </c>
      <c r="N560" s="5">
        <v>59</v>
      </c>
      <c r="O560" s="5"/>
      <c r="P560" s="5">
        <f t="shared" si="28"/>
        <v>218.44159999999999</v>
      </c>
      <c r="Q560" s="1" t="s">
        <v>980</v>
      </c>
      <c r="R560" s="1" t="s">
        <v>980</v>
      </c>
      <c r="S560" s="1" t="s">
        <v>788</v>
      </c>
      <c r="T560" s="1" t="s">
        <v>2309</v>
      </c>
      <c r="U560" s="1"/>
      <c r="V560" s="1"/>
      <c r="W560" s="21" t="s">
        <v>78</v>
      </c>
      <c r="X560" s="21" t="s">
        <v>1157</v>
      </c>
      <c r="Y560" s="8">
        <v>2</v>
      </c>
      <c r="Z560" s="22" t="s">
        <v>1125</v>
      </c>
      <c r="AA560" s="1"/>
      <c r="AB560" s="29"/>
      <c r="AC560" s="1"/>
      <c r="AD560" s="2"/>
    </row>
    <row r="561" spans="1:30" s="24" customFormat="1" x14ac:dyDescent="0.25">
      <c r="A561" s="4"/>
      <c r="B561" s="4">
        <v>45831</v>
      </c>
      <c r="C561" s="1" t="s">
        <v>54</v>
      </c>
      <c r="D561" s="26" t="s">
        <v>2310</v>
      </c>
      <c r="E561" s="26" t="s">
        <v>1158</v>
      </c>
      <c r="F561" s="1" t="s">
        <v>1158</v>
      </c>
      <c r="G561" s="8">
        <v>10</v>
      </c>
      <c r="H561" s="8"/>
      <c r="I561" s="115">
        <f>Table223[[#This Row],[Qty]]-Table223[[#This Row],[Issue Qty]]</f>
        <v>10</v>
      </c>
      <c r="J561" s="5">
        <f>6501.18/10</f>
        <v>650.11800000000005</v>
      </c>
      <c r="K561" s="5">
        <f t="shared" ref="K561:K624" si="29">G561*J561</f>
        <v>6501.18</v>
      </c>
      <c r="L561" s="82">
        <v>0</v>
      </c>
      <c r="M561" s="9">
        <f t="shared" ref="M561:M624" si="30">K561*L561</f>
        <v>0</v>
      </c>
      <c r="N561" s="5">
        <v>0</v>
      </c>
      <c r="O561" s="5"/>
      <c r="P561" s="5">
        <f t="shared" ref="P561:P624" si="31">K561+M561+N561+O561</f>
        <v>6501.18</v>
      </c>
      <c r="Q561" s="1" t="s">
        <v>980</v>
      </c>
      <c r="R561" s="1" t="s">
        <v>980</v>
      </c>
      <c r="S561" s="1" t="s">
        <v>1159</v>
      </c>
      <c r="T561" s="1">
        <v>45595</v>
      </c>
      <c r="U561" s="1"/>
      <c r="V561" s="1"/>
      <c r="W561" s="21" t="s">
        <v>33</v>
      </c>
      <c r="X561" s="21" t="s">
        <v>34</v>
      </c>
      <c r="Y561" s="8">
        <v>4</v>
      </c>
      <c r="Z561" s="22" t="s">
        <v>1125</v>
      </c>
      <c r="AA561" s="1"/>
      <c r="AB561" s="29"/>
      <c r="AC561" s="1"/>
      <c r="AD561" s="2"/>
    </row>
    <row r="562" spans="1:30" s="24" customFormat="1" x14ac:dyDescent="0.25">
      <c r="A562" s="4"/>
      <c r="B562" s="4">
        <v>45831</v>
      </c>
      <c r="C562" s="1" t="s">
        <v>54</v>
      </c>
      <c r="D562" s="1" t="s">
        <v>2311</v>
      </c>
      <c r="E562" s="169" t="s">
        <v>1160</v>
      </c>
      <c r="F562" s="1" t="s">
        <v>1160</v>
      </c>
      <c r="G562" s="8">
        <v>6</v>
      </c>
      <c r="H562" s="8">
        <v>6</v>
      </c>
      <c r="I562" s="115">
        <f>Table223[[#This Row],[Qty]]-Table223[[#This Row],[Issue Qty]]</f>
        <v>0</v>
      </c>
      <c r="J562" s="5">
        <v>126</v>
      </c>
      <c r="K562" s="5">
        <f t="shared" si="29"/>
        <v>756</v>
      </c>
      <c r="L562" s="82">
        <v>0.18</v>
      </c>
      <c r="M562" s="9">
        <f t="shared" si="30"/>
        <v>136.07999999999998</v>
      </c>
      <c r="N562" s="5">
        <v>0</v>
      </c>
      <c r="O562" s="5"/>
      <c r="P562" s="5">
        <f t="shared" si="31"/>
        <v>892.07999999999993</v>
      </c>
      <c r="Q562" s="1" t="s">
        <v>1073</v>
      </c>
      <c r="R562" s="1" t="s">
        <v>1073</v>
      </c>
      <c r="S562" s="1" t="s">
        <v>358</v>
      </c>
      <c r="T562" s="1" t="s">
        <v>2312</v>
      </c>
      <c r="U562" s="1"/>
      <c r="V562" s="27"/>
      <c r="W562" s="21"/>
      <c r="X562" s="28"/>
      <c r="Y562" s="21">
        <v>6</v>
      </c>
      <c r="Z562" s="12" t="s">
        <v>1115</v>
      </c>
      <c r="AA562" s="27"/>
      <c r="AB562" s="29" t="s">
        <v>1161</v>
      </c>
      <c r="AC562" s="27"/>
      <c r="AD562" s="2"/>
    </row>
    <row r="563" spans="1:30" s="24" customFormat="1" x14ac:dyDescent="0.25">
      <c r="A563" s="4"/>
      <c r="B563" s="4">
        <v>45831</v>
      </c>
      <c r="C563" s="1" t="s">
        <v>54</v>
      </c>
      <c r="D563" s="1" t="s">
        <v>2311</v>
      </c>
      <c r="E563" s="169" t="s">
        <v>1160</v>
      </c>
      <c r="F563" s="1" t="s">
        <v>1162</v>
      </c>
      <c r="G563" s="8">
        <v>4</v>
      </c>
      <c r="H563" s="8">
        <v>4</v>
      </c>
      <c r="I563" s="115">
        <f>Table223[[#This Row],[Qty]]-Table223[[#This Row],[Issue Qty]]</f>
        <v>0</v>
      </c>
      <c r="J563" s="5">
        <v>130.19999999999999</v>
      </c>
      <c r="K563" s="5">
        <f t="shared" si="29"/>
        <v>520.79999999999995</v>
      </c>
      <c r="L563" s="82">
        <v>0.18</v>
      </c>
      <c r="M563" s="9">
        <f t="shared" si="30"/>
        <v>93.743999999999986</v>
      </c>
      <c r="N563" s="5">
        <v>0</v>
      </c>
      <c r="O563" s="5"/>
      <c r="P563" s="5">
        <f t="shared" si="31"/>
        <v>614.54399999999998</v>
      </c>
      <c r="Q563" s="1" t="s">
        <v>1073</v>
      </c>
      <c r="R563" s="1" t="s">
        <v>1073</v>
      </c>
      <c r="S563" s="1" t="s">
        <v>358</v>
      </c>
      <c r="T563" s="1" t="s">
        <v>2312</v>
      </c>
      <c r="U563" s="1"/>
      <c r="V563" s="27"/>
      <c r="W563" s="21"/>
      <c r="X563" s="28"/>
      <c r="Y563" s="21">
        <v>4</v>
      </c>
      <c r="Z563" s="12" t="s">
        <v>1115</v>
      </c>
      <c r="AA563" s="27"/>
      <c r="AB563" s="29" t="s">
        <v>1163</v>
      </c>
      <c r="AC563" s="27"/>
      <c r="AD563" s="2"/>
    </row>
    <row r="564" spans="1:30" s="24" customFormat="1" x14ac:dyDescent="0.25">
      <c r="A564" s="4"/>
      <c r="B564" s="4">
        <v>45831</v>
      </c>
      <c r="C564" s="1" t="s">
        <v>1989</v>
      </c>
      <c r="D564" s="1" t="s">
        <v>2313</v>
      </c>
      <c r="E564" s="1" t="s">
        <v>1164</v>
      </c>
      <c r="F564" s="1" t="s">
        <v>1164</v>
      </c>
      <c r="G564" s="8">
        <v>20</v>
      </c>
      <c r="H564" s="8">
        <v>20</v>
      </c>
      <c r="I564" s="115">
        <f>Table223[[#This Row],[Qty]]-Table223[[#This Row],[Issue Qty]]</f>
        <v>0</v>
      </c>
      <c r="J564" s="5">
        <v>17</v>
      </c>
      <c r="K564" s="5">
        <f t="shared" si="29"/>
        <v>340</v>
      </c>
      <c r="L564" s="82">
        <v>0.18</v>
      </c>
      <c r="M564" s="9">
        <f t="shared" si="30"/>
        <v>61.199999999999996</v>
      </c>
      <c r="N564" s="5">
        <v>354</v>
      </c>
      <c r="O564" s="5"/>
      <c r="P564" s="5">
        <f t="shared" si="31"/>
        <v>755.2</v>
      </c>
      <c r="Q564" s="1" t="s">
        <v>980</v>
      </c>
      <c r="R564" s="1" t="s">
        <v>980</v>
      </c>
      <c r="S564" s="1" t="s">
        <v>792</v>
      </c>
      <c r="T564" s="1" t="s">
        <v>2314</v>
      </c>
      <c r="U564" s="1"/>
      <c r="V564" s="1"/>
      <c r="W564" s="21" t="s">
        <v>78</v>
      </c>
      <c r="X564" s="21" t="s">
        <v>1084</v>
      </c>
      <c r="Y564" s="8">
        <v>20</v>
      </c>
      <c r="Z564" s="22" t="s">
        <v>2947</v>
      </c>
      <c r="AA564" s="1"/>
      <c r="AB564" s="29" t="s">
        <v>1165</v>
      </c>
      <c r="AC564" s="1"/>
      <c r="AD564" s="2"/>
    </row>
    <row r="565" spans="1:30" s="24" customFormat="1" x14ac:dyDescent="0.25">
      <c r="A565" s="4"/>
      <c r="B565" s="4">
        <v>45832</v>
      </c>
      <c r="C565" s="1" t="s">
        <v>1991</v>
      </c>
      <c r="D565" s="26" t="s">
        <v>2315</v>
      </c>
      <c r="E565" s="26" t="s">
        <v>1166</v>
      </c>
      <c r="F565" s="1" t="s">
        <v>1166</v>
      </c>
      <c r="G565" s="8">
        <v>1</v>
      </c>
      <c r="H565" s="8">
        <v>1</v>
      </c>
      <c r="I565" s="115">
        <f>Table223[[#This Row],[Qty]]-Table223[[#This Row],[Issue Qty]]</f>
        <v>0</v>
      </c>
      <c r="J565" s="5">
        <v>38.979999999999997</v>
      </c>
      <c r="K565" s="5">
        <f t="shared" si="29"/>
        <v>38.979999999999997</v>
      </c>
      <c r="L565" s="82">
        <v>0.18</v>
      </c>
      <c r="M565" s="9">
        <f t="shared" si="30"/>
        <v>7.0163999999999991</v>
      </c>
      <c r="N565" s="5">
        <v>0</v>
      </c>
      <c r="O565" s="5"/>
      <c r="P565" s="5">
        <f t="shared" si="31"/>
        <v>45.996399999999994</v>
      </c>
      <c r="Q565" s="1" t="s">
        <v>726</v>
      </c>
      <c r="R565" s="1" t="s">
        <v>726</v>
      </c>
      <c r="S565" s="1" t="s">
        <v>691</v>
      </c>
      <c r="T565" s="1" t="s">
        <v>2316</v>
      </c>
      <c r="U565" s="1"/>
      <c r="V565" s="1"/>
      <c r="W565" s="21" t="s">
        <v>650</v>
      </c>
      <c r="X565" s="8" t="s">
        <v>1167</v>
      </c>
      <c r="Y565" s="8">
        <v>1</v>
      </c>
      <c r="Z565" s="22" t="s">
        <v>81</v>
      </c>
      <c r="AA565" s="1"/>
      <c r="AB565" s="29"/>
      <c r="AC565" s="1"/>
      <c r="AD565" s="2"/>
    </row>
    <row r="566" spans="1:30" s="24" customFormat="1" x14ac:dyDescent="0.25">
      <c r="A566" s="4"/>
      <c r="B566" s="4">
        <v>45832</v>
      </c>
      <c r="C566" s="1" t="s">
        <v>1991</v>
      </c>
      <c r="D566" s="26" t="s">
        <v>2317</v>
      </c>
      <c r="E566" s="26" t="s">
        <v>1168</v>
      </c>
      <c r="F566" s="1" t="s">
        <v>1168</v>
      </c>
      <c r="G566" s="8">
        <v>1</v>
      </c>
      <c r="H566" s="8"/>
      <c r="I566" s="115">
        <f>Table223[[#This Row],[Qty]]-Table223[[#This Row],[Issue Qty]]</f>
        <v>1</v>
      </c>
      <c r="J566" s="5">
        <v>152.54</v>
      </c>
      <c r="K566" s="5">
        <f t="shared" si="29"/>
        <v>152.54</v>
      </c>
      <c r="L566" s="82">
        <v>0.18</v>
      </c>
      <c r="M566" s="9">
        <f t="shared" si="30"/>
        <v>27.457199999999997</v>
      </c>
      <c r="N566" s="5">
        <v>0</v>
      </c>
      <c r="O566" s="5"/>
      <c r="P566" s="5">
        <f t="shared" si="31"/>
        <v>179.99719999999999</v>
      </c>
      <c r="Q566" s="1" t="s">
        <v>726</v>
      </c>
      <c r="R566" s="1" t="s">
        <v>726</v>
      </c>
      <c r="S566" s="1" t="s">
        <v>691</v>
      </c>
      <c r="T566" s="1" t="s">
        <v>2316</v>
      </c>
      <c r="U566" s="1"/>
      <c r="V566" s="1"/>
      <c r="W566" s="21" t="s">
        <v>38</v>
      </c>
      <c r="X566" s="8"/>
      <c r="Y566" s="8">
        <v>1</v>
      </c>
      <c r="Z566" s="22" t="s">
        <v>481</v>
      </c>
      <c r="AA566" s="1"/>
      <c r="AB566" s="29"/>
      <c r="AC566" s="1"/>
      <c r="AD566" s="2"/>
    </row>
    <row r="567" spans="1:30" s="24" customFormat="1" x14ac:dyDescent="0.25">
      <c r="A567" s="4"/>
      <c r="B567" s="4">
        <v>45832</v>
      </c>
      <c r="C567" s="1" t="s">
        <v>54</v>
      </c>
      <c r="D567" s="1" t="s">
        <v>2318</v>
      </c>
      <c r="E567" s="1" t="s">
        <v>1169</v>
      </c>
      <c r="F567" s="1" t="s">
        <v>1169</v>
      </c>
      <c r="G567" s="8">
        <v>4</v>
      </c>
      <c r="H567" s="8">
        <v>4</v>
      </c>
      <c r="I567" s="115">
        <f>Table223[[#This Row],[Qty]]-Table223[[#This Row],[Issue Qty]]</f>
        <v>0</v>
      </c>
      <c r="J567" s="5">
        <v>300</v>
      </c>
      <c r="K567" s="5">
        <f t="shared" si="29"/>
        <v>1200</v>
      </c>
      <c r="L567" s="82">
        <v>0.18</v>
      </c>
      <c r="M567" s="9">
        <f t="shared" si="30"/>
        <v>216</v>
      </c>
      <c r="N567" s="5">
        <v>0</v>
      </c>
      <c r="O567" s="5"/>
      <c r="P567" s="5">
        <f t="shared" si="31"/>
        <v>1416</v>
      </c>
      <c r="Q567" s="1" t="s">
        <v>1083</v>
      </c>
      <c r="R567" s="1" t="s">
        <v>1083</v>
      </c>
      <c r="S567" s="1" t="s">
        <v>829</v>
      </c>
      <c r="T567" s="1" t="s">
        <v>2319</v>
      </c>
      <c r="U567" s="1"/>
      <c r="V567" s="27"/>
      <c r="W567" s="21"/>
      <c r="X567" s="28"/>
      <c r="Y567" s="21">
        <v>4</v>
      </c>
      <c r="Z567" s="12" t="s">
        <v>1086</v>
      </c>
      <c r="AA567" s="27"/>
      <c r="AB567" s="29" t="s">
        <v>1170</v>
      </c>
      <c r="AC567" s="27"/>
      <c r="AD567" s="2"/>
    </row>
    <row r="568" spans="1:30" s="24" customFormat="1" x14ac:dyDescent="0.25">
      <c r="A568" s="4"/>
      <c r="B568" s="4">
        <v>45832</v>
      </c>
      <c r="C568" s="1" t="s">
        <v>54</v>
      </c>
      <c r="D568" s="1" t="s">
        <v>2320</v>
      </c>
      <c r="E568" s="1" t="s">
        <v>1171</v>
      </c>
      <c r="F568" s="1" t="s">
        <v>1171</v>
      </c>
      <c r="G568" s="8">
        <v>4</v>
      </c>
      <c r="H568" s="8">
        <v>4</v>
      </c>
      <c r="I568" s="115">
        <f>Table223[[#This Row],[Qty]]-Table223[[#This Row],[Issue Qty]]</f>
        <v>0</v>
      </c>
      <c r="J568" s="5">
        <v>300</v>
      </c>
      <c r="K568" s="5">
        <f t="shared" si="29"/>
        <v>1200</v>
      </c>
      <c r="L568" s="82">
        <v>0.18</v>
      </c>
      <c r="M568" s="9">
        <f t="shared" si="30"/>
        <v>216</v>
      </c>
      <c r="N568" s="5">
        <v>0</v>
      </c>
      <c r="O568" s="5"/>
      <c r="P568" s="5">
        <f t="shared" si="31"/>
        <v>1416</v>
      </c>
      <c r="Q568" s="1" t="s">
        <v>1083</v>
      </c>
      <c r="R568" s="1" t="s">
        <v>1083</v>
      </c>
      <c r="S568" s="1" t="s">
        <v>829</v>
      </c>
      <c r="T568" s="1" t="s">
        <v>2319</v>
      </c>
      <c r="U568" s="1"/>
      <c r="V568" s="27"/>
      <c r="W568" s="21"/>
      <c r="X568" s="28"/>
      <c r="Y568" s="21">
        <v>4</v>
      </c>
      <c r="Z568" s="12" t="s">
        <v>1086</v>
      </c>
      <c r="AA568" s="27"/>
      <c r="AB568" s="29" t="s">
        <v>1172</v>
      </c>
      <c r="AC568" s="27"/>
      <c r="AD568" s="2"/>
    </row>
    <row r="569" spans="1:30" s="24" customFormat="1" ht="30" x14ac:dyDescent="0.25">
      <c r="A569" s="4"/>
      <c r="B569" s="4">
        <v>45832</v>
      </c>
      <c r="C569" s="1" t="s">
        <v>1991</v>
      </c>
      <c r="D569" s="26" t="s">
        <v>2321</v>
      </c>
      <c r="E569" s="26" t="s">
        <v>1173</v>
      </c>
      <c r="F569" s="1" t="s">
        <v>1173</v>
      </c>
      <c r="G569" s="8">
        <v>2</v>
      </c>
      <c r="H569" s="8">
        <v>1</v>
      </c>
      <c r="I569" s="115">
        <f>Table223[[#This Row],[Qty]]-Table223[[#This Row],[Issue Qty]]</f>
        <v>1</v>
      </c>
      <c r="J569" s="5">
        <v>66.099999999999994</v>
      </c>
      <c r="K569" s="5">
        <f t="shared" si="29"/>
        <v>132.19999999999999</v>
      </c>
      <c r="L569" s="82">
        <v>0.18</v>
      </c>
      <c r="M569" s="9">
        <f t="shared" si="30"/>
        <v>23.795999999999996</v>
      </c>
      <c r="N569" s="5">
        <v>99</v>
      </c>
      <c r="O569" s="5"/>
      <c r="P569" s="5">
        <f t="shared" si="31"/>
        <v>254.99599999999998</v>
      </c>
      <c r="Q569" s="1" t="s">
        <v>726</v>
      </c>
      <c r="R569" s="1" t="s">
        <v>726</v>
      </c>
      <c r="S569" s="1" t="s">
        <v>691</v>
      </c>
      <c r="T569" s="1" t="s">
        <v>2316</v>
      </c>
      <c r="U569" s="1"/>
      <c r="V569" s="1"/>
      <c r="W569" s="21" t="s">
        <v>78</v>
      </c>
      <c r="X569" s="8"/>
      <c r="Y569" s="8">
        <v>1</v>
      </c>
      <c r="Z569" s="22" t="s">
        <v>1100</v>
      </c>
      <c r="AA569" s="1"/>
      <c r="AB569" s="29"/>
      <c r="AC569" s="1"/>
      <c r="AD569" s="2"/>
    </row>
    <row r="570" spans="1:30" s="24" customFormat="1" x14ac:dyDescent="0.25">
      <c r="A570" s="4"/>
      <c r="B570" s="4">
        <v>45832</v>
      </c>
      <c r="C570" s="1" t="s">
        <v>54</v>
      </c>
      <c r="D570" s="1" t="s">
        <v>2322</v>
      </c>
      <c r="E570" s="1" t="s">
        <v>1174</v>
      </c>
      <c r="F570" s="1" t="s">
        <v>1174</v>
      </c>
      <c r="G570" s="8">
        <v>1</v>
      </c>
      <c r="H570" s="8">
        <v>1</v>
      </c>
      <c r="I570" s="115">
        <f>Table223[[#This Row],[Qty]]-Table223[[#This Row],[Issue Qty]]</f>
        <v>0</v>
      </c>
      <c r="J570" s="5">
        <v>300</v>
      </c>
      <c r="K570" s="5">
        <f t="shared" si="29"/>
        <v>300</v>
      </c>
      <c r="L570" s="82">
        <v>0.18</v>
      </c>
      <c r="M570" s="9">
        <f t="shared" si="30"/>
        <v>54</v>
      </c>
      <c r="N570" s="5">
        <v>0</v>
      </c>
      <c r="O570" s="5"/>
      <c r="P570" s="5">
        <f t="shared" si="31"/>
        <v>354</v>
      </c>
      <c r="Q570" s="1" t="s">
        <v>1083</v>
      </c>
      <c r="R570" s="1" t="s">
        <v>1083</v>
      </c>
      <c r="S570" s="1" t="s">
        <v>829</v>
      </c>
      <c r="T570" s="1" t="s">
        <v>2319</v>
      </c>
      <c r="U570" s="1"/>
      <c r="V570" s="27"/>
      <c r="W570" s="21" t="s">
        <v>809</v>
      </c>
      <c r="X570" s="28"/>
      <c r="Y570" s="8">
        <v>1</v>
      </c>
      <c r="Z570" s="22" t="s">
        <v>1086</v>
      </c>
      <c r="AA570" s="27"/>
      <c r="AB570" s="29" t="s">
        <v>1175</v>
      </c>
      <c r="AC570" s="27"/>
      <c r="AD570" s="2"/>
    </row>
    <row r="571" spans="1:30" x14ac:dyDescent="0.25">
      <c r="A571" s="4"/>
      <c r="B571" s="4">
        <v>45832</v>
      </c>
      <c r="C571" s="1" t="s">
        <v>54</v>
      </c>
      <c r="D571" s="1" t="s">
        <v>2323</v>
      </c>
      <c r="E571" s="1" t="s">
        <v>1176</v>
      </c>
      <c r="F571" s="1" t="s">
        <v>1176</v>
      </c>
      <c r="G571" s="8">
        <v>1</v>
      </c>
      <c r="H571" s="8">
        <v>1</v>
      </c>
      <c r="I571" s="115">
        <f>Table223[[#This Row],[Qty]]-Table223[[#This Row],[Issue Qty]]</f>
        <v>0</v>
      </c>
      <c r="J571" s="5">
        <v>1140</v>
      </c>
      <c r="K571" s="5">
        <f t="shared" si="29"/>
        <v>1140</v>
      </c>
      <c r="L571" s="82">
        <v>0.18</v>
      </c>
      <c r="M571" s="9">
        <f t="shared" si="30"/>
        <v>205.2</v>
      </c>
      <c r="N571" s="5">
        <v>0</v>
      </c>
      <c r="O571" s="5"/>
      <c r="P571" s="5">
        <f t="shared" si="31"/>
        <v>1345.2</v>
      </c>
      <c r="Q571" s="1" t="s">
        <v>1083</v>
      </c>
      <c r="R571" s="1" t="s">
        <v>1083</v>
      </c>
      <c r="S571" s="1" t="s">
        <v>829</v>
      </c>
      <c r="T571" s="1" t="s">
        <v>2319</v>
      </c>
      <c r="U571" s="1"/>
      <c r="V571" s="27"/>
      <c r="W571" s="21" t="s">
        <v>809</v>
      </c>
      <c r="X571" s="28"/>
      <c r="Y571" s="8">
        <v>1</v>
      </c>
      <c r="Z571" s="22" t="s">
        <v>1086</v>
      </c>
      <c r="AA571" s="27"/>
      <c r="AB571" s="29" t="s">
        <v>1177</v>
      </c>
      <c r="AC571" s="27"/>
      <c r="AD571" s="27"/>
    </row>
    <row r="572" spans="1:30" x14ac:dyDescent="0.25">
      <c r="A572" s="4"/>
      <c r="B572" s="4">
        <v>45832</v>
      </c>
      <c r="C572" s="1" t="s">
        <v>54</v>
      </c>
      <c r="D572" s="1" t="s">
        <v>2324</v>
      </c>
      <c r="E572" s="1" t="s">
        <v>1178</v>
      </c>
      <c r="F572" s="1" t="s">
        <v>1178</v>
      </c>
      <c r="G572" s="8">
        <v>1</v>
      </c>
      <c r="H572" s="8">
        <v>1</v>
      </c>
      <c r="I572" s="115">
        <f>Table223[[#This Row],[Qty]]-Table223[[#This Row],[Issue Qty]]</f>
        <v>0</v>
      </c>
      <c r="J572" s="5">
        <v>1140</v>
      </c>
      <c r="K572" s="5">
        <f t="shared" si="29"/>
        <v>1140</v>
      </c>
      <c r="L572" s="82">
        <v>0.18</v>
      </c>
      <c r="M572" s="9">
        <f t="shared" si="30"/>
        <v>205.2</v>
      </c>
      <c r="N572" s="5">
        <v>0</v>
      </c>
      <c r="O572" s="5"/>
      <c r="P572" s="5">
        <f t="shared" si="31"/>
        <v>1345.2</v>
      </c>
      <c r="Q572" s="1" t="s">
        <v>1083</v>
      </c>
      <c r="R572" s="1" t="s">
        <v>1083</v>
      </c>
      <c r="S572" s="1" t="s">
        <v>829</v>
      </c>
      <c r="T572" s="1" t="s">
        <v>2319</v>
      </c>
      <c r="U572" s="1"/>
      <c r="V572" s="27"/>
      <c r="W572" s="21" t="s">
        <v>809</v>
      </c>
      <c r="X572" s="28"/>
      <c r="Y572" s="8">
        <v>1</v>
      </c>
      <c r="Z572" s="22" t="s">
        <v>1086</v>
      </c>
      <c r="AA572" s="27"/>
      <c r="AB572" s="29" t="s">
        <v>1179</v>
      </c>
      <c r="AC572" s="27"/>
      <c r="AD572" s="27"/>
    </row>
    <row r="573" spans="1:30" x14ac:dyDescent="0.25">
      <c r="A573" s="4"/>
      <c r="B573" s="4">
        <v>45832</v>
      </c>
      <c r="C573" s="1" t="s">
        <v>54</v>
      </c>
      <c r="D573" s="1" t="s">
        <v>2325</v>
      </c>
      <c r="E573" s="1" t="s">
        <v>1180</v>
      </c>
      <c r="F573" s="1" t="s">
        <v>1180</v>
      </c>
      <c r="G573" s="8">
        <v>1</v>
      </c>
      <c r="H573" s="8">
        <v>1</v>
      </c>
      <c r="I573" s="115">
        <f>Table223[[#This Row],[Qty]]-Table223[[#This Row],[Issue Qty]]</f>
        <v>0</v>
      </c>
      <c r="J573" s="5">
        <v>300</v>
      </c>
      <c r="K573" s="5">
        <f t="shared" si="29"/>
        <v>300</v>
      </c>
      <c r="L573" s="82">
        <v>0.18</v>
      </c>
      <c r="M573" s="9">
        <f t="shared" si="30"/>
        <v>54</v>
      </c>
      <c r="N573" s="5">
        <v>0</v>
      </c>
      <c r="O573" s="5"/>
      <c r="P573" s="5">
        <f t="shared" si="31"/>
        <v>354</v>
      </c>
      <c r="Q573" s="1" t="s">
        <v>1083</v>
      </c>
      <c r="R573" s="1" t="s">
        <v>1083</v>
      </c>
      <c r="S573" s="1" t="s">
        <v>829</v>
      </c>
      <c r="T573" s="1" t="s">
        <v>2319</v>
      </c>
      <c r="U573" s="1"/>
      <c r="V573" s="27"/>
      <c r="W573" s="21" t="s">
        <v>809</v>
      </c>
      <c r="X573" s="28"/>
      <c r="Y573" s="8">
        <v>1</v>
      </c>
      <c r="Z573" s="22" t="s">
        <v>1086</v>
      </c>
      <c r="AA573" s="27"/>
      <c r="AB573" s="29" t="s">
        <v>1181</v>
      </c>
      <c r="AC573" s="27"/>
      <c r="AD573" s="27"/>
    </row>
    <row r="574" spans="1:30" x14ac:dyDescent="0.25">
      <c r="A574" s="4"/>
      <c r="B574" s="4">
        <v>45832</v>
      </c>
      <c r="C574" s="1" t="s">
        <v>54</v>
      </c>
      <c r="D574" s="1" t="s">
        <v>2326</v>
      </c>
      <c r="E574" s="1" t="s">
        <v>1182</v>
      </c>
      <c r="F574" s="1" t="s">
        <v>1182</v>
      </c>
      <c r="G574" s="8">
        <v>1</v>
      </c>
      <c r="H574" s="8">
        <v>1</v>
      </c>
      <c r="I574" s="115">
        <f>Table223[[#This Row],[Qty]]-Table223[[#This Row],[Issue Qty]]</f>
        <v>0</v>
      </c>
      <c r="J574" s="5">
        <v>2160</v>
      </c>
      <c r="K574" s="5">
        <f t="shared" si="29"/>
        <v>2160</v>
      </c>
      <c r="L574" s="82">
        <v>0.18</v>
      </c>
      <c r="M574" s="9">
        <f t="shared" si="30"/>
        <v>388.8</v>
      </c>
      <c r="N574" s="5">
        <v>0</v>
      </c>
      <c r="O574" s="5"/>
      <c r="P574" s="5">
        <f t="shared" si="31"/>
        <v>2548.8000000000002</v>
      </c>
      <c r="Q574" s="1" t="s">
        <v>1083</v>
      </c>
      <c r="R574" s="1" t="s">
        <v>1083</v>
      </c>
      <c r="S574" s="1" t="s">
        <v>829</v>
      </c>
      <c r="T574" s="1" t="s">
        <v>2319</v>
      </c>
      <c r="U574" s="1"/>
      <c r="V574" s="1"/>
      <c r="W574" s="21" t="s">
        <v>809</v>
      </c>
      <c r="X574" s="8"/>
      <c r="Y574" s="8">
        <v>1</v>
      </c>
      <c r="Z574" s="22" t="s">
        <v>1086</v>
      </c>
      <c r="AA574" s="1"/>
      <c r="AB574" s="29" t="s">
        <v>1183</v>
      </c>
      <c r="AC574" s="1"/>
      <c r="AD574" s="27"/>
    </row>
    <row r="575" spans="1:30" x14ac:dyDescent="0.25">
      <c r="A575" s="4"/>
      <c r="B575" s="4">
        <v>45832</v>
      </c>
      <c r="C575" s="1" t="s">
        <v>54</v>
      </c>
      <c r="D575" s="1" t="s">
        <v>2202</v>
      </c>
      <c r="E575" s="1" t="s">
        <v>1184</v>
      </c>
      <c r="F575" s="1" t="s">
        <v>996</v>
      </c>
      <c r="G575" s="8">
        <v>1</v>
      </c>
      <c r="H575" s="8">
        <v>1</v>
      </c>
      <c r="I575" s="115">
        <f>Table223[[#This Row],[Qty]]-Table223[[#This Row],[Issue Qty]]</f>
        <v>0</v>
      </c>
      <c r="J575" s="5">
        <v>517</v>
      </c>
      <c r="K575" s="5">
        <f t="shared" si="29"/>
        <v>517</v>
      </c>
      <c r="L575" s="82">
        <v>0.12</v>
      </c>
      <c r="M575" s="9">
        <f t="shared" si="30"/>
        <v>62.04</v>
      </c>
      <c r="N575" s="5">
        <f>250*0.12+250</f>
        <v>280</v>
      </c>
      <c r="O575" s="5"/>
      <c r="P575" s="5">
        <f t="shared" si="31"/>
        <v>859.04</v>
      </c>
      <c r="Q575" s="1" t="s">
        <v>907</v>
      </c>
      <c r="R575" s="1" t="s">
        <v>907</v>
      </c>
      <c r="S575" s="1" t="s">
        <v>601</v>
      </c>
      <c r="T575" s="1">
        <v>50253</v>
      </c>
      <c r="U575" s="1"/>
      <c r="V575" s="27"/>
      <c r="W575" s="21" t="s">
        <v>809</v>
      </c>
      <c r="X575" s="28"/>
      <c r="Y575" s="21">
        <v>1</v>
      </c>
      <c r="Z575" s="12" t="s">
        <v>936</v>
      </c>
      <c r="AA575" s="27"/>
      <c r="AB575" s="29" t="s">
        <v>1185</v>
      </c>
      <c r="AC575" s="27"/>
      <c r="AD575" s="27"/>
    </row>
    <row r="576" spans="1:30" x14ac:dyDescent="0.25">
      <c r="A576" s="4"/>
      <c r="B576" s="4">
        <v>45832</v>
      </c>
      <c r="C576" s="1" t="s">
        <v>54</v>
      </c>
      <c r="D576" s="26" t="s">
        <v>2327</v>
      </c>
      <c r="E576" s="26" t="s">
        <v>1186</v>
      </c>
      <c r="F576" s="1" t="s">
        <v>1186</v>
      </c>
      <c r="G576" s="8">
        <v>1</v>
      </c>
      <c r="H576" s="8">
        <v>1</v>
      </c>
      <c r="I576" s="115">
        <f>Table223[[#This Row],[Qty]]-Table223[[#This Row],[Issue Qty]]</f>
        <v>0</v>
      </c>
      <c r="J576" s="5">
        <v>420</v>
      </c>
      <c r="K576" s="5">
        <f t="shared" si="29"/>
        <v>420</v>
      </c>
      <c r="L576" s="82">
        <v>0.18</v>
      </c>
      <c r="M576" s="9">
        <f t="shared" si="30"/>
        <v>75.599999999999994</v>
      </c>
      <c r="N576" s="5">
        <v>0</v>
      </c>
      <c r="O576" s="5"/>
      <c r="P576" s="5">
        <f t="shared" si="31"/>
        <v>495.6</v>
      </c>
      <c r="Q576" s="1" t="s">
        <v>1083</v>
      </c>
      <c r="R576" s="1" t="s">
        <v>1083</v>
      </c>
      <c r="S576" s="1" t="s">
        <v>829</v>
      </c>
      <c r="T576" s="1" t="s">
        <v>2319</v>
      </c>
      <c r="U576" s="1"/>
      <c r="V576" s="1"/>
      <c r="W576" s="21" t="s">
        <v>809</v>
      </c>
      <c r="X576" s="8"/>
      <c r="Y576" s="8">
        <v>1</v>
      </c>
      <c r="Z576" s="12" t="s">
        <v>1086</v>
      </c>
      <c r="AA576" s="1"/>
      <c r="AB576" s="29"/>
      <c r="AC576" s="1"/>
      <c r="AD576" s="27"/>
    </row>
    <row r="577" spans="1:30" x14ac:dyDescent="0.25">
      <c r="A577" s="4"/>
      <c r="B577" s="4">
        <v>45832</v>
      </c>
      <c r="C577" s="1" t="s">
        <v>54</v>
      </c>
      <c r="D577" s="1" t="s">
        <v>2328</v>
      </c>
      <c r="E577" s="1" t="s">
        <v>1187</v>
      </c>
      <c r="F577" s="1" t="s">
        <v>1187</v>
      </c>
      <c r="G577" s="8">
        <v>1</v>
      </c>
      <c r="H577" s="8">
        <v>1</v>
      </c>
      <c r="I577" s="115">
        <f>Table223[[#This Row],[Qty]]-Table223[[#This Row],[Issue Qty]]</f>
        <v>0</v>
      </c>
      <c r="J577" s="5">
        <v>249</v>
      </c>
      <c r="K577" s="5">
        <f t="shared" si="29"/>
        <v>249</v>
      </c>
      <c r="L577" s="82">
        <v>0.12</v>
      </c>
      <c r="M577" s="9">
        <f t="shared" si="30"/>
        <v>29.88</v>
      </c>
      <c r="N577" s="5">
        <v>0</v>
      </c>
      <c r="O577" s="5"/>
      <c r="P577" s="5">
        <f t="shared" si="31"/>
        <v>278.88</v>
      </c>
      <c r="Q577" s="1" t="s">
        <v>1083</v>
      </c>
      <c r="R577" s="1" t="s">
        <v>1083</v>
      </c>
      <c r="S577" s="1" t="s">
        <v>601</v>
      </c>
      <c r="T577" s="1">
        <v>50253</v>
      </c>
      <c r="U577" s="1"/>
      <c r="V577" s="1"/>
      <c r="W577" s="21" t="s">
        <v>809</v>
      </c>
      <c r="X577" s="8"/>
      <c r="Y577" s="8">
        <v>1</v>
      </c>
      <c r="Z577" s="12" t="s">
        <v>1086</v>
      </c>
      <c r="AA577" s="1"/>
      <c r="AB577" s="29" t="s">
        <v>1188</v>
      </c>
      <c r="AC577" s="1"/>
      <c r="AD577" s="27"/>
    </row>
    <row r="578" spans="1:30" x14ac:dyDescent="0.25">
      <c r="A578" s="4"/>
      <c r="B578" s="4">
        <v>45832</v>
      </c>
      <c r="C578" s="1" t="s">
        <v>54</v>
      </c>
      <c r="D578" s="1" t="s">
        <v>2329</v>
      </c>
      <c r="E578" s="1" t="s">
        <v>1189</v>
      </c>
      <c r="F578" s="1" t="s">
        <v>1189</v>
      </c>
      <c r="G578" s="8">
        <v>1</v>
      </c>
      <c r="H578" s="8">
        <v>1</v>
      </c>
      <c r="I578" s="115">
        <f>Table223[[#This Row],[Qty]]-Table223[[#This Row],[Issue Qty]]</f>
        <v>0</v>
      </c>
      <c r="J578" s="5">
        <v>504</v>
      </c>
      <c r="K578" s="5">
        <f t="shared" si="29"/>
        <v>504</v>
      </c>
      <c r="L578" s="82">
        <v>0.12</v>
      </c>
      <c r="M578" s="9">
        <f t="shared" si="30"/>
        <v>60.48</v>
      </c>
      <c r="N578" s="5">
        <v>0</v>
      </c>
      <c r="O578" s="5"/>
      <c r="P578" s="5">
        <f t="shared" si="31"/>
        <v>564.48</v>
      </c>
      <c r="Q578" s="1" t="s">
        <v>1083</v>
      </c>
      <c r="R578" s="1" t="s">
        <v>1083</v>
      </c>
      <c r="S578" s="1" t="s">
        <v>601</v>
      </c>
      <c r="T578" s="1">
        <v>50253</v>
      </c>
      <c r="U578" s="1"/>
      <c r="V578" s="1"/>
      <c r="W578" s="21" t="s">
        <v>809</v>
      </c>
      <c r="X578" s="8"/>
      <c r="Y578" s="8">
        <v>1</v>
      </c>
      <c r="Z578" s="12" t="s">
        <v>1086</v>
      </c>
      <c r="AA578" s="1"/>
      <c r="AB578" s="29" t="s">
        <v>1190</v>
      </c>
      <c r="AC578" s="1"/>
      <c r="AD578" s="27"/>
    </row>
    <row r="579" spans="1:30" x14ac:dyDescent="0.25">
      <c r="A579" s="4"/>
      <c r="B579" s="4">
        <v>45832</v>
      </c>
      <c r="C579" s="1" t="s">
        <v>54</v>
      </c>
      <c r="D579" s="26" t="s">
        <v>2330</v>
      </c>
      <c r="E579" s="26" t="s">
        <v>1191</v>
      </c>
      <c r="F579" s="1" t="s">
        <v>1191</v>
      </c>
      <c r="G579" s="8">
        <v>2</v>
      </c>
      <c r="H579" s="8">
        <v>2</v>
      </c>
      <c r="I579" s="115">
        <f>Table223[[#This Row],[Qty]]-Table223[[#This Row],[Issue Qty]]</f>
        <v>0</v>
      </c>
      <c r="J579" s="5">
        <v>292</v>
      </c>
      <c r="K579" s="5">
        <f t="shared" si="29"/>
        <v>584</v>
      </c>
      <c r="L579" s="82">
        <v>0.12</v>
      </c>
      <c r="M579" s="9">
        <f t="shared" si="30"/>
        <v>70.08</v>
      </c>
      <c r="N579" s="5">
        <v>0</v>
      </c>
      <c r="O579" s="5"/>
      <c r="P579" s="5">
        <f t="shared" si="31"/>
        <v>654.08000000000004</v>
      </c>
      <c r="Q579" s="1" t="s">
        <v>1083</v>
      </c>
      <c r="R579" s="1" t="s">
        <v>1083</v>
      </c>
      <c r="S579" s="1" t="s">
        <v>601</v>
      </c>
      <c r="T579" s="1">
        <v>50253</v>
      </c>
      <c r="U579" s="1"/>
      <c r="V579" s="1"/>
      <c r="W579" s="21" t="s">
        <v>809</v>
      </c>
      <c r="X579" s="8"/>
      <c r="Y579" s="8">
        <v>2</v>
      </c>
      <c r="Z579" s="12" t="s">
        <v>1086</v>
      </c>
      <c r="AA579" s="1"/>
      <c r="AB579" s="29"/>
      <c r="AC579" s="1"/>
      <c r="AD579" s="27"/>
    </row>
    <row r="580" spans="1:30" x14ac:dyDescent="0.25">
      <c r="A580" s="4"/>
      <c r="B580" s="4">
        <v>45832</v>
      </c>
      <c r="C580" s="1" t="s">
        <v>54</v>
      </c>
      <c r="D580" s="1" t="s">
        <v>2331</v>
      </c>
      <c r="E580" s="1" t="s">
        <v>1192</v>
      </c>
      <c r="F580" s="1" t="s">
        <v>1192</v>
      </c>
      <c r="G580" s="8">
        <v>1</v>
      </c>
      <c r="H580" s="8">
        <v>1</v>
      </c>
      <c r="I580" s="115">
        <f>Table223[[#This Row],[Qty]]-Table223[[#This Row],[Issue Qty]]</f>
        <v>0</v>
      </c>
      <c r="J580" s="5">
        <v>494</v>
      </c>
      <c r="K580" s="5">
        <f t="shared" si="29"/>
        <v>494</v>
      </c>
      <c r="L580" s="82">
        <v>0.12</v>
      </c>
      <c r="M580" s="9">
        <f t="shared" si="30"/>
        <v>59.28</v>
      </c>
      <c r="N580" s="5">
        <v>0</v>
      </c>
      <c r="O580" s="5"/>
      <c r="P580" s="5">
        <f t="shared" si="31"/>
        <v>553.28</v>
      </c>
      <c r="Q580" s="1" t="s">
        <v>1083</v>
      </c>
      <c r="R580" s="1" t="s">
        <v>1083</v>
      </c>
      <c r="S580" s="1" t="s">
        <v>601</v>
      </c>
      <c r="T580" s="1">
        <v>50253</v>
      </c>
      <c r="U580" s="1"/>
      <c r="V580" s="27"/>
      <c r="W580" s="21" t="s">
        <v>809</v>
      </c>
      <c r="X580" s="28"/>
      <c r="Y580" s="21">
        <v>1</v>
      </c>
      <c r="Z580" s="12" t="s">
        <v>1086</v>
      </c>
      <c r="AA580" s="27"/>
      <c r="AB580" s="29" t="s">
        <v>1193</v>
      </c>
      <c r="AC580" s="27"/>
      <c r="AD580" s="27"/>
    </row>
    <row r="581" spans="1:30" x14ac:dyDescent="0.25">
      <c r="A581" s="4"/>
      <c r="B581" s="4">
        <v>45832</v>
      </c>
      <c r="C581" s="1" t="s">
        <v>54</v>
      </c>
      <c r="D581" s="1" t="s">
        <v>2332</v>
      </c>
      <c r="E581" s="1" t="s">
        <v>1194</v>
      </c>
      <c r="F581" s="1" t="s">
        <v>1194</v>
      </c>
      <c r="G581" s="8">
        <v>1</v>
      </c>
      <c r="H581" s="8">
        <v>1</v>
      </c>
      <c r="I581" s="115">
        <f>Table223[[#This Row],[Qty]]-Table223[[#This Row],[Issue Qty]]</f>
        <v>0</v>
      </c>
      <c r="J581" s="5">
        <v>543</v>
      </c>
      <c r="K581" s="5">
        <f t="shared" si="29"/>
        <v>543</v>
      </c>
      <c r="L581" s="82">
        <v>0.12</v>
      </c>
      <c r="M581" s="9">
        <f t="shared" si="30"/>
        <v>65.16</v>
      </c>
      <c r="N581" s="5">
        <v>0</v>
      </c>
      <c r="O581" s="5"/>
      <c r="P581" s="5">
        <f t="shared" si="31"/>
        <v>608.16</v>
      </c>
      <c r="Q581" s="1" t="s">
        <v>1083</v>
      </c>
      <c r="R581" s="1" t="s">
        <v>1083</v>
      </c>
      <c r="S581" s="1" t="s">
        <v>601</v>
      </c>
      <c r="T581" s="1">
        <v>50253</v>
      </c>
      <c r="U581" s="1"/>
      <c r="V581" s="27"/>
      <c r="W581" s="21" t="s">
        <v>809</v>
      </c>
      <c r="X581" s="28"/>
      <c r="Y581" s="21">
        <v>1</v>
      </c>
      <c r="Z581" s="12" t="s">
        <v>1086</v>
      </c>
      <c r="AA581" s="27"/>
      <c r="AB581" s="29" t="s">
        <v>1195</v>
      </c>
      <c r="AC581" s="27"/>
      <c r="AD581" s="27"/>
    </row>
    <row r="582" spans="1:30" x14ac:dyDescent="0.25">
      <c r="A582" s="4"/>
      <c r="B582" s="4">
        <v>45832</v>
      </c>
      <c r="C582" s="1" t="s">
        <v>54</v>
      </c>
      <c r="D582" s="26" t="s">
        <v>2333</v>
      </c>
      <c r="E582" s="26" t="s">
        <v>1196</v>
      </c>
      <c r="F582" s="1" t="s">
        <v>1196</v>
      </c>
      <c r="G582" s="8">
        <v>1</v>
      </c>
      <c r="H582" s="8">
        <v>1</v>
      </c>
      <c r="I582" s="115">
        <f>Table223[[#This Row],[Qty]]-Table223[[#This Row],[Issue Qty]]</f>
        <v>0</v>
      </c>
      <c r="J582" s="5">
        <v>1500</v>
      </c>
      <c r="K582" s="5">
        <f t="shared" si="29"/>
        <v>1500</v>
      </c>
      <c r="L582" s="82">
        <v>0.18</v>
      </c>
      <c r="M582" s="9">
        <f t="shared" si="30"/>
        <v>270</v>
      </c>
      <c r="N582" s="5">
        <v>0</v>
      </c>
      <c r="O582" s="5"/>
      <c r="P582" s="5">
        <f t="shared" si="31"/>
        <v>1770</v>
      </c>
      <c r="Q582" s="1" t="s">
        <v>1083</v>
      </c>
      <c r="R582" s="1" t="s">
        <v>1083</v>
      </c>
      <c r="S582" s="1" t="s">
        <v>829</v>
      </c>
      <c r="T582" s="1" t="s">
        <v>2319</v>
      </c>
      <c r="U582" s="1"/>
      <c r="V582" s="27"/>
      <c r="W582" s="21" t="s">
        <v>809</v>
      </c>
      <c r="X582" s="28"/>
      <c r="Y582" s="21">
        <v>1</v>
      </c>
      <c r="Z582" s="12" t="s">
        <v>1086</v>
      </c>
      <c r="AA582" s="27"/>
      <c r="AB582" s="29"/>
      <c r="AC582" s="27"/>
      <c r="AD582" s="27"/>
    </row>
    <row r="583" spans="1:30" x14ac:dyDescent="0.25">
      <c r="A583" s="4"/>
      <c r="B583" s="4">
        <v>45832</v>
      </c>
      <c r="C583" s="1" t="s">
        <v>54</v>
      </c>
      <c r="D583" s="1" t="s">
        <v>2334</v>
      </c>
      <c r="E583" s="1" t="s">
        <v>1197</v>
      </c>
      <c r="F583" s="1" t="s">
        <v>1197</v>
      </c>
      <c r="G583" s="8">
        <v>1</v>
      </c>
      <c r="H583" s="8">
        <v>1</v>
      </c>
      <c r="I583" s="115">
        <f>Table223[[#This Row],[Qty]]-Table223[[#This Row],[Issue Qty]]</f>
        <v>0</v>
      </c>
      <c r="J583" s="5">
        <v>840</v>
      </c>
      <c r="K583" s="5">
        <f t="shared" si="29"/>
        <v>840</v>
      </c>
      <c r="L583" s="82">
        <v>0.18</v>
      </c>
      <c r="M583" s="9">
        <f t="shared" si="30"/>
        <v>151.19999999999999</v>
      </c>
      <c r="N583" s="5">
        <v>0</v>
      </c>
      <c r="O583" s="5"/>
      <c r="P583" s="5">
        <f t="shared" si="31"/>
        <v>991.2</v>
      </c>
      <c r="Q583" s="1" t="s">
        <v>1083</v>
      </c>
      <c r="R583" s="1" t="s">
        <v>1083</v>
      </c>
      <c r="S583" s="1" t="s">
        <v>829</v>
      </c>
      <c r="T583" s="1" t="s">
        <v>2319</v>
      </c>
      <c r="U583" s="1"/>
      <c r="V583" s="27"/>
      <c r="W583" s="21" t="s">
        <v>809</v>
      </c>
      <c r="X583" s="28"/>
      <c r="Y583" s="21">
        <v>1</v>
      </c>
      <c r="Z583" s="12" t="s">
        <v>1086</v>
      </c>
      <c r="AA583" s="27"/>
      <c r="AB583" s="29" t="s">
        <v>1198</v>
      </c>
      <c r="AC583" s="27"/>
      <c r="AD583" s="27"/>
    </row>
    <row r="584" spans="1:30" ht="30" x14ac:dyDescent="0.25">
      <c r="A584" s="4"/>
      <c r="B584" s="4">
        <v>45834</v>
      </c>
      <c r="C584" s="1" t="s">
        <v>2096</v>
      </c>
      <c r="D584" s="26" t="s">
        <v>2335</v>
      </c>
      <c r="E584" s="26" t="s">
        <v>1199</v>
      </c>
      <c r="F584" s="1" t="s">
        <v>1199</v>
      </c>
      <c r="G584" s="8">
        <v>10</v>
      </c>
      <c r="H584" s="8"/>
      <c r="I584" s="115">
        <f>Table223[[#This Row],[Qty]]-Table223[[#This Row],[Issue Qty]]</f>
        <v>10</v>
      </c>
      <c r="J584" s="5">
        <v>7017</v>
      </c>
      <c r="K584" s="5">
        <f t="shared" si="29"/>
        <v>70170</v>
      </c>
      <c r="L584" s="82">
        <v>0.05</v>
      </c>
      <c r="M584" s="9">
        <f t="shared" si="30"/>
        <v>3508.5</v>
      </c>
      <c r="N584" s="5">
        <v>0</v>
      </c>
      <c r="O584" s="5"/>
      <c r="P584" s="5">
        <f t="shared" si="31"/>
        <v>73678.5</v>
      </c>
      <c r="Q584" s="1" t="s">
        <v>980</v>
      </c>
      <c r="R584" s="1" t="s">
        <v>980</v>
      </c>
      <c r="S584" s="1" t="s">
        <v>1060</v>
      </c>
      <c r="T584" s="1" t="s">
        <v>2336</v>
      </c>
      <c r="U584" s="1"/>
      <c r="V584" s="1"/>
      <c r="W584" s="21" t="s">
        <v>29</v>
      </c>
      <c r="X584" s="8"/>
      <c r="Y584" s="8">
        <v>1</v>
      </c>
      <c r="Z584" s="22" t="s">
        <v>1125</v>
      </c>
      <c r="AA584" s="1"/>
      <c r="AB584" s="29"/>
      <c r="AC584" s="1"/>
      <c r="AD584" s="27"/>
    </row>
    <row r="585" spans="1:30" x14ac:dyDescent="0.25">
      <c r="A585" s="4"/>
      <c r="B585" s="4">
        <v>45834</v>
      </c>
      <c r="C585" s="1" t="s">
        <v>1989</v>
      </c>
      <c r="D585" s="26" t="s">
        <v>2337</v>
      </c>
      <c r="E585" s="26" t="s">
        <v>1200</v>
      </c>
      <c r="F585" s="1" t="s">
        <v>1201</v>
      </c>
      <c r="G585" s="8">
        <v>8</v>
      </c>
      <c r="H585" s="8"/>
      <c r="I585" s="115">
        <f>Table223[[#This Row],[Qty]]-Table223[[#This Row],[Issue Qty]]</f>
        <v>8</v>
      </c>
      <c r="J585" s="5">
        <v>5110</v>
      </c>
      <c r="K585" s="5">
        <f t="shared" si="29"/>
        <v>40880</v>
      </c>
      <c r="L585" s="82">
        <v>0.05</v>
      </c>
      <c r="M585" s="9">
        <f t="shared" si="30"/>
        <v>2044</v>
      </c>
      <c r="N585" s="5">
        <v>0</v>
      </c>
      <c r="O585" s="5"/>
      <c r="P585" s="5">
        <f t="shared" si="31"/>
        <v>42924</v>
      </c>
      <c r="Q585" s="1" t="s">
        <v>980</v>
      </c>
      <c r="R585" s="1" t="s">
        <v>980</v>
      </c>
      <c r="S585" s="1" t="s">
        <v>1060</v>
      </c>
      <c r="T585" s="1" t="s">
        <v>2336</v>
      </c>
      <c r="U585" s="1"/>
      <c r="V585" s="1"/>
      <c r="W585" s="21"/>
      <c r="X585" s="8"/>
      <c r="Y585" s="8">
        <v>8</v>
      </c>
      <c r="Z585" s="22" t="s">
        <v>1125</v>
      </c>
      <c r="AA585" s="1"/>
      <c r="AB585" s="29"/>
      <c r="AC585" s="1"/>
      <c r="AD585" s="27"/>
    </row>
    <row r="586" spans="1:30" x14ac:dyDescent="0.25">
      <c r="A586" s="4"/>
      <c r="B586" s="4">
        <v>45834</v>
      </c>
      <c r="C586" s="1" t="s">
        <v>1989</v>
      </c>
      <c r="D586" s="26" t="s">
        <v>2338</v>
      </c>
      <c r="E586" s="26" t="s">
        <v>1202</v>
      </c>
      <c r="F586" s="1" t="s">
        <v>1202</v>
      </c>
      <c r="G586" s="8">
        <v>20</v>
      </c>
      <c r="H586" s="8"/>
      <c r="I586" s="115">
        <f>Table223[[#This Row],[Qty]]-Table223[[#This Row],[Issue Qty]]</f>
        <v>20</v>
      </c>
      <c r="J586" s="5">
        <v>1940</v>
      </c>
      <c r="K586" s="5">
        <f t="shared" si="29"/>
        <v>38800</v>
      </c>
      <c r="L586" s="82">
        <v>0.05</v>
      </c>
      <c r="M586" s="9">
        <f t="shared" si="30"/>
        <v>1940</v>
      </c>
      <c r="N586" s="5">
        <v>0</v>
      </c>
      <c r="O586" s="5"/>
      <c r="P586" s="5">
        <f t="shared" si="31"/>
        <v>40740</v>
      </c>
      <c r="Q586" s="1" t="s">
        <v>980</v>
      </c>
      <c r="R586" s="1" t="s">
        <v>980</v>
      </c>
      <c r="S586" s="1" t="s">
        <v>1060</v>
      </c>
      <c r="T586" s="1" t="s">
        <v>2336</v>
      </c>
      <c r="U586" s="1"/>
      <c r="V586" s="1"/>
      <c r="W586" s="21" t="s">
        <v>22</v>
      </c>
      <c r="X586" s="21" t="s">
        <v>1963</v>
      </c>
      <c r="Y586" s="8">
        <v>8</v>
      </c>
      <c r="Z586" s="22" t="s">
        <v>1125</v>
      </c>
      <c r="AA586" s="1"/>
      <c r="AB586" s="29"/>
      <c r="AC586" s="1"/>
      <c r="AD586" s="27"/>
    </row>
    <row r="587" spans="1:30" x14ac:dyDescent="0.25">
      <c r="A587" s="4"/>
      <c r="B587" s="4">
        <v>45834</v>
      </c>
      <c r="C587" s="1" t="s">
        <v>1991</v>
      </c>
      <c r="D587" s="26" t="s">
        <v>2339</v>
      </c>
      <c r="E587" s="26" t="s">
        <v>1203</v>
      </c>
      <c r="F587" s="1" t="s">
        <v>1204</v>
      </c>
      <c r="G587" s="8">
        <v>2</v>
      </c>
      <c r="H587" s="8">
        <v>1</v>
      </c>
      <c r="I587" s="115">
        <f>Table223[[#This Row],[Qty]]-Table223[[#This Row],[Issue Qty]]</f>
        <v>1</v>
      </c>
      <c r="J587" s="5">
        <v>11896</v>
      </c>
      <c r="K587" s="5">
        <f t="shared" si="29"/>
        <v>23792</v>
      </c>
      <c r="L587" s="82">
        <v>0.05</v>
      </c>
      <c r="M587" s="9">
        <f t="shared" si="30"/>
        <v>1189.6000000000001</v>
      </c>
      <c r="N587" s="5">
        <v>1711</v>
      </c>
      <c r="O587" s="5"/>
      <c r="P587" s="5">
        <f t="shared" si="31"/>
        <v>26692.6</v>
      </c>
      <c r="Q587" s="1" t="s">
        <v>980</v>
      </c>
      <c r="R587" s="1" t="s">
        <v>980</v>
      </c>
      <c r="S587" s="1" t="s">
        <v>1060</v>
      </c>
      <c r="T587" s="1" t="s">
        <v>2336</v>
      </c>
      <c r="U587" s="1"/>
      <c r="V587" s="1"/>
      <c r="W587" s="21" t="s">
        <v>244</v>
      </c>
      <c r="X587" s="8"/>
      <c r="Y587" s="8">
        <v>1</v>
      </c>
      <c r="Z587" s="22" t="s">
        <v>1125</v>
      </c>
      <c r="AA587" s="1"/>
      <c r="AB587" s="29"/>
      <c r="AC587" s="1"/>
      <c r="AD587" s="27"/>
    </row>
    <row r="588" spans="1:30" x14ac:dyDescent="0.25">
      <c r="A588" s="4"/>
      <c r="B588" s="4">
        <v>45834</v>
      </c>
      <c r="C588" s="1" t="s">
        <v>1991</v>
      </c>
      <c r="D588" s="1" t="s">
        <v>2340</v>
      </c>
      <c r="E588" s="1" t="s">
        <v>1205</v>
      </c>
      <c r="F588" s="1" t="s">
        <v>1205</v>
      </c>
      <c r="G588" s="8">
        <v>5</v>
      </c>
      <c r="H588" s="8"/>
      <c r="I588" s="115">
        <f>Table223[[#This Row],[Qty]]-Table223[[#This Row],[Issue Qty]]</f>
        <v>5</v>
      </c>
      <c r="J588" s="5">
        <v>1808.57</v>
      </c>
      <c r="K588" s="5">
        <f t="shared" si="29"/>
        <v>9042.85</v>
      </c>
      <c r="L588" s="82">
        <v>0.05</v>
      </c>
      <c r="M588" s="9">
        <f t="shared" si="30"/>
        <v>452.14250000000004</v>
      </c>
      <c r="N588" s="5">
        <f>157.01</f>
        <v>157.01</v>
      </c>
      <c r="O588" s="5"/>
      <c r="P588" s="5">
        <f t="shared" si="31"/>
        <v>9652.0025000000005</v>
      </c>
      <c r="Q588" s="1" t="s">
        <v>980</v>
      </c>
      <c r="R588" s="1" t="s">
        <v>980</v>
      </c>
      <c r="S588" s="1" t="s">
        <v>749</v>
      </c>
      <c r="T588" s="1" t="s">
        <v>2341</v>
      </c>
      <c r="U588" s="1"/>
      <c r="V588" s="1"/>
      <c r="W588" s="21" t="s">
        <v>38</v>
      </c>
      <c r="X588" s="21" t="s">
        <v>1128</v>
      </c>
      <c r="Y588" s="8">
        <v>2</v>
      </c>
      <c r="Z588" s="22" t="s">
        <v>1125</v>
      </c>
      <c r="AA588" s="1"/>
      <c r="AB588" s="29" t="s">
        <v>1206</v>
      </c>
      <c r="AC588" s="1"/>
      <c r="AD588" s="27"/>
    </row>
    <row r="589" spans="1:30" ht="30" x14ac:dyDescent="0.25">
      <c r="A589" s="4"/>
      <c r="B589" s="4">
        <v>45834</v>
      </c>
      <c r="C589" s="1" t="s">
        <v>2003</v>
      </c>
      <c r="D589" s="1" t="s">
        <v>2342</v>
      </c>
      <c r="E589" s="1" t="s">
        <v>1207</v>
      </c>
      <c r="F589" s="1" t="s">
        <v>1207</v>
      </c>
      <c r="G589" s="8">
        <v>5</v>
      </c>
      <c r="H589" s="8">
        <v>2</v>
      </c>
      <c r="I589" s="115">
        <f>Table223[[#This Row],[Qty]]-Table223[[#This Row],[Issue Qty]]</f>
        <v>3</v>
      </c>
      <c r="J589" s="5">
        <v>34532</v>
      </c>
      <c r="K589" s="5">
        <f t="shared" si="29"/>
        <v>172660</v>
      </c>
      <c r="L589" s="82">
        <v>0.05</v>
      </c>
      <c r="M589" s="9">
        <f t="shared" si="30"/>
        <v>8633</v>
      </c>
      <c r="N589" s="5">
        <v>0</v>
      </c>
      <c r="O589" s="5"/>
      <c r="P589" s="5">
        <f t="shared" si="31"/>
        <v>181293</v>
      </c>
      <c r="Q589" s="1" t="s">
        <v>980</v>
      </c>
      <c r="R589" s="1" t="s">
        <v>980</v>
      </c>
      <c r="S589" s="1" t="s">
        <v>1060</v>
      </c>
      <c r="T589" s="1" t="s">
        <v>2336</v>
      </c>
      <c r="U589" s="1"/>
      <c r="V589" s="1"/>
      <c r="W589" s="21" t="s">
        <v>1046</v>
      </c>
      <c r="X589" s="8"/>
      <c r="Y589" s="8">
        <v>2</v>
      </c>
      <c r="Z589" s="22" t="s">
        <v>1125</v>
      </c>
      <c r="AA589" s="1"/>
      <c r="AB589" s="29" t="s">
        <v>1208</v>
      </c>
      <c r="AC589" s="1"/>
      <c r="AD589" s="27"/>
    </row>
    <row r="590" spans="1:30" x14ac:dyDescent="0.25">
      <c r="A590" s="4"/>
      <c r="B590" s="4">
        <v>45835</v>
      </c>
      <c r="C590" s="1" t="s">
        <v>1993</v>
      </c>
      <c r="D590" s="26" t="s">
        <v>2343</v>
      </c>
      <c r="E590" s="26" t="s">
        <v>1209</v>
      </c>
      <c r="F590" s="1" t="s">
        <v>1209</v>
      </c>
      <c r="G590" s="8">
        <v>1</v>
      </c>
      <c r="H590" s="8"/>
      <c r="I590" s="115">
        <f>Table223[[#This Row],[Qty]]-Table223[[#This Row],[Issue Qty]]</f>
        <v>1</v>
      </c>
      <c r="J590" s="5">
        <v>9600</v>
      </c>
      <c r="K590" s="5">
        <f t="shared" si="29"/>
        <v>9600</v>
      </c>
      <c r="L590" s="82">
        <v>0.18</v>
      </c>
      <c r="M590" s="9">
        <f t="shared" si="30"/>
        <v>1728</v>
      </c>
      <c r="N590" s="5">
        <v>2124</v>
      </c>
      <c r="O590" s="5"/>
      <c r="P590" s="5">
        <f t="shared" si="31"/>
        <v>13452</v>
      </c>
      <c r="Q590" s="1" t="s">
        <v>907</v>
      </c>
      <c r="R590" s="1" t="s">
        <v>907</v>
      </c>
      <c r="S590" s="1" t="s">
        <v>1210</v>
      </c>
      <c r="T590" s="1" t="s">
        <v>2344</v>
      </c>
      <c r="U590" s="1"/>
      <c r="V590" s="1"/>
      <c r="W590" s="21"/>
      <c r="X590" s="8"/>
      <c r="Y590" s="8">
        <v>1</v>
      </c>
      <c r="Z590" s="22" t="s">
        <v>1211</v>
      </c>
      <c r="AA590" s="1"/>
      <c r="AB590" s="29"/>
      <c r="AC590" s="1"/>
      <c r="AD590" s="27"/>
    </row>
    <row r="591" spans="1:30" x14ac:dyDescent="0.25">
      <c r="A591" s="4"/>
      <c r="B591" s="4">
        <v>45836</v>
      </c>
      <c r="C591" s="1" t="s">
        <v>54</v>
      </c>
      <c r="D591" s="1" t="s">
        <v>2345</v>
      </c>
      <c r="E591" s="169" t="s">
        <v>1212</v>
      </c>
      <c r="F591" s="1" t="s">
        <v>1213</v>
      </c>
      <c r="G591" s="8">
        <v>2</v>
      </c>
      <c r="H591" s="8">
        <v>2</v>
      </c>
      <c r="I591" s="115">
        <f>Table223[[#This Row],[Qty]]-Table223[[#This Row],[Issue Qty]]</f>
        <v>0</v>
      </c>
      <c r="J591" s="5">
        <v>282</v>
      </c>
      <c r="K591" s="5">
        <f t="shared" si="29"/>
        <v>564</v>
      </c>
      <c r="L591" s="82">
        <v>0.18</v>
      </c>
      <c r="M591" s="9">
        <f t="shared" si="30"/>
        <v>101.52</v>
      </c>
      <c r="N591" s="5">
        <v>0</v>
      </c>
      <c r="O591" s="5"/>
      <c r="P591" s="5">
        <f t="shared" si="31"/>
        <v>665.52</v>
      </c>
      <c r="Q591" s="1" t="s">
        <v>726</v>
      </c>
      <c r="R591" s="1" t="s">
        <v>726</v>
      </c>
      <c r="S591" s="1" t="s">
        <v>358</v>
      </c>
      <c r="T591" s="1" t="s">
        <v>2346</v>
      </c>
      <c r="U591" s="1"/>
      <c r="V591" s="27"/>
      <c r="W591" s="21" t="s">
        <v>650</v>
      </c>
      <c r="X591" s="28"/>
      <c r="Y591" s="21">
        <v>2</v>
      </c>
      <c r="Z591" s="12" t="s">
        <v>481</v>
      </c>
      <c r="AA591" s="27"/>
      <c r="AB591" s="29" t="s">
        <v>1214</v>
      </c>
      <c r="AC591" s="27"/>
      <c r="AD591" s="27"/>
    </row>
    <row r="592" spans="1:30" x14ac:dyDescent="0.25">
      <c r="A592" s="4"/>
      <c r="B592" s="4">
        <v>45836</v>
      </c>
      <c r="C592" s="1" t="s">
        <v>54</v>
      </c>
      <c r="D592" s="1" t="s">
        <v>2347</v>
      </c>
      <c r="E592" s="169" t="s">
        <v>1215</v>
      </c>
      <c r="F592" s="1" t="s">
        <v>1216</v>
      </c>
      <c r="G592" s="8">
        <v>2</v>
      </c>
      <c r="H592" s="8">
        <v>2</v>
      </c>
      <c r="I592" s="115">
        <f>Table223[[#This Row],[Qty]]-Table223[[#This Row],[Issue Qty]]</f>
        <v>0</v>
      </c>
      <c r="J592" s="5">
        <v>276</v>
      </c>
      <c r="K592" s="5">
        <f t="shared" si="29"/>
        <v>552</v>
      </c>
      <c r="L592" s="82">
        <v>0.18</v>
      </c>
      <c r="M592" s="9">
        <f t="shared" si="30"/>
        <v>99.36</v>
      </c>
      <c r="N592" s="5">
        <v>0</v>
      </c>
      <c r="O592" s="5"/>
      <c r="P592" s="5">
        <f t="shared" si="31"/>
        <v>651.36</v>
      </c>
      <c r="Q592" s="1" t="s">
        <v>726</v>
      </c>
      <c r="R592" s="1" t="s">
        <v>726</v>
      </c>
      <c r="S592" s="1" t="s">
        <v>358</v>
      </c>
      <c r="T592" s="1" t="s">
        <v>2346</v>
      </c>
      <c r="U592" s="1"/>
      <c r="V592" s="27"/>
      <c r="W592" s="21" t="s">
        <v>650</v>
      </c>
      <c r="X592" s="28"/>
      <c r="Y592" s="21">
        <v>2</v>
      </c>
      <c r="Z592" s="12" t="s">
        <v>481</v>
      </c>
      <c r="AA592" s="27"/>
      <c r="AB592" s="29" t="s">
        <v>1217</v>
      </c>
      <c r="AC592" s="27"/>
      <c r="AD592" s="27"/>
    </row>
    <row r="593" spans="1:30" ht="30" x14ac:dyDescent="0.25">
      <c r="A593" s="4"/>
      <c r="B593" s="4">
        <v>45836</v>
      </c>
      <c r="C593" s="1" t="s">
        <v>2096</v>
      </c>
      <c r="D593" s="26" t="s">
        <v>2348</v>
      </c>
      <c r="E593" s="26" t="s">
        <v>1218</v>
      </c>
      <c r="F593" s="1" t="s">
        <v>1219</v>
      </c>
      <c r="G593" s="8">
        <v>1</v>
      </c>
      <c r="H593" s="8"/>
      <c r="I593" s="115">
        <f>Table223[[#This Row],[Qty]]-Table223[[#This Row],[Issue Qty]]</f>
        <v>1</v>
      </c>
      <c r="J593" s="5">
        <v>2380</v>
      </c>
      <c r="K593" s="5">
        <f t="shared" si="29"/>
        <v>2380</v>
      </c>
      <c r="L593" s="82">
        <v>0.05</v>
      </c>
      <c r="M593" s="9">
        <f t="shared" si="30"/>
        <v>119</v>
      </c>
      <c r="N593" s="5">
        <f>126.27+22.73</f>
        <v>149</v>
      </c>
      <c r="O593" s="5"/>
      <c r="P593" s="5">
        <f t="shared" si="31"/>
        <v>2648</v>
      </c>
      <c r="Q593" s="1" t="s">
        <v>980</v>
      </c>
      <c r="R593" s="1" t="s">
        <v>980</v>
      </c>
      <c r="S593" s="1" t="s">
        <v>1220</v>
      </c>
      <c r="T593" s="1" t="s">
        <v>2349</v>
      </c>
      <c r="U593" s="1"/>
      <c r="V593" s="1"/>
      <c r="W593" s="21"/>
      <c r="X593" s="8"/>
      <c r="Y593" s="8">
        <v>1</v>
      </c>
      <c r="Z593" s="22" t="s">
        <v>1125</v>
      </c>
      <c r="AA593" s="1"/>
      <c r="AB593" s="29"/>
      <c r="AC593" s="1"/>
      <c r="AD593" s="27"/>
    </row>
    <row r="594" spans="1:30" s="24" customFormat="1" ht="30" x14ac:dyDescent="0.25">
      <c r="A594" s="4"/>
      <c r="B594" s="4">
        <v>45836</v>
      </c>
      <c r="C594" s="1" t="s">
        <v>2096</v>
      </c>
      <c r="D594" s="26" t="s">
        <v>2348</v>
      </c>
      <c r="E594" s="26" t="s">
        <v>1218</v>
      </c>
      <c r="F594" s="1" t="s">
        <v>1219</v>
      </c>
      <c r="G594" s="8">
        <v>6</v>
      </c>
      <c r="H594" s="8"/>
      <c r="I594" s="115">
        <f>Table223[[#This Row],[Qty]]-Table223[[#This Row],[Issue Qty]]</f>
        <v>6</v>
      </c>
      <c r="J594" s="5">
        <f>15994.29/6</f>
        <v>2665.7150000000001</v>
      </c>
      <c r="K594" s="5">
        <f t="shared" si="29"/>
        <v>15994.29</v>
      </c>
      <c r="L594" s="82">
        <v>0.05</v>
      </c>
      <c r="M594" s="9">
        <f t="shared" si="30"/>
        <v>799.71450000000004</v>
      </c>
      <c r="N594" s="5">
        <v>642</v>
      </c>
      <c r="O594" s="5"/>
      <c r="P594" s="5">
        <f t="shared" si="31"/>
        <v>17436.004500000003</v>
      </c>
      <c r="Q594" s="1" t="s">
        <v>980</v>
      </c>
      <c r="R594" s="1" t="s">
        <v>980</v>
      </c>
      <c r="S594" s="1" t="s">
        <v>531</v>
      </c>
      <c r="T594" s="1">
        <v>24470</v>
      </c>
      <c r="U594" s="1"/>
      <c r="V594" s="1"/>
      <c r="W594" s="21" t="s">
        <v>29</v>
      </c>
      <c r="X594" s="8"/>
      <c r="Y594" s="8">
        <v>1</v>
      </c>
      <c r="Z594" s="22" t="s">
        <v>1125</v>
      </c>
      <c r="AA594" s="1"/>
      <c r="AB594" s="29"/>
      <c r="AC594" s="1"/>
      <c r="AD594" s="2"/>
    </row>
    <row r="595" spans="1:30" x14ac:dyDescent="0.25">
      <c r="A595" s="4"/>
      <c r="B595" s="4">
        <v>45839</v>
      </c>
      <c r="C595" s="1" t="s">
        <v>54</v>
      </c>
      <c r="D595" s="1" t="s">
        <v>2350</v>
      </c>
      <c r="E595" s="1" t="s">
        <v>1221</v>
      </c>
      <c r="F595" s="1" t="s">
        <v>1221</v>
      </c>
      <c r="G595" s="8">
        <v>2</v>
      </c>
      <c r="H595" s="8"/>
      <c r="I595" s="115">
        <f>Table223[[#This Row],[Qty]]-Table223[[#This Row],[Issue Qty]]</f>
        <v>2</v>
      </c>
      <c r="J595" s="5">
        <v>1577</v>
      </c>
      <c r="K595" s="5">
        <f t="shared" si="29"/>
        <v>3154</v>
      </c>
      <c r="L595" s="82">
        <v>0.18</v>
      </c>
      <c r="M595" s="9">
        <f t="shared" si="30"/>
        <v>567.72</v>
      </c>
      <c r="N595" s="5">
        <v>0</v>
      </c>
      <c r="O595" s="5"/>
      <c r="P595" s="5">
        <f t="shared" si="31"/>
        <v>3721.7200000000003</v>
      </c>
      <c r="Q595" s="1" t="s">
        <v>1083</v>
      </c>
      <c r="R595" s="1" t="s">
        <v>1083</v>
      </c>
      <c r="S595" s="1" t="s">
        <v>764</v>
      </c>
      <c r="T595" s="1" t="s">
        <v>2351</v>
      </c>
      <c r="U595" s="1"/>
      <c r="V595" s="1"/>
      <c r="W595" s="21"/>
      <c r="X595" s="8"/>
      <c r="Y595" s="8">
        <v>2</v>
      </c>
      <c r="Z595" s="22" t="s">
        <v>1086</v>
      </c>
      <c r="AA595" s="1"/>
      <c r="AB595" s="29" t="s">
        <v>1221</v>
      </c>
      <c r="AC595" s="1"/>
      <c r="AD595" s="27"/>
    </row>
    <row r="596" spans="1:30" x14ac:dyDescent="0.25">
      <c r="A596" s="4"/>
      <c r="B596" s="4">
        <v>45839</v>
      </c>
      <c r="C596" s="1" t="s">
        <v>54</v>
      </c>
      <c r="D596" s="26" t="s">
        <v>2352</v>
      </c>
      <c r="E596" s="26" t="s">
        <v>1222</v>
      </c>
      <c r="F596" s="1" t="s">
        <v>1222</v>
      </c>
      <c r="G596" s="8">
        <v>1</v>
      </c>
      <c r="H596" s="8"/>
      <c r="I596" s="115">
        <f>Table223[[#This Row],[Qty]]-Table223[[#This Row],[Issue Qty]]</f>
        <v>1</v>
      </c>
      <c r="J596" s="5">
        <v>930</v>
      </c>
      <c r="K596" s="5">
        <f t="shared" si="29"/>
        <v>930</v>
      </c>
      <c r="L596" s="82">
        <v>0.18</v>
      </c>
      <c r="M596" s="9">
        <f t="shared" si="30"/>
        <v>167.4</v>
      </c>
      <c r="N596" s="5">
        <v>0</v>
      </c>
      <c r="O596" s="5"/>
      <c r="P596" s="5">
        <f t="shared" si="31"/>
        <v>1097.4000000000001</v>
      </c>
      <c r="Q596" s="1" t="s">
        <v>1083</v>
      </c>
      <c r="R596" s="1" t="s">
        <v>1083</v>
      </c>
      <c r="S596" s="1" t="s">
        <v>764</v>
      </c>
      <c r="T596" s="1" t="s">
        <v>2351</v>
      </c>
      <c r="U596" s="1"/>
      <c r="V596" s="27"/>
      <c r="W596" s="21"/>
      <c r="X596" s="28"/>
      <c r="Y596" s="21">
        <v>1</v>
      </c>
      <c r="Z596" s="22" t="s">
        <v>1086</v>
      </c>
      <c r="AA596" s="27"/>
      <c r="AB596" s="29"/>
      <c r="AC596" s="27"/>
      <c r="AD596" s="27"/>
    </row>
    <row r="597" spans="1:30" x14ac:dyDescent="0.25">
      <c r="A597" s="4"/>
      <c r="B597" s="4">
        <v>45839</v>
      </c>
      <c r="C597" s="1" t="s">
        <v>54</v>
      </c>
      <c r="D597" s="26" t="s">
        <v>2353</v>
      </c>
      <c r="E597" s="26" t="s">
        <v>1223</v>
      </c>
      <c r="F597" s="1" t="s">
        <v>1223</v>
      </c>
      <c r="G597" s="8">
        <v>1</v>
      </c>
      <c r="H597" s="8"/>
      <c r="I597" s="115">
        <f>Table223[[#This Row],[Qty]]-Table223[[#This Row],[Issue Qty]]</f>
        <v>1</v>
      </c>
      <c r="J597" s="5">
        <v>980</v>
      </c>
      <c r="K597" s="5">
        <f t="shared" si="29"/>
        <v>980</v>
      </c>
      <c r="L597" s="82">
        <v>0.18</v>
      </c>
      <c r="M597" s="9">
        <f t="shared" si="30"/>
        <v>176.4</v>
      </c>
      <c r="N597" s="5">
        <v>0</v>
      </c>
      <c r="O597" s="5"/>
      <c r="P597" s="5">
        <f t="shared" si="31"/>
        <v>1156.4000000000001</v>
      </c>
      <c r="Q597" s="1" t="s">
        <v>1083</v>
      </c>
      <c r="R597" s="1" t="s">
        <v>1083</v>
      </c>
      <c r="S597" s="1" t="s">
        <v>764</v>
      </c>
      <c r="T597" s="1" t="s">
        <v>2351</v>
      </c>
      <c r="U597" s="1"/>
      <c r="V597" s="27"/>
      <c r="W597" s="21"/>
      <c r="X597" s="28"/>
      <c r="Y597" s="21">
        <v>1</v>
      </c>
      <c r="Z597" s="22" t="s">
        <v>1086</v>
      </c>
      <c r="AA597" s="27"/>
      <c r="AB597" s="29"/>
      <c r="AC597" s="27"/>
      <c r="AD597" s="27"/>
    </row>
    <row r="598" spans="1:30" x14ac:dyDescent="0.25">
      <c r="A598" s="4"/>
      <c r="B598" s="4">
        <v>45839</v>
      </c>
      <c r="C598" s="1" t="s">
        <v>54</v>
      </c>
      <c r="D598" s="26" t="s">
        <v>2354</v>
      </c>
      <c r="E598" s="26" t="s">
        <v>1224</v>
      </c>
      <c r="F598" s="1" t="s">
        <v>1224</v>
      </c>
      <c r="G598" s="8">
        <v>2</v>
      </c>
      <c r="H598" s="8"/>
      <c r="I598" s="115">
        <f>Table223[[#This Row],[Qty]]-Table223[[#This Row],[Issue Qty]]</f>
        <v>2</v>
      </c>
      <c r="J598" s="5">
        <v>1356</v>
      </c>
      <c r="K598" s="5">
        <f t="shared" si="29"/>
        <v>2712</v>
      </c>
      <c r="L598" s="82">
        <v>0.18</v>
      </c>
      <c r="M598" s="9">
        <f t="shared" si="30"/>
        <v>488.15999999999997</v>
      </c>
      <c r="N598" s="5">
        <v>0</v>
      </c>
      <c r="O598" s="5"/>
      <c r="P598" s="5">
        <f t="shared" si="31"/>
        <v>3200.16</v>
      </c>
      <c r="Q598" s="1" t="s">
        <v>1083</v>
      </c>
      <c r="R598" s="1" t="s">
        <v>1083</v>
      </c>
      <c r="S598" s="1" t="s">
        <v>764</v>
      </c>
      <c r="T598" s="1" t="s">
        <v>2351</v>
      </c>
      <c r="U598" s="1"/>
      <c r="V598" s="1"/>
      <c r="W598" s="21"/>
      <c r="X598" s="8"/>
      <c r="Y598" s="8">
        <v>2</v>
      </c>
      <c r="Z598" s="22" t="s">
        <v>1086</v>
      </c>
      <c r="AA598" s="1"/>
      <c r="AB598" s="29"/>
      <c r="AC598" s="1"/>
      <c r="AD598" s="27"/>
    </row>
    <row r="599" spans="1:30" ht="30" x14ac:dyDescent="0.25">
      <c r="A599" s="4"/>
      <c r="B599" s="4">
        <v>45840</v>
      </c>
      <c r="C599" s="1" t="s">
        <v>1989</v>
      </c>
      <c r="D599" s="1" t="s">
        <v>2289</v>
      </c>
      <c r="E599" s="1" t="s">
        <v>1129</v>
      </c>
      <c r="F599" s="1" t="s">
        <v>1129</v>
      </c>
      <c r="G599" s="8">
        <v>1</v>
      </c>
      <c r="H599" s="8">
        <v>1</v>
      </c>
      <c r="I599" s="115">
        <f>Table223[[#This Row],[Qty]]-Table223[[#This Row],[Issue Qty]]</f>
        <v>0</v>
      </c>
      <c r="J599" s="5">
        <v>727.12</v>
      </c>
      <c r="K599" s="5">
        <f t="shared" si="29"/>
        <v>727.12</v>
      </c>
      <c r="L599" s="82">
        <v>0.18</v>
      </c>
      <c r="M599" s="9">
        <f t="shared" si="30"/>
        <v>130.88159999999999</v>
      </c>
      <c r="N599" s="5">
        <v>99</v>
      </c>
      <c r="O599" s="5"/>
      <c r="P599" s="5">
        <f t="shared" si="31"/>
        <v>957.00160000000005</v>
      </c>
      <c r="Q599" s="1" t="s">
        <v>907</v>
      </c>
      <c r="R599" s="1" t="s">
        <v>907</v>
      </c>
      <c r="S599" s="1" t="s">
        <v>691</v>
      </c>
      <c r="T599" s="1" t="s">
        <v>2355</v>
      </c>
      <c r="U599" s="1"/>
      <c r="V599" s="27"/>
      <c r="W599" s="21"/>
      <c r="X599" s="28"/>
      <c r="Y599" s="21">
        <v>1</v>
      </c>
      <c r="Z599" s="12" t="s">
        <v>2915</v>
      </c>
      <c r="AA599" s="27"/>
      <c r="AB599" s="29" t="s">
        <v>1130</v>
      </c>
      <c r="AC599" s="27"/>
      <c r="AD599" s="27"/>
    </row>
    <row r="600" spans="1:30" ht="30" x14ac:dyDescent="0.25">
      <c r="A600" s="4"/>
      <c r="B600" s="4">
        <v>45840</v>
      </c>
      <c r="C600" s="1" t="s">
        <v>2003</v>
      </c>
      <c r="D600" s="1" t="s">
        <v>2235</v>
      </c>
      <c r="E600" s="1" t="s">
        <v>1058</v>
      </c>
      <c r="F600" s="1" t="s">
        <v>1225</v>
      </c>
      <c r="G600" s="8">
        <v>1</v>
      </c>
      <c r="H600" s="8"/>
      <c r="I600" s="115">
        <f>Table223[[#This Row],[Qty]]-Table223[[#This Row],[Issue Qty]]</f>
        <v>1</v>
      </c>
      <c r="J600" s="5">
        <v>1191</v>
      </c>
      <c r="K600" s="5">
        <f t="shared" si="29"/>
        <v>1191</v>
      </c>
      <c r="L600" s="82">
        <v>0.05</v>
      </c>
      <c r="M600" s="9">
        <f t="shared" si="30"/>
        <v>59.550000000000004</v>
      </c>
      <c r="N600" s="5">
        <v>120.36</v>
      </c>
      <c r="O600" s="5"/>
      <c r="P600" s="5">
        <f t="shared" si="31"/>
        <v>1370.9099999999999</v>
      </c>
      <c r="Q600" s="1" t="s">
        <v>1226</v>
      </c>
      <c r="R600" s="1" t="s">
        <v>1226</v>
      </c>
      <c r="S600" s="1" t="s">
        <v>1060</v>
      </c>
      <c r="T600" s="1" t="s">
        <v>2356</v>
      </c>
      <c r="U600" s="1"/>
      <c r="V600" s="27"/>
      <c r="W600" s="21" t="s">
        <v>72</v>
      </c>
      <c r="X600" s="28"/>
      <c r="Y600" s="21">
        <v>1</v>
      </c>
      <c r="Z600" s="12" t="s">
        <v>1227</v>
      </c>
      <c r="AA600" s="27"/>
      <c r="AB600" s="29" t="s">
        <v>1061</v>
      </c>
      <c r="AC600" s="27"/>
      <c r="AD600" s="27"/>
    </row>
    <row r="601" spans="1:30" x14ac:dyDescent="0.25">
      <c r="A601" s="4"/>
      <c r="B601" s="4">
        <v>45840</v>
      </c>
      <c r="C601" s="1" t="s">
        <v>1993</v>
      </c>
      <c r="D601" s="26" t="s">
        <v>2357</v>
      </c>
      <c r="E601" s="168" t="s">
        <v>1228</v>
      </c>
      <c r="F601" s="1" t="s">
        <v>1229</v>
      </c>
      <c r="G601" s="8">
        <v>1</v>
      </c>
      <c r="H601" s="8">
        <v>1</v>
      </c>
      <c r="I601" s="115">
        <f>Table223[[#This Row],[Qty]]-Table223[[#This Row],[Issue Qty]]</f>
        <v>0</v>
      </c>
      <c r="J601" s="5">
        <v>19000</v>
      </c>
      <c r="K601" s="5">
        <f t="shared" si="29"/>
        <v>19000</v>
      </c>
      <c r="L601" s="82">
        <v>0.18</v>
      </c>
      <c r="M601" s="9">
        <f t="shared" si="30"/>
        <v>3420</v>
      </c>
      <c r="N601" s="5">
        <v>0</v>
      </c>
      <c r="O601" s="5"/>
      <c r="P601" s="5">
        <f t="shared" si="31"/>
        <v>22420</v>
      </c>
      <c r="Q601" s="1" t="s">
        <v>1230</v>
      </c>
      <c r="R601" s="1" t="s">
        <v>1230</v>
      </c>
      <c r="S601" s="1" t="s">
        <v>1231</v>
      </c>
      <c r="T601" s="1" t="s">
        <v>2358</v>
      </c>
      <c r="U601" s="1"/>
      <c r="V601" s="1"/>
      <c r="W601" s="21"/>
      <c r="X601" s="8"/>
      <c r="Y601" s="8">
        <v>1</v>
      </c>
      <c r="Z601" s="22" t="s">
        <v>474</v>
      </c>
      <c r="AA601" s="1"/>
      <c r="AB601" s="29"/>
      <c r="AC601" s="1"/>
      <c r="AD601" s="27"/>
    </row>
    <row r="602" spans="1:30" x14ac:dyDescent="0.25">
      <c r="A602" s="4"/>
      <c r="B602" s="4">
        <v>45840</v>
      </c>
      <c r="C602" s="1" t="s">
        <v>1993</v>
      </c>
      <c r="D602" s="26" t="s">
        <v>2359</v>
      </c>
      <c r="E602" s="26" t="s">
        <v>1232</v>
      </c>
      <c r="F602" s="1" t="s">
        <v>1232</v>
      </c>
      <c r="G602" s="8">
        <v>3</v>
      </c>
      <c r="H602" s="8"/>
      <c r="I602" s="115">
        <f>Table223[[#This Row],[Qty]]-Table223[[#This Row],[Issue Qty]]</f>
        <v>3</v>
      </c>
      <c r="J602" s="5">
        <v>189.52</v>
      </c>
      <c r="K602" s="5">
        <f t="shared" si="29"/>
        <v>568.56000000000006</v>
      </c>
      <c r="L602" s="82">
        <v>0.05</v>
      </c>
      <c r="M602" s="9">
        <f t="shared" si="30"/>
        <v>28.428000000000004</v>
      </c>
      <c r="N602" s="5">
        <v>99</v>
      </c>
      <c r="O602" s="5"/>
      <c r="P602" s="5">
        <f t="shared" si="31"/>
        <v>695.98800000000006</v>
      </c>
      <c r="Q602" s="1" t="s">
        <v>980</v>
      </c>
      <c r="R602" s="1" t="s">
        <v>980</v>
      </c>
      <c r="S602" s="1" t="s">
        <v>1233</v>
      </c>
      <c r="T602" s="1" t="s">
        <v>2360</v>
      </c>
      <c r="U602" s="1"/>
      <c r="V602" s="1"/>
      <c r="W602" s="21"/>
      <c r="X602" s="8"/>
      <c r="Y602" s="8">
        <v>3</v>
      </c>
      <c r="Z602" s="22" t="s">
        <v>1125</v>
      </c>
      <c r="AA602" s="1"/>
      <c r="AB602" s="29"/>
      <c r="AC602" s="1"/>
      <c r="AD602" s="27"/>
    </row>
    <row r="603" spans="1:30" x14ac:dyDescent="0.25">
      <c r="A603" s="4"/>
      <c r="B603" s="4">
        <v>45841</v>
      </c>
      <c r="C603" s="6" t="s">
        <v>1991</v>
      </c>
      <c r="D603" s="26" t="s">
        <v>1890</v>
      </c>
      <c r="E603" s="26" t="s">
        <v>498</v>
      </c>
      <c r="F603" s="1" t="s">
        <v>1234</v>
      </c>
      <c r="G603" s="8">
        <v>1</v>
      </c>
      <c r="H603" s="8"/>
      <c r="I603" s="115">
        <f>Table223[[#This Row],[Qty]]-Table223[[#This Row],[Issue Qty]]</f>
        <v>1</v>
      </c>
      <c r="J603" s="5">
        <v>21000</v>
      </c>
      <c r="K603" s="5">
        <f t="shared" si="29"/>
        <v>21000</v>
      </c>
      <c r="L603" s="82">
        <v>0.05</v>
      </c>
      <c r="M603" s="9">
        <f t="shared" si="30"/>
        <v>1050</v>
      </c>
      <c r="N603" s="5">
        <v>0</v>
      </c>
      <c r="O603" s="5"/>
      <c r="P603" s="5">
        <f t="shared" si="31"/>
        <v>22050</v>
      </c>
      <c r="Q603" s="1" t="s">
        <v>907</v>
      </c>
      <c r="R603" s="1" t="s">
        <v>907</v>
      </c>
      <c r="S603" s="1" t="s">
        <v>444</v>
      </c>
      <c r="T603" s="1" t="s">
        <v>2361</v>
      </c>
      <c r="U603" s="1"/>
      <c r="V603" s="1"/>
      <c r="W603" s="21" t="s">
        <v>52</v>
      </c>
      <c r="X603" s="21" t="s">
        <v>53</v>
      </c>
      <c r="Y603" s="8">
        <v>1</v>
      </c>
      <c r="Z603" s="22" t="s">
        <v>936</v>
      </c>
      <c r="AA603" s="1"/>
      <c r="AB603" s="23"/>
      <c r="AC603" s="1"/>
      <c r="AD603" s="27"/>
    </row>
    <row r="604" spans="1:30" x14ac:dyDescent="0.25">
      <c r="A604" s="4"/>
      <c r="B604" s="4">
        <v>45841</v>
      </c>
      <c r="C604" s="1" t="s">
        <v>54</v>
      </c>
      <c r="D604" s="1" t="s">
        <v>1871</v>
      </c>
      <c r="E604" s="39" t="s">
        <v>1235</v>
      </c>
      <c r="F604" s="1" t="s">
        <v>1236</v>
      </c>
      <c r="G604" s="8">
        <v>4</v>
      </c>
      <c r="H604" s="8">
        <v>4</v>
      </c>
      <c r="I604" s="115">
        <f>Table223[[#This Row],[Qty]]-Table223[[#This Row],[Issue Qty]]</f>
        <v>0</v>
      </c>
      <c r="J604" s="5">
        <v>850</v>
      </c>
      <c r="K604" s="5">
        <f t="shared" si="29"/>
        <v>3400</v>
      </c>
      <c r="L604" s="82">
        <v>0.05</v>
      </c>
      <c r="M604" s="9">
        <f t="shared" si="30"/>
        <v>170</v>
      </c>
      <c r="N604" s="5">
        <v>0</v>
      </c>
      <c r="O604" s="5"/>
      <c r="P604" s="5">
        <f t="shared" si="31"/>
        <v>3570</v>
      </c>
      <c r="Q604" s="1" t="s">
        <v>907</v>
      </c>
      <c r="R604" s="1" t="s">
        <v>907</v>
      </c>
      <c r="S604" s="1" t="s">
        <v>444</v>
      </c>
      <c r="T604" s="1" t="s">
        <v>2361</v>
      </c>
      <c r="U604" s="1"/>
      <c r="V604" s="27"/>
      <c r="W604" s="21"/>
      <c r="X604" s="28"/>
      <c r="Y604" s="21">
        <v>4</v>
      </c>
      <c r="Z604" s="12" t="s">
        <v>3325</v>
      </c>
      <c r="AA604" s="27"/>
      <c r="AB604" s="29" t="s">
        <v>1237</v>
      </c>
      <c r="AC604" s="27"/>
      <c r="AD604" s="27"/>
    </row>
    <row r="605" spans="1:30" x14ac:dyDescent="0.25">
      <c r="A605" s="4"/>
      <c r="B605" s="4">
        <v>45841</v>
      </c>
      <c r="C605" s="1" t="s">
        <v>54</v>
      </c>
      <c r="D605" s="1" t="s">
        <v>2362</v>
      </c>
      <c r="E605" s="39" t="s">
        <v>1238</v>
      </c>
      <c r="F605" s="1" t="s">
        <v>1239</v>
      </c>
      <c r="G605" s="8">
        <v>2</v>
      </c>
      <c r="H605" s="8">
        <v>2</v>
      </c>
      <c r="I605" s="115">
        <f>Table223[[#This Row],[Qty]]-Table223[[#This Row],[Issue Qty]]</f>
        <v>0</v>
      </c>
      <c r="J605" s="5">
        <v>1595</v>
      </c>
      <c r="K605" s="5">
        <f t="shared" si="29"/>
        <v>3190</v>
      </c>
      <c r="L605" s="82">
        <v>0.05</v>
      </c>
      <c r="M605" s="9">
        <f t="shared" si="30"/>
        <v>159.5</v>
      </c>
      <c r="N605" s="5">
        <v>0</v>
      </c>
      <c r="O605" s="5"/>
      <c r="P605" s="5">
        <f t="shared" si="31"/>
        <v>3349.5</v>
      </c>
      <c r="Q605" s="1" t="s">
        <v>907</v>
      </c>
      <c r="R605" s="1" t="s">
        <v>907</v>
      </c>
      <c r="S605" s="1" t="s">
        <v>444</v>
      </c>
      <c r="T605" s="1" t="s">
        <v>2361</v>
      </c>
      <c r="U605" s="1"/>
      <c r="V605" s="27"/>
      <c r="W605" s="21"/>
      <c r="X605" s="28"/>
      <c r="Y605" s="21">
        <v>2</v>
      </c>
      <c r="Z605" s="12" t="s">
        <v>2918</v>
      </c>
      <c r="AA605" s="27"/>
      <c r="AB605" s="29"/>
      <c r="AC605" s="27"/>
      <c r="AD605" s="27"/>
    </row>
    <row r="606" spans="1:30" x14ac:dyDescent="0.25">
      <c r="A606" s="4"/>
      <c r="B606" s="4">
        <v>45841</v>
      </c>
      <c r="C606" s="1" t="s">
        <v>54</v>
      </c>
      <c r="D606" s="1" t="s">
        <v>2363</v>
      </c>
      <c r="E606" s="169" t="s">
        <v>1240</v>
      </c>
      <c r="F606" s="1" t="s">
        <v>1240</v>
      </c>
      <c r="G606" s="8">
        <v>2</v>
      </c>
      <c r="H606" s="8">
        <v>2</v>
      </c>
      <c r="I606" s="115">
        <f>Table223[[#This Row],[Qty]]-Table223[[#This Row],[Issue Qty]]</f>
        <v>0</v>
      </c>
      <c r="J606" s="5">
        <v>260</v>
      </c>
      <c r="K606" s="5">
        <f t="shared" si="29"/>
        <v>520</v>
      </c>
      <c r="L606" s="82">
        <v>0.18</v>
      </c>
      <c r="M606" s="9">
        <f t="shared" si="30"/>
        <v>93.6</v>
      </c>
      <c r="N606" s="5">
        <v>0</v>
      </c>
      <c r="O606" s="5"/>
      <c r="P606" s="5">
        <f t="shared" si="31"/>
        <v>613.6</v>
      </c>
      <c r="Q606" s="1" t="s">
        <v>726</v>
      </c>
      <c r="R606" s="1" t="s">
        <v>726</v>
      </c>
      <c r="S606" s="1" t="s">
        <v>829</v>
      </c>
      <c r="T606" s="1" t="s">
        <v>2364</v>
      </c>
      <c r="U606" s="1"/>
      <c r="V606" s="27"/>
      <c r="W606" s="21" t="s">
        <v>650</v>
      </c>
      <c r="X606" s="28"/>
      <c r="Y606" s="21">
        <v>2</v>
      </c>
      <c r="Z606" s="12" t="s">
        <v>481</v>
      </c>
      <c r="AA606" s="27"/>
      <c r="AB606" s="29" t="s">
        <v>1214</v>
      </c>
      <c r="AC606" s="27"/>
      <c r="AD606" s="27"/>
    </row>
    <row r="607" spans="1:30" x14ac:dyDescent="0.25">
      <c r="A607" s="4"/>
      <c r="B607" s="4">
        <v>45841</v>
      </c>
      <c r="C607" s="1" t="s">
        <v>54</v>
      </c>
      <c r="D607" s="1" t="s">
        <v>2365</v>
      </c>
      <c r="E607" s="169" t="s">
        <v>1241</v>
      </c>
      <c r="F607" s="1" t="s">
        <v>1241</v>
      </c>
      <c r="G607" s="8">
        <v>2</v>
      </c>
      <c r="H607" s="8">
        <v>2</v>
      </c>
      <c r="I607" s="115">
        <f>Table223[[#This Row],[Qty]]-Table223[[#This Row],[Issue Qty]]</f>
        <v>0</v>
      </c>
      <c r="J607" s="5">
        <v>260</v>
      </c>
      <c r="K607" s="5">
        <f t="shared" si="29"/>
        <v>520</v>
      </c>
      <c r="L607" s="82">
        <v>0.18</v>
      </c>
      <c r="M607" s="9">
        <f t="shared" si="30"/>
        <v>93.6</v>
      </c>
      <c r="N607" s="5">
        <v>0</v>
      </c>
      <c r="O607" s="5"/>
      <c r="P607" s="5">
        <f t="shared" si="31"/>
        <v>613.6</v>
      </c>
      <c r="Q607" s="1" t="s">
        <v>726</v>
      </c>
      <c r="R607" s="1" t="s">
        <v>726</v>
      </c>
      <c r="S607" s="1" t="s">
        <v>829</v>
      </c>
      <c r="T607" s="1" t="s">
        <v>2364</v>
      </c>
      <c r="U607" s="1"/>
      <c r="V607" s="2"/>
      <c r="W607" s="21" t="s">
        <v>650</v>
      </c>
      <c r="X607" s="21"/>
      <c r="Y607" s="21">
        <v>2</v>
      </c>
      <c r="Z607" s="12" t="s">
        <v>481</v>
      </c>
      <c r="AA607" s="2"/>
      <c r="AB607" s="29" t="s">
        <v>1217</v>
      </c>
      <c r="AC607" s="2"/>
      <c r="AD607" s="27"/>
    </row>
    <row r="608" spans="1:30" x14ac:dyDescent="0.25">
      <c r="A608" s="4"/>
      <c r="B608" s="4">
        <v>45841</v>
      </c>
      <c r="C608" s="1" t="s">
        <v>54</v>
      </c>
      <c r="D608" s="1" t="s">
        <v>2366</v>
      </c>
      <c r="E608" s="1" t="s">
        <v>1242</v>
      </c>
      <c r="F608" s="1" t="s">
        <v>1243</v>
      </c>
      <c r="G608" s="8">
        <v>5</v>
      </c>
      <c r="H608" s="8">
        <v>5</v>
      </c>
      <c r="I608" s="115">
        <f>Table223[[#This Row],[Qty]]-Table223[[#This Row],[Issue Qty]]</f>
        <v>0</v>
      </c>
      <c r="J608" s="5">
        <v>3486</v>
      </c>
      <c r="K608" s="5">
        <f t="shared" si="29"/>
        <v>17430</v>
      </c>
      <c r="L608" s="82">
        <v>0.18</v>
      </c>
      <c r="M608" s="9">
        <f t="shared" si="30"/>
        <v>3137.4</v>
      </c>
      <c r="N608" s="5">
        <v>0</v>
      </c>
      <c r="O608" s="5"/>
      <c r="P608" s="5">
        <f t="shared" si="31"/>
        <v>20567.400000000001</v>
      </c>
      <c r="Q608" s="1" t="s">
        <v>980</v>
      </c>
      <c r="R608" s="1" t="s">
        <v>980</v>
      </c>
      <c r="S608" s="1" t="s">
        <v>730</v>
      </c>
      <c r="T608" s="1" t="s">
        <v>2367</v>
      </c>
      <c r="U608" s="1"/>
      <c r="V608" s="27"/>
      <c r="W608" s="21"/>
      <c r="X608" s="28"/>
      <c r="Y608" s="21">
        <v>5</v>
      </c>
      <c r="Z608" s="12" t="s">
        <v>1125</v>
      </c>
      <c r="AA608" s="27"/>
      <c r="AB608" s="29"/>
      <c r="AC608" s="27"/>
      <c r="AD608" s="27"/>
    </row>
    <row r="609" spans="1:30" x14ac:dyDescent="0.25">
      <c r="A609" s="4"/>
      <c r="B609" s="4">
        <v>45841</v>
      </c>
      <c r="C609" s="1" t="s">
        <v>54</v>
      </c>
      <c r="D609" s="1" t="s">
        <v>2368</v>
      </c>
      <c r="E609" s="1" t="s">
        <v>1244</v>
      </c>
      <c r="F609" s="1" t="s">
        <v>1245</v>
      </c>
      <c r="G609" s="8">
        <v>5</v>
      </c>
      <c r="H609" s="8">
        <v>5</v>
      </c>
      <c r="I609" s="115">
        <f>Table223[[#This Row],[Qty]]-Table223[[#This Row],[Issue Qty]]</f>
        <v>0</v>
      </c>
      <c r="J609" s="5">
        <v>2324</v>
      </c>
      <c r="K609" s="5">
        <f t="shared" si="29"/>
        <v>11620</v>
      </c>
      <c r="L609" s="82">
        <v>0.18</v>
      </c>
      <c r="M609" s="9">
        <f t="shared" si="30"/>
        <v>2091.6</v>
      </c>
      <c r="N609" s="5">
        <v>0</v>
      </c>
      <c r="O609" s="5"/>
      <c r="P609" s="5">
        <f t="shared" si="31"/>
        <v>13711.6</v>
      </c>
      <c r="Q609" s="1" t="s">
        <v>980</v>
      </c>
      <c r="R609" s="1" t="s">
        <v>980</v>
      </c>
      <c r="S609" s="1" t="s">
        <v>730</v>
      </c>
      <c r="T609" s="1" t="s">
        <v>2367</v>
      </c>
      <c r="U609" s="1"/>
      <c r="V609" s="27"/>
      <c r="W609" s="21"/>
      <c r="X609" s="28"/>
      <c r="Y609" s="21">
        <v>5</v>
      </c>
      <c r="Z609" s="12" t="s">
        <v>1125</v>
      </c>
      <c r="AA609" s="27"/>
      <c r="AB609" s="29"/>
      <c r="AC609" s="27"/>
      <c r="AD609" s="27"/>
    </row>
    <row r="610" spans="1:30" x14ac:dyDescent="0.25">
      <c r="A610" s="4"/>
      <c r="B610" s="4">
        <v>45841</v>
      </c>
      <c r="C610" s="1" t="s">
        <v>54</v>
      </c>
      <c r="D610" s="1" t="s">
        <v>2369</v>
      </c>
      <c r="E610" s="1" t="s">
        <v>1246</v>
      </c>
      <c r="F610" s="1" t="s">
        <v>1247</v>
      </c>
      <c r="G610" s="8">
        <v>5</v>
      </c>
      <c r="H610" s="8">
        <v>5</v>
      </c>
      <c r="I610" s="115">
        <f>Table223[[#This Row],[Qty]]-Table223[[#This Row],[Issue Qty]]</f>
        <v>0</v>
      </c>
      <c r="J610" s="5">
        <v>4648</v>
      </c>
      <c r="K610" s="5">
        <f t="shared" si="29"/>
        <v>23240</v>
      </c>
      <c r="L610" s="82">
        <v>0.18</v>
      </c>
      <c r="M610" s="9">
        <f t="shared" si="30"/>
        <v>4183.2</v>
      </c>
      <c r="N610" s="5">
        <v>0</v>
      </c>
      <c r="O610" s="5"/>
      <c r="P610" s="5">
        <f t="shared" si="31"/>
        <v>27423.200000000001</v>
      </c>
      <c r="Q610" s="1" t="s">
        <v>980</v>
      </c>
      <c r="R610" s="1" t="s">
        <v>980</v>
      </c>
      <c r="S610" s="1" t="s">
        <v>730</v>
      </c>
      <c r="T610" s="1" t="s">
        <v>2367</v>
      </c>
      <c r="U610" s="1"/>
      <c r="V610" s="27"/>
      <c r="W610" s="21"/>
      <c r="X610" s="28"/>
      <c r="Y610" s="21">
        <v>5</v>
      </c>
      <c r="Z610" s="12" t="s">
        <v>1125</v>
      </c>
      <c r="AA610" s="27"/>
      <c r="AB610" s="29"/>
      <c r="AC610" s="27"/>
      <c r="AD610" s="27"/>
    </row>
    <row r="611" spans="1:30" x14ac:dyDescent="0.25">
      <c r="A611" s="4"/>
      <c r="B611" s="4">
        <v>45841</v>
      </c>
      <c r="C611" s="1" t="s">
        <v>54</v>
      </c>
      <c r="D611" s="1" t="s">
        <v>37</v>
      </c>
      <c r="E611" s="1" t="s">
        <v>1248</v>
      </c>
      <c r="F611" s="1" t="s">
        <v>1248</v>
      </c>
      <c r="G611" s="8">
        <v>2</v>
      </c>
      <c r="H611" s="8"/>
      <c r="I611" s="115">
        <f>Table223[[#This Row],[Qty]]-Table223[[#This Row],[Issue Qty]]</f>
        <v>2</v>
      </c>
      <c r="J611" s="5">
        <v>60</v>
      </c>
      <c r="K611" s="5">
        <f t="shared" si="29"/>
        <v>120</v>
      </c>
      <c r="L611" s="82">
        <v>0.05</v>
      </c>
      <c r="M611" s="9">
        <f t="shared" si="30"/>
        <v>6</v>
      </c>
      <c r="N611" s="5">
        <v>0</v>
      </c>
      <c r="O611" s="5"/>
      <c r="P611" s="5">
        <f t="shared" si="31"/>
        <v>126</v>
      </c>
      <c r="Q611" s="1" t="s">
        <v>907</v>
      </c>
      <c r="R611" s="1" t="s">
        <v>907</v>
      </c>
      <c r="S611" s="1" t="s">
        <v>444</v>
      </c>
      <c r="T611" s="1" t="s">
        <v>2361</v>
      </c>
      <c r="U611" s="1"/>
      <c r="V611" s="27"/>
      <c r="W611" s="21"/>
      <c r="X611" s="28"/>
      <c r="Y611" s="21">
        <v>2</v>
      </c>
      <c r="Z611" s="12" t="s">
        <v>936</v>
      </c>
      <c r="AA611" s="27"/>
      <c r="AB611" s="29"/>
      <c r="AC611" s="27"/>
      <c r="AD611" s="27"/>
    </row>
    <row r="612" spans="1:30" x14ac:dyDescent="0.25">
      <c r="A612" s="4"/>
      <c r="B612" s="4">
        <v>45841</v>
      </c>
      <c r="C612" s="1" t="s">
        <v>54</v>
      </c>
      <c r="D612" s="1" t="s">
        <v>2166</v>
      </c>
      <c r="E612" s="1" t="s">
        <v>957</v>
      </c>
      <c r="F612" s="1" t="s">
        <v>1249</v>
      </c>
      <c r="G612" s="8">
        <v>1</v>
      </c>
      <c r="H612" s="8">
        <v>1</v>
      </c>
      <c r="I612" s="115">
        <f>Table223[[#This Row],[Qty]]-Table223[[#This Row],[Issue Qty]]</f>
        <v>0</v>
      </c>
      <c r="J612" s="5">
        <v>283</v>
      </c>
      <c r="K612" s="5">
        <f t="shared" si="29"/>
        <v>283</v>
      </c>
      <c r="L612" s="82">
        <v>0.05</v>
      </c>
      <c r="M612" s="9">
        <f t="shared" si="30"/>
        <v>14.15</v>
      </c>
      <c r="N612" s="5">
        <v>0</v>
      </c>
      <c r="O612" s="5"/>
      <c r="P612" s="5">
        <f t="shared" si="31"/>
        <v>297.14999999999998</v>
      </c>
      <c r="Q612" s="1" t="s">
        <v>907</v>
      </c>
      <c r="R612" s="1" t="s">
        <v>907</v>
      </c>
      <c r="S612" s="1" t="s">
        <v>444</v>
      </c>
      <c r="T612" s="1" t="s">
        <v>2361</v>
      </c>
      <c r="U612" s="1"/>
      <c r="V612" s="27"/>
      <c r="W612" s="21"/>
      <c r="X612" s="28"/>
      <c r="Y612" s="21">
        <v>1</v>
      </c>
      <c r="Z612" s="12" t="s">
        <v>936</v>
      </c>
      <c r="AA612" s="27"/>
      <c r="AB612" s="29"/>
      <c r="AC612" s="27"/>
      <c r="AD612" s="27"/>
    </row>
    <row r="613" spans="1:30" x14ac:dyDescent="0.25">
      <c r="A613" s="4"/>
      <c r="B613" s="4">
        <v>45841</v>
      </c>
      <c r="C613" s="1" t="s">
        <v>1989</v>
      </c>
      <c r="D613" s="1" t="s">
        <v>1898</v>
      </c>
      <c r="E613" s="1" t="s">
        <v>524</v>
      </c>
      <c r="F613" s="1" t="s">
        <v>1250</v>
      </c>
      <c r="G613" s="8">
        <v>1</v>
      </c>
      <c r="H613" s="8"/>
      <c r="I613" s="115">
        <f>Table223[[#This Row],[Qty]]-Table223[[#This Row],[Issue Qty]]</f>
        <v>1</v>
      </c>
      <c r="J613" s="5">
        <v>12000</v>
      </c>
      <c r="K613" s="5">
        <f t="shared" si="29"/>
        <v>12000</v>
      </c>
      <c r="L613" s="82">
        <v>0.18</v>
      </c>
      <c r="M613" s="9">
        <f t="shared" si="30"/>
        <v>2160</v>
      </c>
      <c r="N613" s="5">
        <v>0</v>
      </c>
      <c r="O613" s="5"/>
      <c r="P613" s="5">
        <f t="shared" si="31"/>
        <v>14160</v>
      </c>
      <c r="Q613" s="1" t="s">
        <v>331</v>
      </c>
      <c r="R613" s="1" t="s">
        <v>331</v>
      </c>
      <c r="S613" s="1" t="s">
        <v>444</v>
      </c>
      <c r="T613" s="1" t="s">
        <v>2370</v>
      </c>
      <c r="U613" s="1"/>
      <c r="V613" s="27"/>
      <c r="W613" s="21" t="s">
        <v>64</v>
      </c>
      <c r="X613" s="21" t="s">
        <v>523</v>
      </c>
      <c r="Y613" s="21"/>
      <c r="Z613" s="59"/>
      <c r="AA613" s="27"/>
      <c r="AB613" s="29"/>
      <c r="AC613" s="27"/>
      <c r="AD613" s="27"/>
    </row>
    <row r="614" spans="1:30" x14ac:dyDescent="0.25">
      <c r="A614" s="4"/>
      <c r="B614" s="4">
        <v>45841</v>
      </c>
      <c r="C614" s="1" t="s">
        <v>1989</v>
      </c>
      <c r="D614" s="1" t="s">
        <v>1897</v>
      </c>
      <c r="E614" s="1" t="s">
        <v>521</v>
      </c>
      <c r="F614" s="1" t="s">
        <v>521</v>
      </c>
      <c r="G614" s="8">
        <v>1</v>
      </c>
      <c r="H614" s="8"/>
      <c r="I614" s="115">
        <f>Table223[[#This Row],[Qty]]-Table223[[#This Row],[Issue Qty]]</f>
        <v>1</v>
      </c>
      <c r="J614" s="5">
        <v>12000</v>
      </c>
      <c r="K614" s="5">
        <f t="shared" si="29"/>
        <v>12000</v>
      </c>
      <c r="L614" s="82">
        <v>0.18</v>
      </c>
      <c r="M614" s="9">
        <f t="shared" si="30"/>
        <v>2160</v>
      </c>
      <c r="N614" s="5">
        <v>0</v>
      </c>
      <c r="O614" s="5"/>
      <c r="P614" s="5">
        <f t="shared" si="31"/>
        <v>14160</v>
      </c>
      <c r="Q614" s="1" t="s">
        <v>331</v>
      </c>
      <c r="R614" s="1" t="s">
        <v>331</v>
      </c>
      <c r="S614" s="1" t="s">
        <v>444</v>
      </c>
      <c r="T614" s="1" t="s">
        <v>2370</v>
      </c>
      <c r="U614" s="1"/>
      <c r="V614" s="27"/>
      <c r="W614" s="21" t="s">
        <v>64</v>
      </c>
      <c r="X614" s="21" t="s">
        <v>523</v>
      </c>
      <c r="Y614" s="21"/>
      <c r="Z614" s="59"/>
      <c r="AA614" s="27"/>
      <c r="AB614" s="29"/>
      <c r="AC614" s="27"/>
      <c r="AD614" s="27"/>
    </row>
    <row r="615" spans="1:30" x14ac:dyDescent="0.25">
      <c r="A615" s="4"/>
      <c r="B615" s="4">
        <v>45842</v>
      </c>
      <c r="C615" s="1" t="s">
        <v>1989</v>
      </c>
      <c r="D615" s="1" t="s">
        <v>2371</v>
      </c>
      <c r="E615" s="1" t="s">
        <v>1251</v>
      </c>
      <c r="F615" s="1" t="s">
        <v>1252</v>
      </c>
      <c r="G615" s="8">
        <v>2</v>
      </c>
      <c r="H615" s="8"/>
      <c r="I615" s="115">
        <f>Table223[[#This Row],[Qty]]-Table223[[#This Row],[Issue Qty]]</f>
        <v>2</v>
      </c>
      <c r="J615" s="5">
        <v>39600</v>
      </c>
      <c r="K615" s="5">
        <f t="shared" si="29"/>
        <v>79200</v>
      </c>
      <c r="L615" s="82">
        <v>0.18</v>
      </c>
      <c r="M615" s="9">
        <f t="shared" si="30"/>
        <v>14256</v>
      </c>
      <c r="N615" s="5">
        <v>0</v>
      </c>
      <c r="O615" s="5"/>
      <c r="P615" s="5">
        <f t="shared" si="31"/>
        <v>93456</v>
      </c>
      <c r="Q615" s="1" t="s">
        <v>1230</v>
      </c>
      <c r="R615" s="1" t="s">
        <v>1230</v>
      </c>
      <c r="S615" s="1" t="s">
        <v>896</v>
      </c>
      <c r="T615" s="1" t="s">
        <v>2372</v>
      </c>
      <c r="U615" s="1"/>
      <c r="V615" s="2"/>
      <c r="W615" s="21" t="s">
        <v>3365</v>
      </c>
      <c r="X615" s="21"/>
      <c r="Y615" s="21"/>
      <c r="Z615" s="12"/>
      <c r="AA615" s="2"/>
      <c r="AB615" s="29" t="s">
        <v>1253</v>
      </c>
      <c r="AC615" s="2"/>
      <c r="AD615" s="27"/>
    </row>
    <row r="616" spans="1:30" x14ac:dyDescent="0.25">
      <c r="A616" s="4"/>
      <c r="B616" s="4">
        <v>45842</v>
      </c>
      <c r="C616" s="1" t="s">
        <v>1989</v>
      </c>
      <c r="D616" s="1" t="s">
        <v>2371</v>
      </c>
      <c r="E616" s="1" t="s">
        <v>1251</v>
      </c>
      <c r="F616" s="1" t="s">
        <v>1252</v>
      </c>
      <c r="G616" s="8">
        <v>2</v>
      </c>
      <c r="H616" s="8"/>
      <c r="I616" s="115">
        <f>Table223[[#This Row],[Qty]]-Table223[[#This Row],[Issue Qty]]</f>
        <v>2</v>
      </c>
      <c r="J616" s="5">
        <v>39600</v>
      </c>
      <c r="K616" s="5">
        <f t="shared" si="29"/>
        <v>79200</v>
      </c>
      <c r="L616" s="82">
        <v>0.18</v>
      </c>
      <c r="M616" s="9">
        <f t="shared" si="30"/>
        <v>14256</v>
      </c>
      <c r="N616" s="5">
        <v>0</v>
      </c>
      <c r="O616" s="5"/>
      <c r="P616" s="5">
        <f t="shared" si="31"/>
        <v>93456</v>
      </c>
      <c r="Q616" s="1" t="s">
        <v>1230</v>
      </c>
      <c r="R616" s="1" t="s">
        <v>1230</v>
      </c>
      <c r="S616" s="1" t="s">
        <v>896</v>
      </c>
      <c r="T616" s="1" t="s">
        <v>2372</v>
      </c>
      <c r="U616" s="1"/>
      <c r="V616" s="2"/>
      <c r="W616" s="21" t="s">
        <v>3365</v>
      </c>
      <c r="X616" s="21"/>
      <c r="Y616" s="21"/>
      <c r="Z616" s="12"/>
      <c r="AA616" s="2"/>
      <c r="AB616" s="29" t="s">
        <v>1253</v>
      </c>
      <c r="AC616" s="2"/>
      <c r="AD616" s="27"/>
    </row>
    <row r="617" spans="1:30" x14ac:dyDescent="0.25">
      <c r="A617" s="4"/>
      <c r="B617" s="4">
        <v>45842</v>
      </c>
      <c r="C617" s="1" t="s">
        <v>1989</v>
      </c>
      <c r="D617" s="1" t="s">
        <v>2373</v>
      </c>
      <c r="E617" s="1" t="s">
        <v>1254</v>
      </c>
      <c r="F617" s="1" t="s">
        <v>1254</v>
      </c>
      <c r="G617" s="8">
        <v>7</v>
      </c>
      <c r="H617" s="8"/>
      <c r="I617" s="115">
        <f>Table223[[#This Row],[Qty]]-Table223[[#This Row],[Issue Qty]]</f>
        <v>7</v>
      </c>
      <c r="J617" s="5">
        <v>171.42</v>
      </c>
      <c r="K617" s="5">
        <f t="shared" si="29"/>
        <v>1199.9399999999998</v>
      </c>
      <c r="L617" s="82">
        <v>0.05</v>
      </c>
      <c r="M617" s="9">
        <f t="shared" si="30"/>
        <v>59.996999999999993</v>
      </c>
      <c r="N617" s="5">
        <v>177.06</v>
      </c>
      <c r="O617" s="5"/>
      <c r="P617" s="5">
        <f t="shared" si="31"/>
        <v>1436.9969999999998</v>
      </c>
      <c r="Q617" s="1" t="s">
        <v>980</v>
      </c>
      <c r="R617" s="1" t="s">
        <v>980</v>
      </c>
      <c r="S617" s="1" t="s">
        <v>1255</v>
      </c>
      <c r="T617" s="1" t="s">
        <v>2374</v>
      </c>
      <c r="U617" s="1"/>
      <c r="V617" s="1"/>
      <c r="W617" s="21"/>
      <c r="X617" s="8"/>
      <c r="Y617" s="8">
        <v>7</v>
      </c>
      <c r="Z617" s="22" t="s">
        <v>1125</v>
      </c>
      <c r="AA617" s="1"/>
      <c r="AB617" s="29" t="s">
        <v>1085</v>
      </c>
      <c r="AC617" s="1"/>
      <c r="AD617" s="27"/>
    </row>
    <row r="618" spans="1:30" ht="30" x14ac:dyDescent="0.25">
      <c r="A618" s="4"/>
      <c r="B618" s="4">
        <v>45842</v>
      </c>
      <c r="C618" s="1" t="s">
        <v>2003</v>
      </c>
      <c r="D618" s="1" t="s">
        <v>2234</v>
      </c>
      <c r="E618" s="1" t="s">
        <v>1054</v>
      </c>
      <c r="F618" s="1" t="s">
        <v>1054</v>
      </c>
      <c r="G618" s="8">
        <v>1</v>
      </c>
      <c r="H618" s="8"/>
      <c r="I618" s="115">
        <f>Table223[[#This Row],[Qty]]-Table223[[#This Row],[Issue Qty]]</f>
        <v>1</v>
      </c>
      <c r="J618" s="5">
        <v>1038.1400000000001</v>
      </c>
      <c r="K618" s="5">
        <f t="shared" si="29"/>
        <v>1038.1400000000001</v>
      </c>
      <c r="L618" s="82">
        <v>0.18</v>
      </c>
      <c r="M618" s="9">
        <f t="shared" si="30"/>
        <v>186.86520000000002</v>
      </c>
      <c r="N618" s="5">
        <v>210.84</v>
      </c>
      <c r="O618" s="5"/>
      <c r="P618" s="5">
        <f t="shared" si="31"/>
        <v>1435.8452</v>
      </c>
      <c r="Q618" s="1" t="s">
        <v>1226</v>
      </c>
      <c r="R618" s="1" t="s">
        <v>1226</v>
      </c>
      <c r="S618" s="1" t="s">
        <v>1256</v>
      </c>
      <c r="T618" s="1" t="s">
        <v>2375</v>
      </c>
      <c r="U618" s="1"/>
      <c r="V618" s="2"/>
      <c r="W618" s="21" t="s">
        <v>72</v>
      </c>
      <c r="X618" s="21"/>
      <c r="Y618" s="21">
        <v>1</v>
      </c>
      <c r="Z618" s="12" t="s">
        <v>1011</v>
      </c>
      <c r="AA618" s="2"/>
      <c r="AB618" s="29" t="s">
        <v>1257</v>
      </c>
      <c r="AC618" s="2"/>
      <c r="AD618" s="27"/>
    </row>
    <row r="619" spans="1:30" x14ac:dyDescent="0.25">
      <c r="A619" s="4"/>
      <c r="B619" s="4">
        <v>45842</v>
      </c>
      <c r="C619" s="1" t="s">
        <v>1993</v>
      </c>
      <c r="D619" s="26" t="s">
        <v>2376</v>
      </c>
      <c r="E619" s="26" t="s">
        <v>1258</v>
      </c>
      <c r="F619" s="1" t="s">
        <v>1259</v>
      </c>
      <c r="G619" s="8">
        <v>1</v>
      </c>
      <c r="H619" s="8"/>
      <c r="I619" s="115">
        <f>Table223[[#This Row],[Qty]]-Table223[[#This Row],[Issue Qty]]</f>
        <v>1</v>
      </c>
      <c r="J619" s="5">
        <f>25.42*20</f>
        <v>508.40000000000003</v>
      </c>
      <c r="K619" s="5">
        <f t="shared" si="29"/>
        <v>508.40000000000003</v>
      </c>
      <c r="L619" s="82">
        <v>0.18</v>
      </c>
      <c r="M619" s="9">
        <f t="shared" si="30"/>
        <v>91.512</v>
      </c>
      <c r="N619" s="5">
        <v>0</v>
      </c>
      <c r="O619" s="5"/>
      <c r="P619" s="5">
        <f t="shared" si="31"/>
        <v>599.91200000000003</v>
      </c>
      <c r="Q619" s="1" t="s">
        <v>980</v>
      </c>
      <c r="R619" s="1" t="s">
        <v>980</v>
      </c>
      <c r="S619" s="1" t="s">
        <v>1260</v>
      </c>
      <c r="T619" s="1" t="s">
        <v>2377</v>
      </c>
      <c r="U619" s="1"/>
      <c r="V619" s="1"/>
      <c r="W619" s="21"/>
      <c r="X619" s="8"/>
      <c r="Y619" s="8">
        <v>1</v>
      </c>
      <c r="Z619" s="22" t="s">
        <v>1125</v>
      </c>
      <c r="AA619" s="1"/>
      <c r="AB619" s="29"/>
      <c r="AC619" s="1"/>
      <c r="AD619" s="27"/>
    </row>
    <row r="620" spans="1:30" x14ac:dyDescent="0.25">
      <c r="A620" s="4"/>
      <c r="B620" s="4">
        <v>45842</v>
      </c>
      <c r="C620" s="1" t="s">
        <v>1993</v>
      </c>
      <c r="D620" s="26" t="s">
        <v>2378</v>
      </c>
      <c r="E620" s="26" t="s">
        <v>1261</v>
      </c>
      <c r="F620" s="1" t="s">
        <v>1262</v>
      </c>
      <c r="G620" s="8">
        <v>1</v>
      </c>
      <c r="H620" s="8"/>
      <c r="I620" s="115">
        <f>Table223[[#This Row],[Qty]]-Table223[[#This Row],[Issue Qty]]</f>
        <v>1</v>
      </c>
      <c r="J620" s="5">
        <f>29.66*20</f>
        <v>593.20000000000005</v>
      </c>
      <c r="K620" s="5">
        <f t="shared" si="29"/>
        <v>593.20000000000005</v>
      </c>
      <c r="L620" s="82">
        <v>0.18</v>
      </c>
      <c r="M620" s="9">
        <f t="shared" si="30"/>
        <v>106.77600000000001</v>
      </c>
      <c r="N620" s="5">
        <v>168.64</v>
      </c>
      <c r="O620" s="5"/>
      <c r="P620" s="5">
        <f t="shared" si="31"/>
        <v>868.6160000000001</v>
      </c>
      <c r="Q620" s="1" t="s">
        <v>980</v>
      </c>
      <c r="R620" s="1" t="s">
        <v>980</v>
      </c>
      <c r="S620" s="1" t="s">
        <v>1260</v>
      </c>
      <c r="T620" s="1" t="s">
        <v>2377</v>
      </c>
      <c r="U620" s="1"/>
      <c r="V620" s="1"/>
      <c r="W620" s="21"/>
      <c r="X620" s="8"/>
      <c r="Y620" s="8">
        <v>1</v>
      </c>
      <c r="Z620" s="22" t="s">
        <v>1125</v>
      </c>
      <c r="AA620" s="1"/>
      <c r="AB620" s="29"/>
      <c r="AC620" s="1"/>
      <c r="AD620" s="27"/>
    </row>
    <row r="621" spans="1:30" x14ac:dyDescent="0.25">
      <c r="A621" s="4"/>
      <c r="B621" s="4">
        <v>45843</v>
      </c>
      <c r="C621" s="1" t="s">
        <v>54</v>
      </c>
      <c r="D621" s="1" t="s">
        <v>2379</v>
      </c>
      <c r="E621" s="1" t="s">
        <v>1263</v>
      </c>
      <c r="F621" s="1" t="s">
        <v>1263</v>
      </c>
      <c r="G621" s="8">
        <v>2</v>
      </c>
      <c r="H621" s="8">
        <v>2</v>
      </c>
      <c r="I621" s="115">
        <f>Table223[[#This Row],[Qty]]-Table223[[#This Row],[Issue Qty]]</f>
        <v>0</v>
      </c>
      <c r="J621" s="5">
        <v>1900</v>
      </c>
      <c r="K621" s="5">
        <f t="shared" si="29"/>
        <v>3800</v>
      </c>
      <c r="L621" s="82">
        <v>0.18</v>
      </c>
      <c r="M621" s="9">
        <f t="shared" si="30"/>
        <v>684</v>
      </c>
      <c r="N621" s="5">
        <v>0</v>
      </c>
      <c r="O621" s="5"/>
      <c r="P621" s="5">
        <f t="shared" si="31"/>
        <v>4484</v>
      </c>
      <c r="Q621" s="1" t="s">
        <v>907</v>
      </c>
      <c r="R621" s="1" t="s">
        <v>907</v>
      </c>
      <c r="S621" s="1" t="s">
        <v>820</v>
      </c>
      <c r="T621" s="1" t="s">
        <v>2380</v>
      </c>
      <c r="U621" s="1"/>
      <c r="V621" s="2"/>
      <c r="W621" s="21"/>
      <c r="X621" s="21"/>
      <c r="Y621" s="21">
        <v>2</v>
      </c>
      <c r="Z621" s="12" t="s">
        <v>2923</v>
      </c>
      <c r="AA621" s="2"/>
      <c r="AB621" s="29"/>
      <c r="AC621" s="2"/>
      <c r="AD621" s="27"/>
    </row>
    <row r="622" spans="1:30" x14ac:dyDescent="0.25">
      <c r="A622" s="4"/>
      <c r="B622" s="4">
        <v>45843</v>
      </c>
      <c r="C622" s="1" t="s">
        <v>54</v>
      </c>
      <c r="D622" s="1" t="s">
        <v>2381</v>
      </c>
      <c r="E622" s="169" t="s">
        <v>1264</v>
      </c>
      <c r="F622" s="1" t="s">
        <v>1265</v>
      </c>
      <c r="G622" s="8">
        <v>1</v>
      </c>
      <c r="H622" s="8">
        <v>1</v>
      </c>
      <c r="I622" s="115">
        <f>Table223[[#This Row],[Qty]]-Table223[[#This Row],[Issue Qty]]</f>
        <v>0</v>
      </c>
      <c r="J622" s="5">
        <v>9684</v>
      </c>
      <c r="K622" s="5">
        <f t="shared" si="29"/>
        <v>9684</v>
      </c>
      <c r="L622" s="82">
        <v>0.18</v>
      </c>
      <c r="M622" s="9">
        <f t="shared" si="30"/>
        <v>1743.12</v>
      </c>
      <c r="N622" s="5">
        <v>0</v>
      </c>
      <c r="O622" s="5"/>
      <c r="P622" s="5">
        <f t="shared" si="31"/>
        <v>11427.119999999999</v>
      </c>
      <c r="Q622" s="1" t="s">
        <v>1230</v>
      </c>
      <c r="R622" s="1" t="s">
        <v>1230</v>
      </c>
      <c r="S622" s="1" t="s">
        <v>730</v>
      </c>
      <c r="T622" s="1" t="s">
        <v>2382</v>
      </c>
      <c r="U622" s="1"/>
      <c r="V622" s="27"/>
      <c r="W622" s="21" t="s">
        <v>3195</v>
      </c>
      <c r="X622" s="28"/>
      <c r="Y622" s="21">
        <v>1</v>
      </c>
      <c r="Z622" s="12" t="s">
        <v>1266</v>
      </c>
      <c r="AA622" s="27"/>
      <c r="AB622" s="29"/>
      <c r="AC622" s="27"/>
      <c r="AD622" s="27"/>
    </row>
    <row r="623" spans="1:30" x14ac:dyDescent="0.25">
      <c r="A623" s="4"/>
      <c r="B623" s="4">
        <v>45843</v>
      </c>
      <c r="C623" s="1" t="s">
        <v>54</v>
      </c>
      <c r="D623" s="1" t="s">
        <v>2164</v>
      </c>
      <c r="E623" s="1" t="s">
        <v>954</v>
      </c>
      <c r="F623" s="1" t="s">
        <v>1267</v>
      </c>
      <c r="G623" s="8">
        <v>2</v>
      </c>
      <c r="H623" s="8">
        <v>2</v>
      </c>
      <c r="I623" s="115">
        <f>Table223[[#This Row],[Qty]]-Table223[[#This Row],[Issue Qty]]</f>
        <v>0</v>
      </c>
      <c r="J623" s="5">
        <v>850</v>
      </c>
      <c r="K623" s="5">
        <f t="shared" si="29"/>
        <v>1700</v>
      </c>
      <c r="L623" s="82">
        <v>0.18</v>
      </c>
      <c r="M623" s="9">
        <f t="shared" si="30"/>
        <v>306</v>
      </c>
      <c r="N623" s="5">
        <v>590</v>
      </c>
      <c r="O623" s="5"/>
      <c r="P623" s="5">
        <f t="shared" si="31"/>
        <v>2596</v>
      </c>
      <c r="Q623" s="1" t="s">
        <v>907</v>
      </c>
      <c r="R623" s="1" t="s">
        <v>907</v>
      </c>
      <c r="S623" s="1" t="s">
        <v>956</v>
      </c>
      <c r="T623" s="1" t="s">
        <v>2383</v>
      </c>
      <c r="U623" s="1"/>
      <c r="V623" s="27"/>
      <c r="W623" s="21"/>
      <c r="X623" s="28"/>
      <c r="Y623" s="21">
        <v>2</v>
      </c>
      <c r="Z623" s="12" t="s">
        <v>2919</v>
      </c>
      <c r="AA623" s="27"/>
      <c r="AB623" s="29"/>
      <c r="AC623" s="27"/>
      <c r="AD623" s="27"/>
    </row>
    <row r="624" spans="1:30" s="24" customFormat="1" x14ac:dyDescent="0.25">
      <c r="A624" s="4"/>
      <c r="B624" s="4">
        <v>45843</v>
      </c>
      <c r="C624" s="1" t="s">
        <v>2003</v>
      </c>
      <c r="D624" s="1" t="s">
        <v>2384</v>
      </c>
      <c r="E624" s="169" t="s">
        <v>1268</v>
      </c>
      <c r="F624" s="1" t="s">
        <v>1268</v>
      </c>
      <c r="G624" s="8">
        <v>1</v>
      </c>
      <c r="H624" s="8">
        <v>1</v>
      </c>
      <c r="I624" s="115">
        <f>Table223[[#This Row],[Qty]]-Table223[[#This Row],[Issue Qty]]</f>
        <v>0</v>
      </c>
      <c r="J624" s="5">
        <v>720</v>
      </c>
      <c r="K624" s="5">
        <f t="shared" si="29"/>
        <v>720</v>
      </c>
      <c r="L624" s="82">
        <v>0.18</v>
      </c>
      <c r="M624" s="9">
        <f t="shared" si="30"/>
        <v>129.6</v>
      </c>
      <c r="N624" s="5">
        <v>0</v>
      </c>
      <c r="O624" s="5"/>
      <c r="P624" s="5">
        <f t="shared" si="31"/>
        <v>849.6</v>
      </c>
      <c r="Q624" s="1" t="s">
        <v>1230</v>
      </c>
      <c r="R624" s="1" t="s">
        <v>1230</v>
      </c>
      <c r="S624" s="1" t="s">
        <v>1269</v>
      </c>
      <c r="T624" s="1" t="s">
        <v>2385</v>
      </c>
      <c r="U624" s="1"/>
      <c r="V624" s="27"/>
      <c r="W624" s="21"/>
      <c r="X624" s="28"/>
      <c r="Y624" s="21">
        <v>1</v>
      </c>
      <c r="Z624" s="12" t="s">
        <v>1266</v>
      </c>
      <c r="AA624" s="27"/>
      <c r="AB624" s="29"/>
      <c r="AC624" s="27"/>
      <c r="AD624" s="2"/>
    </row>
    <row r="625" spans="1:30" s="24" customFormat="1" x14ac:dyDescent="0.25">
      <c r="A625" s="4"/>
      <c r="B625" s="4">
        <v>45843</v>
      </c>
      <c r="C625" s="1" t="s">
        <v>2003</v>
      </c>
      <c r="D625" s="1" t="s">
        <v>2386</v>
      </c>
      <c r="E625" s="169" t="s">
        <v>1270</v>
      </c>
      <c r="F625" s="1" t="s">
        <v>1270</v>
      </c>
      <c r="G625" s="8">
        <v>1</v>
      </c>
      <c r="H625" s="8">
        <v>1</v>
      </c>
      <c r="I625" s="115">
        <f>Table223[[#This Row],[Qty]]-Table223[[#This Row],[Issue Qty]]</f>
        <v>0</v>
      </c>
      <c r="J625" s="5">
        <v>600</v>
      </c>
      <c r="K625" s="5">
        <f t="shared" ref="K625:K688" si="32">G625*J625</f>
        <v>600</v>
      </c>
      <c r="L625" s="82">
        <v>0.18</v>
      </c>
      <c r="M625" s="9">
        <f t="shared" ref="M625:M688" si="33">K625*L625</f>
        <v>108</v>
      </c>
      <c r="N625" s="5">
        <v>177.4</v>
      </c>
      <c r="O625" s="5"/>
      <c r="P625" s="5">
        <f t="shared" ref="P625:P688" si="34">K625+M625+N625+O625</f>
        <v>885.4</v>
      </c>
      <c r="Q625" s="1" t="s">
        <v>1230</v>
      </c>
      <c r="R625" s="1" t="s">
        <v>1230</v>
      </c>
      <c r="S625" s="1" t="s">
        <v>1269</v>
      </c>
      <c r="T625" s="1" t="s">
        <v>2385</v>
      </c>
      <c r="U625" s="1"/>
      <c r="V625" s="27"/>
      <c r="W625" s="21"/>
      <c r="X625" s="28"/>
      <c r="Y625" s="21">
        <v>1</v>
      </c>
      <c r="Z625" s="12" t="s">
        <v>1266</v>
      </c>
      <c r="AA625" s="27"/>
      <c r="AB625" s="29"/>
      <c r="AC625" s="27"/>
      <c r="AD625" s="2"/>
    </row>
    <row r="626" spans="1:30" x14ac:dyDescent="0.25">
      <c r="A626" s="4"/>
      <c r="B626" s="4">
        <v>45843</v>
      </c>
      <c r="C626" s="1" t="s">
        <v>2003</v>
      </c>
      <c r="D626" s="1" t="s">
        <v>2243</v>
      </c>
      <c r="E626" s="1" t="s">
        <v>1068</v>
      </c>
      <c r="F626" s="1" t="s">
        <v>1271</v>
      </c>
      <c r="G626" s="8">
        <v>1</v>
      </c>
      <c r="H626" s="8"/>
      <c r="I626" s="115">
        <f>Table223[[#This Row],[Qty]]-Table223[[#This Row],[Issue Qty]]</f>
        <v>1</v>
      </c>
      <c r="J626" s="5">
        <v>10000</v>
      </c>
      <c r="K626" s="5">
        <f t="shared" si="32"/>
        <v>10000</v>
      </c>
      <c r="L626" s="82">
        <v>0.18</v>
      </c>
      <c r="M626" s="9">
        <f t="shared" si="33"/>
        <v>1800</v>
      </c>
      <c r="N626" s="5">
        <v>590</v>
      </c>
      <c r="O626" s="5"/>
      <c r="P626" s="5">
        <f t="shared" si="34"/>
        <v>12390</v>
      </c>
      <c r="Q626" s="1" t="s">
        <v>907</v>
      </c>
      <c r="R626" s="1" t="s">
        <v>907</v>
      </c>
      <c r="S626" s="1" t="s">
        <v>956</v>
      </c>
      <c r="T626" s="1" t="s">
        <v>2387</v>
      </c>
      <c r="U626" s="1"/>
      <c r="V626" s="27"/>
      <c r="W626" s="21"/>
      <c r="X626" s="28"/>
      <c r="Y626" s="21">
        <v>1</v>
      </c>
      <c r="Z626" s="12" t="s">
        <v>936</v>
      </c>
      <c r="AA626" s="27"/>
      <c r="AB626" s="29" t="s">
        <v>1271</v>
      </c>
      <c r="AC626" s="27"/>
      <c r="AD626" s="27"/>
    </row>
    <row r="627" spans="1:30" x14ac:dyDescent="0.25">
      <c r="A627" s="4"/>
      <c r="B627" s="4">
        <v>45843</v>
      </c>
      <c r="C627" s="1" t="s">
        <v>54</v>
      </c>
      <c r="D627" s="1" t="s">
        <v>2388</v>
      </c>
      <c r="E627" s="169" t="s">
        <v>1272</v>
      </c>
      <c r="F627" s="1" t="s">
        <v>1272</v>
      </c>
      <c r="G627" s="8">
        <v>1</v>
      </c>
      <c r="H627" s="8">
        <v>1</v>
      </c>
      <c r="I627" s="115">
        <f>Table223[[#This Row],[Qty]]-Table223[[#This Row],[Issue Qty]]</f>
        <v>0</v>
      </c>
      <c r="J627" s="5">
        <v>180</v>
      </c>
      <c r="K627" s="5">
        <f t="shared" si="32"/>
        <v>180</v>
      </c>
      <c r="L627" s="82">
        <v>0.18</v>
      </c>
      <c r="M627" s="9">
        <f t="shared" si="33"/>
        <v>32.4</v>
      </c>
      <c r="N627" s="5">
        <v>0</v>
      </c>
      <c r="O627" s="5"/>
      <c r="P627" s="5">
        <f t="shared" si="34"/>
        <v>212.4</v>
      </c>
      <c r="Q627" s="1" t="s">
        <v>1226</v>
      </c>
      <c r="R627" s="1" t="s">
        <v>1226</v>
      </c>
      <c r="S627" s="1" t="s">
        <v>358</v>
      </c>
      <c r="T627" s="1" t="s">
        <v>2389</v>
      </c>
      <c r="U627" s="1"/>
      <c r="V627" s="27"/>
      <c r="W627" s="21"/>
      <c r="X627" s="28"/>
      <c r="Y627" s="21">
        <v>1</v>
      </c>
      <c r="Z627" s="12" t="s">
        <v>2915</v>
      </c>
      <c r="AA627" s="27"/>
      <c r="AB627" s="29" t="s">
        <v>1273</v>
      </c>
      <c r="AC627" s="27"/>
      <c r="AD627" s="27"/>
    </row>
    <row r="628" spans="1:30" s="24" customFormat="1" x14ac:dyDescent="0.25">
      <c r="A628" s="4"/>
      <c r="B628" s="4">
        <v>45843</v>
      </c>
      <c r="C628" s="1" t="s">
        <v>54</v>
      </c>
      <c r="D628" s="1" t="s">
        <v>2390</v>
      </c>
      <c r="E628" s="169" t="s">
        <v>1274</v>
      </c>
      <c r="F628" s="1" t="s">
        <v>1274</v>
      </c>
      <c r="G628" s="8">
        <v>1</v>
      </c>
      <c r="H628" s="8">
        <v>1</v>
      </c>
      <c r="I628" s="115">
        <f>Table223[[#This Row],[Qty]]-Table223[[#This Row],[Issue Qty]]</f>
        <v>0</v>
      </c>
      <c r="J628" s="5">
        <v>54.6</v>
      </c>
      <c r="K628" s="5">
        <f t="shared" si="32"/>
        <v>54.6</v>
      </c>
      <c r="L628" s="82">
        <v>0.18</v>
      </c>
      <c r="M628" s="9">
        <f t="shared" si="33"/>
        <v>9.8279999999999994</v>
      </c>
      <c r="N628" s="5">
        <v>0</v>
      </c>
      <c r="O628" s="5"/>
      <c r="P628" s="5">
        <f t="shared" si="34"/>
        <v>64.427999999999997</v>
      </c>
      <c r="Q628" s="1" t="s">
        <v>1226</v>
      </c>
      <c r="R628" s="1" t="s">
        <v>1226</v>
      </c>
      <c r="S628" s="1" t="s">
        <v>358</v>
      </c>
      <c r="T628" s="1" t="s">
        <v>2389</v>
      </c>
      <c r="U628" s="1"/>
      <c r="V628" s="27"/>
      <c r="W628" s="21"/>
      <c r="X628" s="28"/>
      <c r="Y628" s="21">
        <v>1</v>
      </c>
      <c r="Z628" s="12" t="s">
        <v>2915</v>
      </c>
      <c r="AA628" s="27"/>
      <c r="AB628" s="29" t="s">
        <v>1275</v>
      </c>
      <c r="AC628" s="27"/>
      <c r="AD628" s="2"/>
    </row>
    <row r="629" spans="1:30" x14ac:dyDescent="0.25">
      <c r="A629" s="4"/>
      <c r="B629" s="4">
        <v>45843</v>
      </c>
      <c r="C629" s="1" t="s">
        <v>54</v>
      </c>
      <c r="D629" s="1" t="s">
        <v>2267</v>
      </c>
      <c r="E629" s="169" t="s">
        <v>1105</v>
      </c>
      <c r="F629" s="1" t="s">
        <v>1276</v>
      </c>
      <c r="G629" s="8">
        <v>1</v>
      </c>
      <c r="H629" s="8">
        <v>1</v>
      </c>
      <c r="I629" s="115">
        <f>Table223[[#This Row],[Qty]]-Table223[[#This Row],[Issue Qty]]</f>
        <v>0</v>
      </c>
      <c r="J629" s="5">
        <v>192</v>
      </c>
      <c r="K629" s="5">
        <f t="shared" si="32"/>
        <v>192</v>
      </c>
      <c r="L629" s="82">
        <v>0.18</v>
      </c>
      <c r="M629" s="9">
        <f t="shared" si="33"/>
        <v>34.56</v>
      </c>
      <c r="N629" s="5">
        <v>0</v>
      </c>
      <c r="O629" s="5"/>
      <c r="P629" s="5">
        <f t="shared" si="34"/>
        <v>226.56</v>
      </c>
      <c r="Q629" s="1" t="s">
        <v>1226</v>
      </c>
      <c r="R629" s="1" t="s">
        <v>1226</v>
      </c>
      <c r="S629" s="1" t="s">
        <v>358</v>
      </c>
      <c r="T629" s="1" t="s">
        <v>2389</v>
      </c>
      <c r="U629" s="1"/>
      <c r="V629" s="27"/>
      <c r="W629" s="21"/>
      <c r="X629" s="28"/>
      <c r="Y629" s="21">
        <v>1</v>
      </c>
      <c r="Z629" s="12" t="s">
        <v>2915</v>
      </c>
      <c r="AA629" s="27"/>
      <c r="AB629" s="29" t="s">
        <v>1277</v>
      </c>
      <c r="AC629" s="27"/>
      <c r="AD629" s="27"/>
    </row>
    <row r="630" spans="1:30" x14ac:dyDescent="0.25">
      <c r="A630" s="4"/>
      <c r="B630" s="4">
        <v>45843</v>
      </c>
      <c r="C630" s="1" t="s">
        <v>54</v>
      </c>
      <c r="D630" s="1" t="s">
        <v>2268</v>
      </c>
      <c r="E630" s="169" t="s">
        <v>1106</v>
      </c>
      <c r="F630" s="1" t="s">
        <v>1278</v>
      </c>
      <c r="G630" s="8">
        <v>1</v>
      </c>
      <c r="H630" s="8">
        <v>1</v>
      </c>
      <c r="I630" s="115">
        <f>Table223[[#This Row],[Qty]]-Table223[[#This Row],[Issue Qty]]</f>
        <v>0</v>
      </c>
      <c r="J630" s="5">
        <v>192</v>
      </c>
      <c r="K630" s="5">
        <f t="shared" si="32"/>
        <v>192</v>
      </c>
      <c r="L630" s="82">
        <v>0.18</v>
      </c>
      <c r="M630" s="9">
        <f t="shared" si="33"/>
        <v>34.56</v>
      </c>
      <c r="N630" s="5">
        <v>0</v>
      </c>
      <c r="O630" s="5"/>
      <c r="P630" s="5">
        <f t="shared" si="34"/>
        <v>226.56</v>
      </c>
      <c r="Q630" s="1" t="s">
        <v>1226</v>
      </c>
      <c r="R630" s="1" t="s">
        <v>1226</v>
      </c>
      <c r="S630" s="1" t="s">
        <v>358</v>
      </c>
      <c r="T630" s="1" t="s">
        <v>2389</v>
      </c>
      <c r="U630" s="1"/>
      <c r="V630" s="27"/>
      <c r="W630" s="21"/>
      <c r="X630" s="28"/>
      <c r="Y630" s="21">
        <v>1</v>
      </c>
      <c r="Z630" s="12" t="s">
        <v>2915</v>
      </c>
      <c r="AA630" s="27"/>
      <c r="AB630" s="29" t="s">
        <v>1279</v>
      </c>
      <c r="AC630" s="27"/>
      <c r="AD630" s="27"/>
    </row>
    <row r="631" spans="1:30" x14ac:dyDescent="0.25">
      <c r="A631" s="4"/>
      <c r="B631" s="4">
        <v>45843</v>
      </c>
      <c r="C631" s="1" t="s">
        <v>2003</v>
      </c>
      <c r="D631" s="1" t="s">
        <v>2391</v>
      </c>
      <c r="E631" s="169" t="s">
        <v>1280</v>
      </c>
      <c r="F631" s="1" t="s">
        <v>1280</v>
      </c>
      <c r="G631" s="8">
        <v>1</v>
      </c>
      <c r="H631" s="8">
        <v>1</v>
      </c>
      <c r="I631" s="115">
        <f>Table223[[#This Row],[Qty]]-Table223[[#This Row],[Issue Qty]]</f>
        <v>0</v>
      </c>
      <c r="J631" s="5">
        <v>1000</v>
      </c>
      <c r="K631" s="5">
        <f t="shared" si="32"/>
        <v>1000</v>
      </c>
      <c r="L631" s="82">
        <v>0.18</v>
      </c>
      <c r="M631" s="9">
        <f t="shared" si="33"/>
        <v>180</v>
      </c>
      <c r="N631" s="5">
        <v>0</v>
      </c>
      <c r="O631" s="5"/>
      <c r="P631" s="5">
        <f t="shared" si="34"/>
        <v>1180</v>
      </c>
      <c r="Q631" s="1" t="s">
        <v>1230</v>
      </c>
      <c r="R631" s="1" t="s">
        <v>1230</v>
      </c>
      <c r="S631" s="1" t="s">
        <v>1269</v>
      </c>
      <c r="T631" s="1" t="s">
        <v>2392</v>
      </c>
      <c r="U631" s="1"/>
      <c r="V631" s="27"/>
      <c r="W631" s="21"/>
      <c r="X631" s="28"/>
      <c r="Y631" s="21">
        <v>1</v>
      </c>
      <c r="Z631" s="12" t="s">
        <v>1266</v>
      </c>
      <c r="AA631" s="27"/>
      <c r="AB631" s="29" t="s">
        <v>1281</v>
      </c>
      <c r="AC631" s="27"/>
      <c r="AD631" s="27"/>
    </row>
    <row r="632" spans="1:30" s="24" customFormat="1" x14ac:dyDescent="0.25">
      <c r="A632" s="4"/>
      <c r="B632" s="4">
        <v>45843</v>
      </c>
      <c r="C632" s="1" t="s">
        <v>2003</v>
      </c>
      <c r="D632" s="1" t="s">
        <v>2393</v>
      </c>
      <c r="E632" s="169" t="s">
        <v>1282</v>
      </c>
      <c r="F632" s="1" t="s">
        <v>1282</v>
      </c>
      <c r="G632" s="8">
        <v>1</v>
      </c>
      <c r="H632" s="8">
        <v>1</v>
      </c>
      <c r="I632" s="115">
        <f>Table223[[#This Row],[Qty]]-Table223[[#This Row],[Issue Qty]]</f>
        <v>0</v>
      </c>
      <c r="J632" s="5">
        <v>500</v>
      </c>
      <c r="K632" s="5">
        <f t="shared" si="32"/>
        <v>500</v>
      </c>
      <c r="L632" s="82">
        <v>0.18</v>
      </c>
      <c r="M632" s="9">
        <f t="shared" si="33"/>
        <v>90</v>
      </c>
      <c r="N632" s="5">
        <v>0</v>
      </c>
      <c r="O632" s="5"/>
      <c r="P632" s="5">
        <f t="shared" si="34"/>
        <v>590</v>
      </c>
      <c r="Q632" s="1" t="s">
        <v>1230</v>
      </c>
      <c r="R632" s="1" t="s">
        <v>1230</v>
      </c>
      <c r="S632" s="1" t="s">
        <v>1269</v>
      </c>
      <c r="T632" s="1" t="s">
        <v>2392</v>
      </c>
      <c r="U632" s="1"/>
      <c r="V632" s="27"/>
      <c r="W632" s="21"/>
      <c r="X632" s="28"/>
      <c r="Y632" s="21">
        <v>1</v>
      </c>
      <c r="Z632" s="12" t="s">
        <v>1266</v>
      </c>
      <c r="AA632" s="27"/>
      <c r="AB632" s="29" t="s">
        <v>1281</v>
      </c>
      <c r="AC632" s="27"/>
      <c r="AD632" s="2"/>
    </row>
    <row r="633" spans="1:30" x14ac:dyDescent="0.25">
      <c r="A633" s="4"/>
      <c r="B633" s="4">
        <v>45843</v>
      </c>
      <c r="C633" s="1" t="s">
        <v>2003</v>
      </c>
      <c r="D633" s="1" t="s">
        <v>2394</v>
      </c>
      <c r="E633" s="169" t="s">
        <v>1283</v>
      </c>
      <c r="F633" s="1" t="s">
        <v>1284</v>
      </c>
      <c r="G633" s="8">
        <v>1</v>
      </c>
      <c r="H633" s="8">
        <v>1</v>
      </c>
      <c r="I633" s="115">
        <f>Table223[[#This Row],[Qty]]-Table223[[#This Row],[Issue Qty]]</f>
        <v>0</v>
      </c>
      <c r="J633" s="5">
        <v>1800</v>
      </c>
      <c r="K633" s="5">
        <f t="shared" si="32"/>
        <v>1800</v>
      </c>
      <c r="L633" s="82">
        <v>0.18</v>
      </c>
      <c r="M633" s="9">
        <f t="shared" si="33"/>
        <v>324</v>
      </c>
      <c r="N633" s="5">
        <v>177</v>
      </c>
      <c r="O633" s="5"/>
      <c r="P633" s="5">
        <f t="shared" si="34"/>
        <v>2301</v>
      </c>
      <c r="Q633" s="1" t="s">
        <v>1230</v>
      </c>
      <c r="R633" s="1" t="s">
        <v>1230</v>
      </c>
      <c r="S633" s="1" t="s">
        <v>1269</v>
      </c>
      <c r="T633" s="1" t="s">
        <v>2392</v>
      </c>
      <c r="U633" s="1"/>
      <c r="V633" s="27"/>
      <c r="W633" s="21"/>
      <c r="X633" s="28"/>
      <c r="Y633" s="21">
        <v>1</v>
      </c>
      <c r="Z633" s="12" t="s">
        <v>1266</v>
      </c>
      <c r="AA633" s="27"/>
      <c r="AB633" s="29" t="s">
        <v>1281</v>
      </c>
      <c r="AC633" s="27"/>
      <c r="AD633" s="27"/>
    </row>
    <row r="634" spans="1:30" x14ac:dyDescent="0.25">
      <c r="A634" s="4"/>
      <c r="B634" s="4">
        <v>45843</v>
      </c>
      <c r="C634" s="1" t="s">
        <v>2003</v>
      </c>
      <c r="D634" s="1" t="s">
        <v>2395</v>
      </c>
      <c r="E634" s="169" t="s">
        <v>1285</v>
      </c>
      <c r="F634" s="1" t="s">
        <v>1286</v>
      </c>
      <c r="G634" s="8">
        <v>1</v>
      </c>
      <c r="H634" s="8">
        <v>1</v>
      </c>
      <c r="I634" s="115">
        <f>Table223[[#This Row],[Qty]]-Table223[[#This Row],[Issue Qty]]</f>
        <v>0</v>
      </c>
      <c r="J634" s="5">
        <v>1000</v>
      </c>
      <c r="K634" s="5">
        <f t="shared" si="32"/>
        <v>1000</v>
      </c>
      <c r="L634" s="82">
        <v>0.18</v>
      </c>
      <c r="M634" s="9">
        <f t="shared" si="33"/>
        <v>180</v>
      </c>
      <c r="N634" s="5">
        <v>0</v>
      </c>
      <c r="O634" s="5"/>
      <c r="P634" s="5">
        <f t="shared" si="34"/>
        <v>1180</v>
      </c>
      <c r="Q634" s="1" t="s">
        <v>1230</v>
      </c>
      <c r="R634" s="1" t="s">
        <v>1230</v>
      </c>
      <c r="S634" s="1" t="s">
        <v>1269</v>
      </c>
      <c r="T634" s="1" t="s">
        <v>2392</v>
      </c>
      <c r="U634" s="1"/>
      <c r="V634" s="27"/>
      <c r="W634" s="21"/>
      <c r="X634" s="28"/>
      <c r="Y634" s="21">
        <v>1</v>
      </c>
      <c r="Z634" s="12" t="s">
        <v>1266</v>
      </c>
      <c r="AA634" s="27"/>
      <c r="AB634" s="29" t="s">
        <v>1281</v>
      </c>
      <c r="AC634" s="27"/>
      <c r="AD634" s="27"/>
    </row>
    <row r="635" spans="1:30" x14ac:dyDescent="0.25">
      <c r="A635" s="4"/>
      <c r="B635" s="4">
        <v>45843</v>
      </c>
      <c r="C635" s="1" t="s">
        <v>54</v>
      </c>
      <c r="D635" s="1" t="s">
        <v>2259</v>
      </c>
      <c r="E635" s="169" t="s">
        <v>1095</v>
      </c>
      <c r="F635" s="1" t="s">
        <v>1287</v>
      </c>
      <c r="G635" s="8">
        <v>1</v>
      </c>
      <c r="H635" s="8">
        <v>1</v>
      </c>
      <c r="I635" s="115">
        <f>Table223[[#This Row],[Qty]]-Table223[[#This Row],[Issue Qty]]</f>
        <v>0</v>
      </c>
      <c r="J635" s="5">
        <v>350</v>
      </c>
      <c r="K635" s="5">
        <f t="shared" si="32"/>
        <v>350</v>
      </c>
      <c r="L635" s="82">
        <v>0.18</v>
      </c>
      <c r="M635" s="9">
        <f t="shared" si="33"/>
        <v>63</v>
      </c>
      <c r="N635" s="5">
        <v>0</v>
      </c>
      <c r="O635" s="5"/>
      <c r="P635" s="5">
        <f t="shared" si="34"/>
        <v>413</v>
      </c>
      <c r="Q635" s="1" t="s">
        <v>1226</v>
      </c>
      <c r="R635" s="1" t="s">
        <v>1226</v>
      </c>
      <c r="S635" s="1" t="s">
        <v>358</v>
      </c>
      <c r="T635" s="1" t="s">
        <v>2389</v>
      </c>
      <c r="U635" s="1"/>
      <c r="V635" s="27"/>
      <c r="W635" s="21"/>
      <c r="X635" s="28"/>
      <c r="Y635" s="21">
        <v>1</v>
      </c>
      <c r="Z635" s="12" t="s">
        <v>2915</v>
      </c>
      <c r="AA635" s="27"/>
      <c r="AB635" s="29" t="s">
        <v>1096</v>
      </c>
      <c r="AC635" s="27"/>
      <c r="AD635" s="27"/>
    </row>
    <row r="636" spans="1:30" x14ac:dyDescent="0.25">
      <c r="A636" s="4"/>
      <c r="B636" s="4">
        <v>45843</v>
      </c>
      <c r="C636" s="1" t="s">
        <v>54</v>
      </c>
      <c r="D636" s="1" t="s">
        <v>2261</v>
      </c>
      <c r="E636" s="169" t="s">
        <v>1097</v>
      </c>
      <c r="F636" s="1" t="s">
        <v>1288</v>
      </c>
      <c r="G636" s="8">
        <v>1</v>
      </c>
      <c r="H636" s="8">
        <v>1</v>
      </c>
      <c r="I636" s="115">
        <f>Table223[[#This Row],[Qty]]-Table223[[#This Row],[Issue Qty]]</f>
        <v>0</v>
      </c>
      <c r="J636" s="5">
        <v>220</v>
      </c>
      <c r="K636" s="5">
        <f t="shared" si="32"/>
        <v>220</v>
      </c>
      <c r="L636" s="82">
        <v>0.18</v>
      </c>
      <c r="M636" s="9">
        <f t="shared" si="33"/>
        <v>39.6</v>
      </c>
      <c r="N636" s="5">
        <v>0</v>
      </c>
      <c r="O636" s="5"/>
      <c r="P636" s="5">
        <f t="shared" si="34"/>
        <v>259.60000000000002</v>
      </c>
      <c r="Q636" s="1" t="s">
        <v>1226</v>
      </c>
      <c r="R636" s="1" t="s">
        <v>1226</v>
      </c>
      <c r="S636" s="1" t="s">
        <v>358</v>
      </c>
      <c r="T636" s="1" t="s">
        <v>2389</v>
      </c>
      <c r="U636" s="1"/>
      <c r="V636" s="27"/>
      <c r="W636" s="21"/>
      <c r="X636" s="28"/>
      <c r="Y636" s="21">
        <v>1</v>
      </c>
      <c r="Z636" s="12" t="s">
        <v>2915</v>
      </c>
      <c r="AA636" s="27"/>
      <c r="AB636" s="29" t="s">
        <v>1098</v>
      </c>
      <c r="AC636" s="27"/>
      <c r="AD636" s="27"/>
    </row>
    <row r="637" spans="1:30" x14ac:dyDescent="0.25">
      <c r="A637" s="4"/>
      <c r="B637" s="4">
        <v>45843</v>
      </c>
      <c r="C637" s="1" t="s">
        <v>54</v>
      </c>
      <c r="D637" s="1" t="s">
        <v>2396</v>
      </c>
      <c r="E637" s="169" t="s">
        <v>1289</v>
      </c>
      <c r="F637" s="1" t="s">
        <v>1289</v>
      </c>
      <c r="G637" s="8">
        <v>1</v>
      </c>
      <c r="H637" s="8">
        <v>1</v>
      </c>
      <c r="I637" s="115">
        <f>Table223[[#This Row],[Qty]]-Table223[[#This Row],[Issue Qty]]</f>
        <v>0</v>
      </c>
      <c r="J637" s="5">
        <v>3065.9</v>
      </c>
      <c r="K637" s="5">
        <f t="shared" si="32"/>
        <v>3065.9</v>
      </c>
      <c r="L637" s="82">
        <v>0.18</v>
      </c>
      <c r="M637" s="9">
        <f t="shared" si="33"/>
        <v>551.86199999999997</v>
      </c>
      <c r="N637" s="5">
        <v>0.69</v>
      </c>
      <c r="O637" s="5"/>
      <c r="P637" s="5">
        <f t="shared" si="34"/>
        <v>3618.4520000000002</v>
      </c>
      <c r="Q637" s="1" t="s">
        <v>1226</v>
      </c>
      <c r="R637" s="1" t="s">
        <v>1226</v>
      </c>
      <c r="S637" s="1" t="s">
        <v>358</v>
      </c>
      <c r="T637" s="1" t="s">
        <v>2389</v>
      </c>
      <c r="U637" s="1"/>
      <c r="V637" s="27"/>
      <c r="W637" s="21"/>
      <c r="X637" s="28"/>
      <c r="Y637" s="21">
        <v>1</v>
      </c>
      <c r="Z637" s="12" t="s">
        <v>2914</v>
      </c>
      <c r="AA637" s="27"/>
      <c r="AB637" s="29" t="s">
        <v>1290</v>
      </c>
      <c r="AC637" s="27"/>
      <c r="AD637" s="27"/>
    </row>
    <row r="638" spans="1:30" x14ac:dyDescent="0.25">
      <c r="A638" s="4"/>
      <c r="B638" s="4">
        <v>45844</v>
      </c>
      <c r="C638" s="1" t="s">
        <v>1991</v>
      </c>
      <c r="D638" s="1" t="s">
        <v>2397</v>
      </c>
      <c r="E638" s="1" t="s">
        <v>1291</v>
      </c>
      <c r="F638" s="1" t="s">
        <v>1291</v>
      </c>
      <c r="G638" s="8">
        <v>4</v>
      </c>
      <c r="H638" s="8"/>
      <c r="I638" s="115">
        <f>Table223[[#This Row],[Qty]]-Table223[[#This Row],[Issue Qty]]</f>
        <v>4</v>
      </c>
      <c r="J638" s="5">
        <v>1230</v>
      </c>
      <c r="K638" s="5">
        <f t="shared" si="32"/>
        <v>4920</v>
      </c>
      <c r="L638" s="82">
        <v>0.05</v>
      </c>
      <c r="M638" s="9">
        <f t="shared" si="33"/>
        <v>246</v>
      </c>
      <c r="N638" s="5">
        <v>88.5</v>
      </c>
      <c r="O638" s="5"/>
      <c r="P638" s="5">
        <f t="shared" si="34"/>
        <v>5254.5</v>
      </c>
      <c r="Q638" s="1" t="s">
        <v>1083</v>
      </c>
      <c r="R638" s="1" t="s">
        <v>1083</v>
      </c>
      <c r="S638" s="1" t="s">
        <v>1060</v>
      </c>
      <c r="T638" s="1" t="s">
        <v>2398</v>
      </c>
      <c r="U638" s="1"/>
      <c r="V638" s="27"/>
      <c r="W638" s="21"/>
      <c r="X638" s="28"/>
      <c r="Y638" s="21"/>
      <c r="Z638" s="12"/>
      <c r="AA638" s="27"/>
      <c r="AB638" s="29"/>
      <c r="AC638" s="27"/>
      <c r="AD638" s="27"/>
    </row>
    <row r="639" spans="1:30" x14ac:dyDescent="0.25">
      <c r="A639" s="4"/>
      <c r="B639" s="4">
        <v>45845</v>
      </c>
      <c r="C639" s="1" t="s">
        <v>54</v>
      </c>
      <c r="D639" s="1" t="s">
        <v>2399</v>
      </c>
      <c r="E639" s="1" t="s">
        <v>1292</v>
      </c>
      <c r="F639" s="1" t="s">
        <v>1292</v>
      </c>
      <c r="G639" s="8">
        <v>2</v>
      </c>
      <c r="H639" s="8"/>
      <c r="I639" s="115">
        <f>Table223[[#This Row],[Qty]]-Table223[[#This Row],[Issue Qty]]</f>
        <v>2</v>
      </c>
      <c r="J639" s="5">
        <v>313</v>
      </c>
      <c r="K639" s="5">
        <f t="shared" si="32"/>
        <v>626</v>
      </c>
      <c r="L639" s="82">
        <v>0.12</v>
      </c>
      <c r="M639" s="9">
        <f t="shared" si="33"/>
        <v>75.11999999999999</v>
      </c>
      <c r="N639" s="5">
        <v>0</v>
      </c>
      <c r="O639" s="5"/>
      <c r="P639" s="5">
        <f t="shared" si="34"/>
        <v>701.12</v>
      </c>
      <c r="Q639" s="1" t="s">
        <v>1230</v>
      </c>
      <c r="R639" s="1" t="s">
        <v>1230</v>
      </c>
      <c r="S639" s="1" t="s">
        <v>601</v>
      </c>
      <c r="T639" s="1">
        <v>50293</v>
      </c>
      <c r="U639" s="1"/>
      <c r="V639" s="27"/>
      <c r="W639" s="21"/>
      <c r="X639" s="28"/>
      <c r="Y639" s="21">
        <v>2</v>
      </c>
      <c r="Z639" s="12" t="s">
        <v>1266</v>
      </c>
      <c r="AA639" s="27"/>
      <c r="AB639" s="29" t="s">
        <v>826</v>
      </c>
      <c r="AC639" s="27"/>
      <c r="AD639" s="27"/>
    </row>
    <row r="640" spans="1:30" x14ac:dyDescent="0.25">
      <c r="A640" s="4"/>
      <c r="B640" s="4">
        <v>45845</v>
      </c>
      <c r="C640" s="1" t="s">
        <v>54</v>
      </c>
      <c r="D640" s="1" t="s">
        <v>2400</v>
      </c>
      <c r="E640" s="1" t="s">
        <v>1293</v>
      </c>
      <c r="F640" s="1" t="s">
        <v>1293</v>
      </c>
      <c r="G640" s="8">
        <v>1</v>
      </c>
      <c r="H640" s="8">
        <v>1</v>
      </c>
      <c r="I640" s="115">
        <f>Table223[[#This Row],[Qty]]-Table223[[#This Row],[Issue Qty]]</f>
        <v>0</v>
      </c>
      <c r="J640" s="5">
        <v>330</v>
      </c>
      <c r="K640" s="5">
        <f t="shared" si="32"/>
        <v>330</v>
      </c>
      <c r="L640" s="82">
        <v>0.12</v>
      </c>
      <c r="M640" s="9">
        <f t="shared" si="33"/>
        <v>39.6</v>
      </c>
      <c r="N640" s="5">
        <v>0</v>
      </c>
      <c r="O640" s="5"/>
      <c r="P640" s="5">
        <f t="shared" si="34"/>
        <v>369.6</v>
      </c>
      <c r="Q640" s="1" t="s">
        <v>907</v>
      </c>
      <c r="R640" s="1" t="s">
        <v>907</v>
      </c>
      <c r="S640" s="1" t="s">
        <v>601</v>
      </c>
      <c r="T640" s="1">
        <v>50292</v>
      </c>
      <c r="U640" s="1"/>
      <c r="V640" s="27"/>
      <c r="W640" s="21"/>
      <c r="X640" s="28"/>
      <c r="Y640" s="21">
        <v>1</v>
      </c>
      <c r="Z640" s="12" t="s">
        <v>2915</v>
      </c>
      <c r="AA640" s="27"/>
      <c r="AB640" s="29" t="s">
        <v>1294</v>
      </c>
      <c r="AC640" s="27"/>
      <c r="AD640" s="27"/>
    </row>
    <row r="641" spans="1:30" s="24" customFormat="1" x14ac:dyDescent="0.25">
      <c r="A641" s="4"/>
      <c r="B641" s="4">
        <v>45845</v>
      </c>
      <c r="C641" s="1" t="s">
        <v>54</v>
      </c>
      <c r="D641" s="1" t="s">
        <v>2401</v>
      </c>
      <c r="E641" s="169" t="s">
        <v>1295</v>
      </c>
      <c r="F641" s="1" t="s">
        <v>1295</v>
      </c>
      <c r="G641" s="8">
        <v>2</v>
      </c>
      <c r="H641" s="8">
        <v>2</v>
      </c>
      <c r="I641" s="115">
        <f>Table223[[#This Row],[Qty]]-Table223[[#This Row],[Issue Qty]]</f>
        <v>0</v>
      </c>
      <c r="J641" s="5">
        <v>1628</v>
      </c>
      <c r="K641" s="5">
        <f t="shared" si="32"/>
        <v>3256</v>
      </c>
      <c r="L641" s="82">
        <v>0.12</v>
      </c>
      <c r="M641" s="9">
        <f t="shared" si="33"/>
        <v>390.71999999999997</v>
      </c>
      <c r="N641" s="5">
        <v>112</v>
      </c>
      <c r="O641" s="5"/>
      <c r="P641" s="5">
        <f t="shared" si="34"/>
        <v>3758.72</v>
      </c>
      <c r="Q641" s="1" t="s">
        <v>1230</v>
      </c>
      <c r="R641" s="1" t="s">
        <v>1230</v>
      </c>
      <c r="S641" s="1" t="s">
        <v>601</v>
      </c>
      <c r="T641" s="1">
        <v>50293</v>
      </c>
      <c r="U641" s="1"/>
      <c r="V641" s="27"/>
      <c r="W641" s="21"/>
      <c r="X641" s="28"/>
      <c r="Y641" s="21">
        <v>2</v>
      </c>
      <c r="Z641" s="12" t="s">
        <v>1266</v>
      </c>
      <c r="AA641" s="27"/>
      <c r="AB641" s="29"/>
      <c r="AC641" s="27"/>
      <c r="AD641" s="2"/>
    </row>
    <row r="642" spans="1:30" x14ac:dyDescent="0.25">
      <c r="A642" s="4"/>
      <c r="B642" s="4">
        <v>45845</v>
      </c>
      <c r="C642" s="1" t="s">
        <v>54</v>
      </c>
      <c r="D642" s="1" t="s">
        <v>2256</v>
      </c>
      <c r="E642" s="1" t="s">
        <v>1091</v>
      </c>
      <c r="F642" s="1" t="s">
        <v>1296</v>
      </c>
      <c r="G642" s="8">
        <v>1</v>
      </c>
      <c r="H642" s="8">
        <v>1</v>
      </c>
      <c r="I642" s="115">
        <f>Table223[[#This Row],[Qty]]-Table223[[#This Row],[Issue Qty]]</f>
        <v>0</v>
      </c>
      <c r="J642" s="5">
        <v>665</v>
      </c>
      <c r="K642" s="5">
        <f t="shared" si="32"/>
        <v>665</v>
      </c>
      <c r="L642" s="82">
        <v>0.12</v>
      </c>
      <c r="M642" s="9">
        <f t="shared" si="33"/>
        <v>79.8</v>
      </c>
      <c r="N642" s="5">
        <v>0</v>
      </c>
      <c r="O642" s="5"/>
      <c r="P642" s="5">
        <f t="shared" si="34"/>
        <v>744.8</v>
      </c>
      <c r="Q642" s="1" t="s">
        <v>907</v>
      </c>
      <c r="R642" s="1" t="s">
        <v>907</v>
      </c>
      <c r="S642" s="1" t="s">
        <v>601</v>
      </c>
      <c r="T642" s="1">
        <v>50292</v>
      </c>
      <c r="U642" s="1"/>
      <c r="V642" s="27"/>
      <c r="W642" s="21"/>
      <c r="X642" s="28"/>
      <c r="Y642" s="21">
        <v>1</v>
      </c>
      <c r="Z642" s="12" t="s">
        <v>936</v>
      </c>
      <c r="AA642" s="27"/>
      <c r="AB642" s="29"/>
      <c r="AC642" s="27"/>
      <c r="AD642" s="27"/>
    </row>
    <row r="643" spans="1:30" x14ac:dyDescent="0.25">
      <c r="A643" s="4"/>
      <c r="B643" s="4">
        <v>45845</v>
      </c>
      <c r="C643" s="1" t="s">
        <v>1991</v>
      </c>
      <c r="D643" s="26" t="s">
        <v>2402</v>
      </c>
      <c r="E643" s="26" t="s">
        <v>1297</v>
      </c>
      <c r="F643" s="1" t="s">
        <v>1297</v>
      </c>
      <c r="G643" s="8">
        <v>10</v>
      </c>
      <c r="H643" s="8"/>
      <c r="I643" s="115">
        <f>Table223[[#This Row],[Qty]]-Table223[[#This Row],[Issue Qty]]</f>
        <v>10</v>
      </c>
      <c r="J643" s="5">
        <v>64.06</v>
      </c>
      <c r="K643" s="5">
        <f t="shared" si="32"/>
        <v>640.6</v>
      </c>
      <c r="L643" s="82">
        <v>0.18</v>
      </c>
      <c r="M643" s="9">
        <f t="shared" si="33"/>
        <v>115.30799999999999</v>
      </c>
      <c r="N643" s="5">
        <v>0</v>
      </c>
      <c r="O643" s="5"/>
      <c r="P643" s="5">
        <f t="shared" si="34"/>
        <v>755.90800000000002</v>
      </c>
      <c r="Q643" s="1" t="s">
        <v>980</v>
      </c>
      <c r="R643" s="1" t="s">
        <v>980</v>
      </c>
      <c r="S643" s="1" t="s">
        <v>1298</v>
      </c>
      <c r="T643" s="1">
        <v>980290</v>
      </c>
      <c r="U643" s="1"/>
      <c r="V643" s="1"/>
      <c r="W643" s="21" t="s">
        <v>38</v>
      </c>
      <c r="X643" s="8"/>
      <c r="Y643" s="8">
        <v>2</v>
      </c>
      <c r="Z643" s="22" t="s">
        <v>1125</v>
      </c>
      <c r="AA643" s="1"/>
      <c r="AB643" s="29"/>
      <c r="AC643" s="1"/>
      <c r="AD643" s="27"/>
    </row>
    <row r="644" spans="1:30" x14ac:dyDescent="0.25">
      <c r="A644" s="4"/>
      <c r="B644" s="4">
        <v>45845</v>
      </c>
      <c r="C644" s="1" t="s">
        <v>54</v>
      </c>
      <c r="D644" s="1" t="s">
        <v>2403</v>
      </c>
      <c r="E644" s="1" t="s">
        <v>1299</v>
      </c>
      <c r="F644" s="1" t="s">
        <v>1300</v>
      </c>
      <c r="G644" s="8">
        <v>1</v>
      </c>
      <c r="H644" s="8">
        <v>1</v>
      </c>
      <c r="I644" s="115">
        <f>Table223[[#This Row],[Qty]]-Table223[[#This Row],[Issue Qty]]</f>
        <v>0</v>
      </c>
      <c r="J644" s="5">
        <v>680</v>
      </c>
      <c r="K644" s="5">
        <f t="shared" si="32"/>
        <v>680</v>
      </c>
      <c r="L644" s="82">
        <v>0.12</v>
      </c>
      <c r="M644" s="9">
        <f t="shared" si="33"/>
        <v>81.599999999999994</v>
      </c>
      <c r="N644" s="5">
        <v>112</v>
      </c>
      <c r="O644" s="5"/>
      <c r="P644" s="5">
        <f t="shared" si="34"/>
        <v>873.6</v>
      </c>
      <c r="Q644" s="1" t="s">
        <v>907</v>
      </c>
      <c r="R644" s="1" t="s">
        <v>907</v>
      </c>
      <c r="S644" s="1" t="s">
        <v>601</v>
      </c>
      <c r="T644" s="1">
        <v>50292</v>
      </c>
      <c r="U644" s="1"/>
      <c r="V644" s="27"/>
      <c r="W644" s="21"/>
      <c r="X644" s="28"/>
      <c r="Y644" s="21">
        <v>1</v>
      </c>
      <c r="Z644" s="12" t="s">
        <v>936</v>
      </c>
      <c r="AA644" s="27"/>
      <c r="AB644" s="29" t="s">
        <v>1301</v>
      </c>
      <c r="AC644" s="27"/>
      <c r="AD644" s="27"/>
    </row>
    <row r="645" spans="1:30" x14ac:dyDescent="0.25">
      <c r="A645" s="4"/>
      <c r="B645" s="4">
        <v>45845</v>
      </c>
      <c r="C645" s="1" t="s">
        <v>54</v>
      </c>
      <c r="D645" s="1" t="s">
        <v>2254</v>
      </c>
      <c r="E645" s="1" t="s">
        <v>1302</v>
      </c>
      <c r="F645" s="1" t="s">
        <v>1088</v>
      </c>
      <c r="G645" s="8">
        <v>1</v>
      </c>
      <c r="H645" s="8">
        <v>1</v>
      </c>
      <c r="I645" s="115">
        <f>Table223[[#This Row],[Qty]]-Table223[[#This Row],[Issue Qty]]</f>
        <v>0</v>
      </c>
      <c r="J645" s="5">
        <v>986</v>
      </c>
      <c r="K645" s="5">
        <f t="shared" si="32"/>
        <v>986</v>
      </c>
      <c r="L645" s="82">
        <v>0.12</v>
      </c>
      <c r="M645" s="9">
        <f t="shared" si="33"/>
        <v>118.32</v>
      </c>
      <c r="N645" s="5">
        <v>0</v>
      </c>
      <c r="O645" s="5"/>
      <c r="P645" s="5">
        <f t="shared" si="34"/>
        <v>1104.32</v>
      </c>
      <c r="Q645" s="1" t="s">
        <v>907</v>
      </c>
      <c r="R645" s="1" t="s">
        <v>907</v>
      </c>
      <c r="S645" s="1" t="s">
        <v>601</v>
      </c>
      <c r="T645" s="1">
        <v>50292</v>
      </c>
      <c r="U645" s="1"/>
      <c r="V645" s="27"/>
      <c r="W645" s="21"/>
      <c r="X645" s="28"/>
      <c r="Y645" s="21">
        <v>1</v>
      </c>
      <c r="Z645" s="12" t="s">
        <v>936</v>
      </c>
      <c r="AA645" s="27"/>
      <c r="AB645" s="29" t="s">
        <v>1303</v>
      </c>
      <c r="AC645" s="27"/>
      <c r="AD645" s="27"/>
    </row>
    <row r="646" spans="1:30" s="24" customFormat="1" x14ac:dyDescent="0.25">
      <c r="A646" s="4"/>
      <c r="B646" s="4">
        <v>45846</v>
      </c>
      <c r="C646" s="1" t="s">
        <v>2003</v>
      </c>
      <c r="D646" s="1" t="s">
        <v>2248</v>
      </c>
      <c r="E646" s="169" t="s">
        <v>1076</v>
      </c>
      <c r="F646" s="1" t="s">
        <v>1304</v>
      </c>
      <c r="G646" s="8">
        <v>1</v>
      </c>
      <c r="H646" s="8">
        <v>1</v>
      </c>
      <c r="I646" s="115">
        <f>Table223[[#This Row],[Qty]]-Table223[[#This Row],[Issue Qty]]</f>
        <v>0</v>
      </c>
      <c r="J646" s="5">
        <v>338.98</v>
      </c>
      <c r="K646" s="5">
        <f t="shared" si="32"/>
        <v>338.98</v>
      </c>
      <c r="L646" s="82">
        <v>0.18</v>
      </c>
      <c r="M646" s="9">
        <f t="shared" si="33"/>
        <v>61.016400000000004</v>
      </c>
      <c r="N646" s="5">
        <v>0</v>
      </c>
      <c r="O646" s="5"/>
      <c r="P646" s="5">
        <f t="shared" si="34"/>
        <v>399.99639999999999</v>
      </c>
      <c r="Q646" s="1" t="s">
        <v>1226</v>
      </c>
      <c r="R646" s="1" t="s">
        <v>1226</v>
      </c>
      <c r="S646" s="1" t="s">
        <v>384</v>
      </c>
      <c r="T646" s="1" t="s">
        <v>2404</v>
      </c>
      <c r="U646" s="1"/>
      <c r="V646" s="27"/>
      <c r="W646" s="21"/>
      <c r="X646" s="28"/>
      <c r="Y646" s="21">
        <v>1</v>
      </c>
      <c r="Z646" s="12" t="s">
        <v>2915</v>
      </c>
      <c r="AA646" s="27"/>
      <c r="AB646" s="29"/>
      <c r="AC646" s="27"/>
      <c r="AD646" s="2"/>
    </row>
    <row r="647" spans="1:30" s="24" customFormat="1" ht="30" x14ac:dyDescent="0.25">
      <c r="A647" s="4"/>
      <c r="B647" s="4">
        <v>45846</v>
      </c>
      <c r="C647" s="1" t="s">
        <v>54</v>
      </c>
      <c r="D647" s="1" t="s">
        <v>2405</v>
      </c>
      <c r="E647" s="169" t="s">
        <v>1305</v>
      </c>
      <c r="F647" s="1" t="s">
        <v>1306</v>
      </c>
      <c r="G647" s="8">
        <v>1</v>
      </c>
      <c r="H647" s="8">
        <v>1</v>
      </c>
      <c r="I647" s="115">
        <f>Table223[[#This Row],[Qty]]-Table223[[#This Row],[Issue Qty]]</f>
        <v>0</v>
      </c>
      <c r="J647" s="5">
        <v>4305</v>
      </c>
      <c r="K647" s="5">
        <f t="shared" si="32"/>
        <v>4305</v>
      </c>
      <c r="L647" s="82">
        <v>0.18</v>
      </c>
      <c r="M647" s="9">
        <f t="shared" si="33"/>
        <v>774.9</v>
      </c>
      <c r="N647" s="5">
        <v>0</v>
      </c>
      <c r="O647" s="5"/>
      <c r="P647" s="5">
        <f t="shared" si="34"/>
        <v>5079.8999999999996</v>
      </c>
      <c r="Q647" s="1" t="s">
        <v>1230</v>
      </c>
      <c r="R647" s="1" t="s">
        <v>1230</v>
      </c>
      <c r="S647" s="1" t="s">
        <v>551</v>
      </c>
      <c r="T647" s="1" t="s">
        <v>2406</v>
      </c>
      <c r="U647" s="1"/>
      <c r="V647" s="27"/>
      <c r="W647" s="21"/>
      <c r="X647" s="28"/>
      <c r="Y647" s="21">
        <v>1</v>
      </c>
      <c r="Z647" s="12" t="s">
        <v>1266</v>
      </c>
      <c r="AA647" s="27"/>
      <c r="AB647" s="29"/>
      <c r="AC647" s="27"/>
      <c r="AD647" s="2"/>
    </row>
    <row r="648" spans="1:30" s="24" customFormat="1" x14ac:dyDescent="0.25">
      <c r="A648" s="4"/>
      <c r="B648" s="4">
        <v>45846</v>
      </c>
      <c r="C648" s="1" t="s">
        <v>54</v>
      </c>
      <c r="D648" s="1" t="s">
        <v>2407</v>
      </c>
      <c r="E648" s="169" t="s">
        <v>1307</v>
      </c>
      <c r="F648" s="1" t="s">
        <v>1308</v>
      </c>
      <c r="G648" s="8">
        <v>7</v>
      </c>
      <c r="H648" s="8">
        <v>7</v>
      </c>
      <c r="I648" s="115">
        <f>Table223[[#This Row],[Qty]]-Table223[[#This Row],[Issue Qty]]</f>
        <v>0</v>
      </c>
      <c r="J648" s="5">
        <v>1575</v>
      </c>
      <c r="K648" s="5">
        <f t="shared" si="32"/>
        <v>11025</v>
      </c>
      <c r="L648" s="82">
        <v>0.18</v>
      </c>
      <c r="M648" s="9">
        <f t="shared" si="33"/>
        <v>1984.5</v>
      </c>
      <c r="N648" s="5">
        <v>-199.5</v>
      </c>
      <c r="O648" s="5"/>
      <c r="P648" s="5">
        <f t="shared" si="34"/>
        <v>12810</v>
      </c>
      <c r="Q648" s="1" t="s">
        <v>1230</v>
      </c>
      <c r="R648" s="1" t="s">
        <v>1230</v>
      </c>
      <c r="S648" s="1" t="s">
        <v>551</v>
      </c>
      <c r="T648" s="1" t="s">
        <v>2406</v>
      </c>
      <c r="U648" s="1"/>
      <c r="V648" s="27"/>
      <c r="W648" s="21"/>
      <c r="X648" s="28"/>
      <c r="Y648" s="21">
        <v>7</v>
      </c>
      <c r="Z648" s="12" t="s">
        <v>1266</v>
      </c>
      <c r="AA648" s="27"/>
      <c r="AB648" s="29"/>
      <c r="AC648" s="27"/>
      <c r="AD648" s="2"/>
    </row>
    <row r="649" spans="1:30" x14ac:dyDescent="0.25">
      <c r="A649" s="4"/>
      <c r="B649" s="4">
        <v>45846</v>
      </c>
      <c r="C649" s="1" t="s">
        <v>54</v>
      </c>
      <c r="D649" s="1" t="s">
        <v>2160</v>
      </c>
      <c r="E649" s="1" t="s">
        <v>949</v>
      </c>
      <c r="F649" s="1" t="s">
        <v>1309</v>
      </c>
      <c r="G649" s="8">
        <v>2</v>
      </c>
      <c r="H649" s="8">
        <v>2</v>
      </c>
      <c r="I649" s="115">
        <f>Table223[[#This Row],[Qty]]-Table223[[#This Row],[Issue Qty]]</f>
        <v>0</v>
      </c>
      <c r="J649" s="5">
        <v>2465</v>
      </c>
      <c r="K649" s="5">
        <f t="shared" si="32"/>
        <v>4930</v>
      </c>
      <c r="L649" s="82">
        <v>0.18</v>
      </c>
      <c r="M649" s="9">
        <f t="shared" si="33"/>
        <v>887.4</v>
      </c>
      <c r="N649" s="5">
        <f>150+27+72+405.6</f>
        <v>654.6</v>
      </c>
      <c r="O649" s="5"/>
      <c r="P649" s="5">
        <f t="shared" si="34"/>
        <v>6472</v>
      </c>
      <c r="Q649" s="1" t="s">
        <v>907</v>
      </c>
      <c r="R649" s="1" t="s">
        <v>907</v>
      </c>
      <c r="S649" s="1" t="s">
        <v>551</v>
      </c>
      <c r="T649" s="1" t="s">
        <v>2408</v>
      </c>
      <c r="U649" s="1"/>
      <c r="V649" s="27"/>
      <c r="W649" s="21"/>
      <c r="X649" s="28"/>
      <c r="Y649" s="21">
        <v>2</v>
      </c>
      <c r="Z649" s="12" t="s">
        <v>2918</v>
      </c>
      <c r="AA649" s="27"/>
      <c r="AB649" s="29"/>
      <c r="AC649" s="27"/>
      <c r="AD649" s="27"/>
    </row>
    <row r="650" spans="1:30" x14ac:dyDescent="0.25">
      <c r="A650" s="4"/>
      <c r="B650" s="4">
        <v>45846</v>
      </c>
      <c r="C650" s="1" t="s">
        <v>54</v>
      </c>
      <c r="D650" s="1" t="s">
        <v>1906</v>
      </c>
      <c r="E650" s="169" t="s">
        <v>549</v>
      </c>
      <c r="F650" s="1" t="s">
        <v>1310</v>
      </c>
      <c r="G650" s="8">
        <v>1</v>
      </c>
      <c r="H650" s="8">
        <v>1</v>
      </c>
      <c r="I650" s="115">
        <f>Table223[[#This Row],[Qty]]-Table223[[#This Row],[Issue Qty]]</f>
        <v>0</v>
      </c>
      <c r="J650" s="5">
        <v>5145</v>
      </c>
      <c r="K650" s="5">
        <f t="shared" si="32"/>
        <v>5145</v>
      </c>
      <c r="L650" s="82">
        <v>0.18</v>
      </c>
      <c r="M650" s="9">
        <f t="shared" si="33"/>
        <v>926.09999999999991</v>
      </c>
      <c r="N650" s="5">
        <v>0</v>
      </c>
      <c r="O650" s="5"/>
      <c r="P650" s="5">
        <f t="shared" si="34"/>
        <v>6071.1</v>
      </c>
      <c r="Q650" s="1" t="s">
        <v>1230</v>
      </c>
      <c r="R650" s="1" t="s">
        <v>1230</v>
      </c>
      <c r="S650" s="1" t="s">
        <v>551</v>
      </c>
      <c r="T650" s="1" t="s">
        <v>2406</v>
      </c>
      <c r="U650" s="1"/>
      <c r="V650" s="27"/>
      <c r="W650" s="21"/>
      <c r="X650" s="28"/>
      <c r="Y650" s="21">
        <v>1</v>
      </c>
      <c r="Z650" s="12" t="s">
        <v>1266</v>
      </c>
      <c r="AA650" s="27"/>
      <c r="AB650" s="29"/>
      <c r="AC650" s="27"/>
      <c r="AD650" s="27"/>
    </row>
    <row r="651" spans="1:30" x14ac:dyDescent="0.25">
      <c r="A651" s="4"/>
      <c r="B651" s="4">
        <v>45847</v>
      </c>
      <c r="C651" s="1" t="s">
        <v>54</v>
      </c>
      <c r="D651" s="1" t="s">
        <v>2409</v>
      </c>
      <c r="E651" s="1" t="s">
        <v>1311</v>
      </c>
      <c r="F651" s="1" t="s">
        <v>1311</v>
      </c>
      <c r="G651" s="8">
        <v>1</v>
      </c>
      <c r="H651" s="8"/>
      <c r="I651" s="115">
        <f>Table223[[#This Row],[Qty]]-Table223[[#This Row],[Issue Qty]]</f>
        <v>1</v>
      </c>
      <c r="J651" s="5">
        <v>1242.7</v>
      </c>
      <c r="K651" s="5">
        <f t="shared" si="32"/>
        <v>1242.7</v>
      </c>
      <c r="L651" s="82">
        <v>0.18</v>
      </c>
      <c r="M651" s="9">
        <f t="shared" si="33"/>
        <v>223.68600000000001</v>
      </c>
      <c r="N651" s="5">
        <v>0</v>
      </c>
      <c r="O651" s="5"/>
      <c r="P651" s="5">
        <f t="shared" si="34"/>
        <v>1466.386</v>
      </c>
      <c r="Q651" s="1" t="s">
        <v>1083</v>
      </c>
      <c r="R651" s="1" t="s">
        <v>1083</v>
      </c>
      <c r="S651" s="1" t="s">
        <v>358</v>
      </c>
      <c r="T651" s="1" t="s">
        <v>2410</v>
      </c>
      <c r="U651" s="1"/>
      <c r="V651" s="27"/>
      <c r="W651" s="21"/>
      <c r="X651" s="28"/>
      <c r="Y651" s="21">
        <v>1</v>
      </c>
      <c r="Z651" s="12" t="s">
        <v>1086</v>
      </c>
      <c r="AA651" s="27"/>
      <c r="AB651" s="29"/>
      <c r="AC651" s="27"/>
      <c r="AD651" s="27"/>
    </row>
    <row r="652" spans="1:30" x14ac:dyDescent="0.25">
      <c r="A652" s="4"/>
      <c r="B652" s="4">
        <v>45847</v>
      </c>
      <c r="C652" s="1" t="s">
        <v>54</v>
      </c>
      <c r="D652" s="1" t="s">
        <v>2411</v>
      </c>
      <c r="E652" s="169" t="s">
        <v>1111</v>
      </c>
      <c r="F652" s="1" t="s">
        <v>1111</v>
      </c>
      <c r="G652" s="8">
        <v>8</v>
      </c>
      <c r="H652" s="8">
        <v>8</v>
      </c>
      <c r="I652" s="115">
        <f>Table223[[#This Row],[Qty]]-Table223[[#This Row],[Issue Qty]]</f>
        <v>0</v>
      </c>
      <c r="J652" s="5">
        <v>583.79999999999995</v>
      </c>
      <c r="K652" s="5">
        <f t="shared" si="32"/>
        <v>4670.3999999999996</v>
      </c>
      <c r="L652" s="82">
        <v>0.18</v>
      </c>
      <c r="M652" s="9">
        <f t="shared" si="33"/>
        <v>840.67199999999991</v>
      </c>
      <c r="N652" s="5">
        <v>0</v>
      </c>
      <c r="O652" s="5"/>
      <c r="P652" s="5">
        <f t="shared" si="34"/>
        <v>5511.0719999999992</v>
      </c>
      <c r="Q652" s="1" t="s">
        <v>1230</v>
      </c>
      <c r="R652" s="1" t="s">
        <v>1230</v>
      </c>
      <c r="S652" s="1" t="s">
        <v>358</v>
      </c>
      <c r="T652" s="1" t="s">
        <v>2412</v>
      </c>
      <c r="U652" s="1"/>
      <c r="V652" s="27"/>
      <c r="W652" s="21"/>
      <c r="X652" s="28"/>
      <c r="Y652" s="21">
        <v>8</v>
      </c>
      <c r="Z652" s="12" t="s">
        <v>1266</v>
      </c>
      <c r="AA652" s="27"/>
      <c r="AB652" s="29" t="s">
        <v>1112</v>
      </c>
      <c r="AC652" s="27"/>
      <c r="AD652" s="27"/>
    </row>
    <row r="653" spans="1:30" x14ac:dyDescent="0.25">
      <c r="A653" s="4"/>
      <c r="B653" s="4">
        <v>45847</v>
      </c>
      <c r="C653" s="1" t="s">
        <v>54</v>
      </c>
      <c r="D653" s="1" t="s">
        <v>2413</v>
      </c>
      <c r="E653" s="169" t="s">
        <v>1312</v>
      </c>
      <c r="F653" s="1" t="s">
        <v>1312</v>
      </c>
      <c r="G653" s="8">
        <v>4</v>
      </c>
      <c r="H653" s="8">
        <v>4</v>
      </c>
      <c r="I653" s="115">
        <f>Table223[[#This Row],[Qty]]-Table223[[#This Row],[Issue Qty]]</f>
        <v>0</v>
      </c>
      <c r="J653" s="5">
        <v>84</v>
      </c>
      <c r="K653" s="5">
        <f t="shared" si="32"/>
        <v>336</v>
      </c>
      <c r="L653" s="82">
        <v>0.18</v>
      </c>
      <c r="M653" s="9">
        <f t="shared" si="33"/>
        <v>60.48</v>
      </c>
      <c r="N653" s="5">
        <v>0</v>
      </c>
      <c r="O653" s="5"/>
      <c r="P653" s="5">
        <f t="shared" si="34"/>
        <v>396.48</v>
      </c>
      <c r="Q653" s="1" t="s">
        <v>1230</v>
      </c>
      <c r="R653" s="1" t="s">
        <v>1230</v>
      </c>
      <c r="S653" s="1" t="s">
        <v>358</v>
      </c>
      <c r="T653" s="1" t="s">
        <v>2412</v>
      </c>
      <c r="U653" s="1"/>
      <c r="V653" s="27"/>
      <c r="W653" s="21"/>
      <c r="X653" s="28"/>
      <c r="Y653" s="21">
        <v>4</v>
      </c>
      <c r="Z653" s="12" t="s">
        <v>1266</v>
      </c>
      <c r="AA653" s="27"/>
      <c r="AB653" s="29"/>
      <c r="AC653" s="27"/>
      <c r="AD653" s="27"/>
    </row>
    <row r="654" spans="1:30" x14ac:dyDescent="0.25">
      <c r="A654" s="4"/>
      <c r="B654" s="4">
        <v>45848</v>
      </c>
      <c r="C654" s="1" t="s">
        <v>1991</v>
      </c>
      <c r="D654" s="1" t="s">
        <v>2414</v>
      </c>
      <c r="E654" s="169" t="s">
        <v>1313</v>
      </c>
      <c r="F654" s="1" t="s">
        <v>1313</v>
      </c>
      <c r="G654" s="8">
        <v>3</v>
      </c>
      <c r="H654" s="8">
        <v>3</v>
      </c>
      <c r="I654" s="115">
        <f>Table223[[#This Row],[Qty]]-Table223[[#This Row],[Issue Qty]]</f>
        <v>0</v>
      </c>
      <c r="J654" s="5">
        <v>1398.31</v>
      </c>
      <c r="K654" s="5">
        <f t="shared" si="32"/>
        <v>4194.93</v>
      </c>
      <c r="L654" s="82">
        <v>0.18</v>
      </c>
      <c r="M654" s="9">
        <f t="shared" si="33"/>
        <v>755.0874</v>
      </c>
      <c r="N654" s="5">
        <v>0</v>
      </c>
      <c r="O654" s="5"/>
      <c r="P654" s="5">
        <f t="shared" si="34"/>
        <v>4950.0174000000006</v>
      </c>
      <c r="Q654" s="1" t="s">
        <v>1230</v>
      </c>
      <c r="R654" s="1" t="s">
        <v>1230</v>
      </c>
      <c r="S654" s="1" t="s">
        <v>1314</v>
      </c>
      <c r="T654" s="1" t="s">
        <v>2415</v>
      </c>
      <c r="U654" s="1"/>
      <c r="V654" s="27"/>
      <c r="W654" s="21"/>
      <c r="X654" s="28"/>
      <c r="Y654" s="21">
        <v>3</v>
      </c>
      <c r="Z654" s="12" t="s">
        <v>1266</v>
      </c>
      <c r="AA654" s="27"/>
      <c r="AB654" s="29"/>
      <c r="AC654" s="27"/>
      <c r="AD654" s="27"/>
    </row>
    <row r="655" spans="1:30" x14ac:dyDescent="0.25">
      <c r="A655" s="4"/>
      <c r="B655" s="4">
        <v>45848</v>
      </c>
      <c r="C655" s="1" t="s">
        <v>1993</v>
      </c>
      <c r="D655" s="1" t="s">
        <v>37</v>
      </c>
      <c r="E655" s="1" t="s">
        <v>1315</v>
      </c>
      <c r="F655" s="1" t="s">
        <v>1315</v>
      </c>
      <c r="G655" s="8">
        <v>2</v>
      </c>
      <c r="H655" s="8"/>
      <c r="I655" s="115">
        <f>Table223[[#This Row],[Qty]]-Table223[[#This Row],[Issue Qty]]</f>
        <v>2</v>
      </c>
      <c r="J655" s="5">
        <v>244.28</v>
      </c>
      <c r="K655" s="5">
        <f t="shared" si="32"/>
        <v>488.56</v>
      </c>
      <c r="L655" s="82">
        <v>0.18</v>
      </c>
      <c r="M655" s="9">
        <f t="shared" si="33"/>
        <v>87.940799999999996</v>
      </c>
      <c r="N655" s="5">
        <v>0.02</v>
      </c>
      <c r="O655" s="5"/>
      <c r="P655" s="5">
        <f t="shared" si="34"/>
        <v>576.52080000000001</v>
      </c>
      <c r="Q655" s="1" t="s">
        <v>980</v>
      </c>
      <c r="R655" s="1" t="s">
        <v>980</v>
      </c>
      <c r="S655" s="1" t="s">
        <v>384</v>
      </c>
      <c r="T655" s="1" t="s">
        <v>2416</v>
      </c>
      <c r="U655" s="1"/>
      <c r="V655" s="27"/>
      <c r="W655" s="21"/>
      <c r="X655" s="28"/>
      <c r="Y655" s="21">
        <v>2</v>
      </c>
      <c r="Z655" s="12" t="s">
        <v>1125</v>
      </c>
      <c r="AA655" s="27"/>
      <c r="AB655" s="29"/>
      <c r="AC655" s="27"/>
      <c r="AD655" s="27"/>
    </row>
    <row r="656" spans="1:30" s="24" customFormat="1" x14ac:dyDescent="0.25">
      <c r="A656" s="4"/>
      <c r="B656" s="4">
        <v>45848</v>
      </c>
      <c r="C656" s="1" t="s">
        <v>2003</v>
      </c>
      <c r="D656" s="1" t="s">
        <v>2417</v>
      </c>
      <c r="E656" s="1" t="s">
        <v>1316</v>
      </c>
      <c r="F656" s="1" t="s">
        <v>1316</v>
      </c>
      <c r="G656" s="8">
        <v>10</v>
      </c>
      <c r="H656" s="8"/>
      <c r="I656" s="115">
        <f>Table223[[#This Row],[Qty]]-Table223[[#This Row],[Issue Qty]]</f>
        <v>10</v>
      </c>
      <c r="J656" s="5">
        <v>960</v>
      </c>
      <c r="K656" s="5">
        <f t="shared" si="32"/>
        <v>9600</v>
      </c>
      <c r="L656" s="82">
        <v>0.18</v>
      </c>
      <c r="M656" s="9">
        <f t="shared" si="33"/>
        <v>1728</v>
      </c>
      <c r="N656" s="5">
        <v>0</v>
      </c>
      <c r="O656" s="5"/>
      <c r="P656" s="5">
        <f t="shared" si="34"/>
        <v>11328</v>
      </c>
      <c r="Q656" s="1" t="s">
        <v>1230</v>
      </c>
      <c r="R656" s="1" t="s">
        <v>1230</v>
      </c>
      <c r="S656" s="1" t="s">
        <v>1269</v>
      </c>
      <c r="T656" s="1" t="s">
        <v>2418</v>
      </c>
      <c r="U656" s="1"/>
      <c r="V656" s="27"/>
      <c r="W656" s="21" t="s">
        <v>1317</v>
      </c>
      <c r="X656" s="28"/>
      <c r="Y656" s="21"/>
      <c r="Z656" s="12"/>
      <c r="AA656" s="27"/>
      <c r="AB656" s="29"/>
      <c r="AC656" s="27"/>
      <c r="AD656" s="2"/>
    </row>
    <row r="657" spans="1:30" x14ac:dyDescent="0.25">
      <c r="A657" s="4"/>
      <c r="B657" s="4">
        <v>45848</v>
      </c>
      <c r="C657" s="1" t="s">
        <v>2003</v>
      </c>
      <c r="D657" s="1" t="s">
        <v>2419</v>
      </c>
      <c r="E657" s="1" t="s">
        <v>1318</v>
      </c>
      <c r="F657" s="1" t="s">
        <v>1318</v>
      </c>
      <c r="G657" s="8">
        <v>10</v>
      </c>
      <c r="H657" s="8"/>
      <c r="I657" s="115">
        <f>Table223[[#This Row],[Qty]]-Table223[[#This Row],[Issue Qty]]</f>
        <v>10</v>
      </c>
      <c r="J657" s="5">
        <v>850</v>
      </c>
      <c r="K657" s="5">
        <f t="shared" si="32"/>
        <v>8500</v>
      </c>
      <c r="L657" s="82">
        <v>0.18</v>
      </c>
      <c r="M657" s="9">
        <f t="shared" si="33"/>
        <v>1530</v>
      </c>
      <c r="N657" s="5">
        <f>300+300*0.18</f>
        <v>354</v>
      </c>
      <c r="O657" s="5"/>
      <c r="P657" s="5">
        <f t="shared" si="34"/>
        <v>10384</v>
      </c>
      <c r="Q657" s="1" t="s">
        <v>1230</v>
      </c>
      <c r="R657" s="1" t="s">
        <v>1230</v>
      </c>
      <c r="S657" s="1" t="s">
        <v>1269</v>
      </c>
      <c r="T657" s="1" t="s">
        <v>2418</v>
      </c>
      <c r="U657" s="1"/>
      <c r="V657" s="27"/>
      <c r="W657" s="21" t="s">
        <v>1317</v>
      </c>
      <c r="X657" s="28"/>
      <c r="Y657" s="21"/>
      <c r="Z657" s="12"/>
      <c r="AA657" s="27"/>
      <c r="AB657" s="29"/>
      <c r="AC657" s="27"/>
      <c r="AD657" s="27"/>
    </row>
    <row r="658" spans="1:30" ht="30" x14ac:dyDescent="0.25">
      <c r="A658" s="4"/>
      <c r="B658" s="4">
        <v>45849</v>
      </c>
      <c r="C658" s="1" t="s">
        <v>1993</v>
      </c>
      <c r="D658" s="1" t="s">
        <v>2420</v>
      </c>
      <c r="E658" s="1" t="s">
        <v>1319</v>
      </c>
      <c r="F658" s="1" t="s">
        <v>1319</v>
      </c>
      <c r="G658" s="8">
        <v>3</v>
      </c>
      <c r="H658" s="8"/>
      <c r="I658" s="115">
        <f>Table223[[#This Row],[Qty]]-Table223[[#This Row],[Issue Qty]]</f>
        <v>3</v>
      </c>
      <c r="J658" s="5">
        <v>61.016666999999998</v>
      </c>
      <c r="K658" s="5">
        <f t="shared" si="32"/>
        <v>183.05000100000001</v>
      </c>
      <c r="L658" s="82">
        <v>0.18</v>
      </c>
      <c r="M658" s="9">
        <f t="shared" si="33"/>
        <v>32.949000179999999</v>
      </c>
      <c r="N658" s="5">
        <v>99</v>
      </c>
      <c r="O658" s="5"/>
      <c r="P658" s="5">
        <f t="shared" si="34"/>
        <v>314.99900117999999</v>
      </c>
      <c r="Q658" s="1" t="s">
        <v>980</v>
      </c>
      <c r="R658" s="1" t="s">
        <v>980</v>
      </c>
      <c r="S658" s="1" t="s">
        <v>691</v>
      </c>
      <c r="T658" s="1" t="s">
        <v>2421</v>
      </c>
      <c r="U658" s="1"/>
      <c r="V658" s="1"/>
      <c r="W658" s="21"/>
      <c r="X658" s="8"/>
      <c r="Y658" s="8">
        <v>3</v>
      </c>
      <c r="Z658" s="12" t="s">
        <v>1125</v>
      </c>
      <c r="AA658" s="1"/>
      <c r="AB658" s="29" t="s">
        <v>701</v>
      </c>
      <c r="AC658" s="1"/>
      <c r="AD658" s="27"/>
    </row>
    <row r="659" spans="1:30" x14ac:dyDescent="0.25">
      <c r="A659" s="4"/>
      <c r="B659" s="4">
        <v>45849</v>
      </c>
      <c r="C659" s="1" t="s">
        <v>54</v>
      </c>
      <c r="D659" s="1" t="s">
        <v>2422</v>
      </c>
      <c r="E659" s="1" t="s">
        <v>1320</v>
      </c>
      <c r="F659" s="1" t="s">
        <v>1320</v>
      </c>
      <c r="G659" s="8">
        <v>3</v>
      </c>
      <c r="H659" s="8"/>
      <c r="I659" s="115">
        <f>Table223[[#This Row],[Qty]]-Table223[[#This Row],[Issue Qty]]</f>
        <v>3</v>
      </c>
      <c r="J659" s="5">
        <v>200</v>
      </c>
      <c r="K659" s="5">
        <f t="shared" si="32"/>
        <v>600</v>
      </c>
      <c r="L659" s="82">
        <v>0.18</v>
      </c>
      <c r="M659" s="9">
        <f t="shared" si="33"/>
        <v>108</v>
      </c>
      <c r="N659" s="5">
        <v>0</v>
      </c>
      <c r="O659" s="5"/>
      <c r="P659" s="5">
        <f t="shared" si="34"/>
        <v>708</v>
      </c>
      <c r="Q659" s="1" t="s">
        <v>980</v>
      </c>
      <c r="R659" s="1" t="s">
        <v>980</v>
      </c>
      <c r="S659" s="1" t="s">
        <v>1269</v>
      </c>
      <c r="T659" s="1" t="s">
        <v>2423</v>
      </c>
      <c r="U659" s="1"/>
      <c r="V659" s="27"/>
      <c r="W659" s="21"/>
      <c r="X659" s="28"/>
      <c r="Y659" s="21">
        <v>3</v>
      </c>
      <c r="Z659" s="12" t="s">
        <v>1125</v>
      </c>
      <c r="AA659" s="27"/>
      <c r="AB659" s="29"/>
      <c r="AC659" s="27"/>
      <c r="AD659" s="27"/>
    </row>
    <row r="660" spans="1:30" s="24" customFormat="1" x14ac:dyDescent="0.25">
      <c r="A660" s="4"/>
      <c r="B660" s="4">
        <v>45849</v>
      </c>
      <c r="C660" s="1" t="s">
        <v>54</v>
      </c>
      <c r="D660" s="1" t="s">
        <v>2424</v>
      </c>
      <c r="E660" s="1" t="s">
        <v>1321</v>
      </c>
      <c r="F660" s="1" t="s">
        <v>1321</v>
      </c>
      <c r="G660" s="8">
        <v>6</v>
      </c>
      <c r="H660" s="8"/>
      <c r="I660" s="115">
        <f>Table223[[#This Row],[Qty]]-Table223[[#This Row],[Issue Qty]]</f>
        <v>6</v>
      </c>
      <c r="J660" s="5">
        <v>100</v>
      </c>
      <c r="K660" s="5">
        <f t="shared" si="32"/>
        <v>600</v>
      </c>
      <c r="L660" s="82">
        <v>0.18</v>
      </c>
      <c r="M660" s="9">
        <f t="shared" si="33"/>
        <v>108</v>
      </c>
      <c r="N660" s="5">
        <v>0</v>
      </c>
      <c r="O660" s="5"/>
      <c r="P660" s="5">
        <f t="shared" si="34"/>
        <v>708</v>
      </c>
      <c r="Q660" s="1" t="s">
        <v>980</v>
      </c>
      <c r="R660" s="1" t="s">
        <v>980</v>
      </c>
      <c r="S660" s="1" t="s">
        <v>1269</v>
      </c>
      <c r="T660" s="1" t="s">
        <v>2423</v>
      </c>
      <c r="U660" s="1"/>
      <c r="V660" s="27"/>
      <c r="W660" s="21"/>
      <c r="X660" s="28"/>
      <c r="Y660" s="21">
        <v>6</v>
      </c>
      <c r="Z660" s="12" t="s">
        <v>1125</v>
      </c>
      <c r="AA660" s="27"/>
      <c r="AB660" s="29"/>
      <c r="AC660" s="27"/>
      <c r="AD660" s="2"/>
    </row>
    <row r="661" spans="1:30" x14ac:dyDescent="0.25">
      <c r="A661" s="4"/>
      <c r="B661" s="4">
        <v>45849</v>
      </c>
      <c r="C661" s="1" t="s">
        <v>54</v>
      </c>
      <c r="D661" s="1" t="s">
        <v>2425</v>
      </c>
      <c r="E661" s="1" t="s">
        <v>1322</v>
      </c>
      <c r="F661" s="1" t="s">
        <v>1322</v>
      </c>
      <c r="G661" s="8">
        <v>6</v>
      </c>
      <c r="H661" s="8"/>
      <c r="I661" s="115">
        <f>Table223[[#This Row],[Qty]]-Table223[[#This Row],[Issue Qty]]</f>
        <v>6</v>
      </c>
      <c r="J661" s="5">
        <v>100</v>
      </c>
      <c r="K661" s="5">
        <f t="shared" si="32"/>
        <v>600</v>
      </c>
      <c r="L661" s="82">
        <v>0.18</v>
      </c>
      <c r="M661" s="9">
        <f t="shared" si="33"/>
        <v>108</v>
      </c>
      <c r="N661" s="5">
        <v>0</v>
      </c>
      <c r="O661" s="5"/>
      <c r="P661" s="5">
        <f t="shared" si="34"/>
        <v>708</v>
      </c>
      <c r="Q661" s="1" t="s">
        <v>980</v>
      </c>
      <c r="R661" s="1" t="s">
        <v>980</v>
      </c>
      <c r="S661" s="1" t="s">
        <v>1269</v>
      </c>
      <c r="T661" s="1" t="s">
        <v>2423</v>
      </c>
      <c r="U661" s="1"/>
      <c r="V661" s="27"/>
      <c r="W661" s="21"/>
      <c r="X661" s="28"/>
      <c r="Y661" s="21">
        <v>6</v>
      </c>
      <c r="Z661" s="12" t="s">
        <v>1125</v>
      </c>
      <c r="AA661" s="27"/>
      <c r="AB661" s="29"/>
      <c r="AC661" s="27"/>
      <c r="AD661" s="27"/>
    </row>
    <row r="662" spans="1:30" x14ac:dyDescent="0.25">
      <c r="A662" s="4"/>
      <c r="B662" s="4">
        <v>45849</v>
      </c>
      <c r="C662" s="1" t="s">
        <v>54</v>
      </c>
      <c r="D662" s="1" t="s">
        <v>2426</v>
      </c>
      <c r="E662" s="1" t="s">
        <v>1323</v>
      </c>
      <c r="F662" s="1" t="s">
        <v>1323</v>
      </c>
      <c r="G662" s="8">
        <v>3</v>
      </c>
      <c r="H662" s="8"/>
      <c r="I662" s="115">
        <f>Table223[[#This Row],[Qty]]-Table223[[#This Row],[Issue Qty]]</f>
        <v>3</v>
      </c>
      <c r="J662" s="5">
        <v>400</v>
      </c>
      <c r="K662" s="5">
        <f t="shared" si="32"/>
        <v>1200</v>
      </c>
      <c r="L662" s="82">
        <v>0.18</v>
      </c>
      <c r="M662" s="9">
        <f t="shared" si="33"/>
        <v>216</v>
      </c>
      <c r="N662" s="5">
        <v>354</v>
      </c>
      <c r="O662" s="5"/>
      <c r="P662" s="5">
        <f t="shared" si="34"/>
        <v>1770</v>
      </c>
      <c r="Q662" s="1" t="s">
        <v>980</v>
      </c>
      <c r="R662" s="1" t="s">
        <v>980</v>
      </c>
      <c r="S662" s="1" t="s">
        <v>1269</v>
      </c>
      <c r="T662" s="1" t="s">
        <v>2423</v>
      </c>
      <c r="U662" s="1"/>
      <c r="V662" s="27"/>
      <c r="W662" s="21"/>
      <c r="X662" s="28"/>
      <c r="Y662" s="21">
        <v>3</v>
      </c>
      <c r="Z662" s="12" t="s">
        <v>1125</v>
      </c>
      <c r="AA662" s="27"/>
      <c r="AB662" s="29"/>
      <c r="AC662" s="27"/>
      <c r="AD662" s="27"/>
    </row>
    <row r="663" spans="1:30" x14ac:dyDescent="0.25">
      <c r="A663" s="4"/>
      <c r="B663" s="4">
        <v>45852</v>
      </c>
      <c r="C663" s="1" t="s">
        <v>1993</v>
      </c>
      <c r="D663" s="26" t="s">
        <v>2427</v>
      </c>
      <c r="E663" s="26" t="s">
        <v>1324</v>
      </c>
      <c r="F663" s="1" t="s">
        <v>1325</v>
      </c>
      <c r="G663" s="8">
        <v>2</v>
      </c>
      <c r="H663" s="8"/>
      <c r="I663" s="115">
        <f>Table223[[#This Row],[Qty]]-Table223[[#This Row],[Issue Qty]]</f>
        <v>2</v>
      </c>
      <c r="J663" s="5">
        <v>908.13</v>
      </c>
      <c r="K663" s="5">
        <f t="shared" si="32"/>
        <v>1816.26</v>
      </c>
      <c r="L663" s="82">
        <v>0.18</v>
      </c>
      <c r="M663" s="9">
        <f t="shared" si="33"/>
        <v>326.92680000000001</v>
      </c>
      <c r="N663" s="5">
        <v>0</v>
      </c>
      <c r="O663" s="5"/>
      <c r="P663" s="5">
        <f t="shared" si="34"/>
        <v>2143.1867999999999</v>
      </c>
      <c r="Q663" s="1" t="s">
        <v>980</v>
      </c>
      <c r="R663" s="1" t="s">
        <v>980</v>
      </c>
      <c r="S663" s="1" t="s">
        <v>384</v>
      </c>
      <c r="T663" s="1" t="s">
        <v>2428</v>
      </c>
      <c r="U663" s="1"/>
      <c r="V663" s="27"/>
      <c r="W663" s="21" t="s">
        <v>445</v>
      </c>
      <c r="X663" s="28"/>
      <c r="Y663" s="21"/>
      <c r="Z663" s="12"/>
      <c r="AA663" s="27"/>
      <c r="AB663" s="29"/>
      <c r="AC663" s="27"/>
      <c r="AD663" s="27"/>
    </row>
    <row r="664" spans="1:30" x14ac:dyDescent="0.25">
      <c r="A664" s="4"/>
      <c r="B664" s="4">
        <v>45852</v>
      </c>
      <c r="C664" s="1" t="s">
        <v>54</v>
      </c>
      <c r="D664" s="26" t="s">
        <v>2256</v>
      </c>
      <c r="E664" s="26" t="s">
        <v>1091</v>
      </c>
      <c r="F664" s="1" t="s">
        <v>1326</v>
      </c>
      <c r="G664" s="8">
        <v>3</v>
      </c>
      <c r="H664" s="8">
        <v>3</v>
      </c>
      <c r="I664" s="115">
        <f>Table223[[#This Row],[Qty]]-Table223[[#This Row],[Issue Qty]]</f>
        <v>0</v>
      </c>
      <c r="J664" s="5">
        <v>406</v>
      </c>
      <c r="K664" s="5">
        <f t="shared" si="32"/>
        <v>1218</v>
      </c>
      <c r="L664" s="82">
        <v>0.18</v>
      </c>
      <c r="M664" s="9">
        <f t="shared" si="33"/>
        <v>219.23999999999998</v>
      </c>
      <c r="N664" s="5">
        <v>0</v>
      </c>
      <c r="O664" s="5"/>
      <c r="P664" s="5">
        <f t="shared" si="34"/>
        <v>1437.24</v>
      </c>
      <c r="Q664" s="1" t="s">
        <v>980</v>
      </c>
      <c r="R664" s="1" t="s">
        <v>980</v>
      </c>
      <c r="S664" s="1" t="s">
        <v>764</v>
      </c>
      <c r="T664" s="1" t="s">
        <v>2429</v>
      </c>
      <c r="U664" s="1"/>
      <c r="V664" s="1"/>
      <c r="W664" s="21"/>
      <c r="X664" s="8"/>
      <c r="Y664" s="8">
        <v>3</v>
      </c>
      <c r="Z664" s="22" t="s">
        <v>1125</v>
      </c>
      <c r="AA664" s="1"/>
      <c r="AB664" s="29"/>
      <c r="AC664" s="1"/>
      <c r="AD664" s="27"/>
    </row>
    <row r="665" spans="1:30" x14ac:dyDescent="0.25">
      <c r="A665" s="4"/>
      <c r="B665" s="4">
        <v>45852</v>
      </c>
      <c r="C665" s="1" t="s">
        <v>1991</v>
      </c>
      <c r="D665" s="26" t="s">
        <v>2430</v>
      </c>
      <c r="E665" s="26" t="s">
        <v>1327</v>
      </c>
      <c r="F665" s="1" t="s">
        <v>1327</v>
      </c>
      <c r="G665" s="8">
        <v>2</v>
      </c>
      <c r="H665" s="8"/>
      <c r="I665" s="115">
        <f>Table223[[#This Row],[Qty]]-Table223[[#This Row],[Issue Qty]]</f>
        <v>2</v>
      </c>
      <c r="J665" s="5">
        <v>5841.25</v>
      </c>
      <c r="K665" s="5">
        <f t="shared" si="32"/>
        <v>11682.5</v>
      </c>
      <c r="L665" s="82">
        <v>0.05</v>
      </c>
      <c r="M665" s="9">
        <f t="shared" si="33"/>
        <v>584.125</v>
      </c>
      <c r="N665" s="5">
        <v>0</v>
      </c>
      <c r="O665" s="5"/>
      <c r="P665" s="5">
        <f t="shared" si="34"/>
        <v>12266.625</v>
      </c>
      <c r="Q665" s="1" t="s">
        <v>980</v>
      </c>
      <c r="R665" s="1" t="s">
        <v>980</v>
      </c>
      <c r="S665" s="1" t="s">
        <v>691</v>
      </c>
      <c r="T665" s="1" t="s">
        <v>2431</v>
      </c>
      <c r="U665" s="1"/>
      <c r="V665" s="1"/>
      <c r="W665" s="21" t="s">
        <v>244</v>
      </c>
      <c r="X665" s="8"/>
      <c r="Y665" s="8"/>
      <c r="Z665" s="22"/>
      <c r="AA665" s="1"/>
      <c r="AB665" s="29"/>
      <c r="AC665" s="1"/>
      <c r="AD665" s="27"/>
    </row>
    <row r="666" spans="1:30" x14ac:dyDescent="0.25">
      <c r="A666" s="4"/>
      <c r="B666" s="4">
        <v>45852</v>
      </c>
      <c r="C666" s="1" t="s">
        <v>54</v>
      </c>
      <c r="D666" s="26" t="s">
        <v>2205</v>
      </c>
      <c r="E666" s="26" t="s">
        <v>1000</v>
      </c>
      <c r="F666" s="1" t="s">
        <v>1328</v>
      </c>
      <c r="G666" s="8">
        <v>12</v>
      </c>
      <c r="H666" s="8">
        <v>12</v>
      </c>
      <c r="I666" s="115">
        <f>Table223[[#This Row],[Qty]]-Table223[[#This Row],[Issue Qty]]</f>
        <v>0</v>
      </c>
      <c r="J666" s="5">
        <v>592</v>
      </c>
      <c r="K666" s="5">
        <f t="shared" si="32"/>
        <v>7104</v>
      </c>
      <c r="L666" s="82">
        <v>0.18</v>
      </c>
      <c r="M666" s="9">
        <f t="shared" si="33"/>
        <v>1278.72</v>
      </c>
      <c r="N666" s="5">
        <v>0</v>
      </c>
      <c r="O666" s="5"/>
      <c r="P666" s="5">
        <f t="shared" si="34"/>
        <v>8382.7199999999993</v>
      </c>
      <c r="Q666" s="1" t="s">
        <v>980</v>
      </c>
      <c r="R666" s="1" t="s">
        <v>980</v>
      </c>
      <c r="S666" s="1" t="s">
        <v>764</v>
      </c>
      <c r="T666" s="1" t="s">
        <v>2429</v>
      </c>
      <c r="U666" s="1"/>
      <c r="V666" s="2"/>
      <c r="W666" s="21"/>
      <c r="X666" s="21"/>
      <c r="Y666" s="21">
        <v>12</v>
      </c>
      <c r="Z666" s="12" t="s">
        <v>1125</v>
      </c>
      <c r="AA666" s="2"/>
      <c r="AB666" s="29"/>
      <c r="AC666" s="2"/>
      <c r="AD666" s="27"/>
    </row>
    <row r="667" spans="1:30" s="24" customFormat="1" x14ac:dyDescent="0.25">
      <c r="A667" s="4"/>
      <c r="B667" s="4">
        <v>45852</v>
      </c>
      <c r="C667" s="1" t="s">
        <v>1991</v>
      </c>
      <c r="D667" s="26" t="s">
        <v>2432</v>
      </c>
      <c r="E667" s="26" t="s">
        <v>1329</v>
      </c>
      <c r="F667" s="1" t="s">
        <v>1330</v>
      </c>
      <c r="G667" s="8">
        <v>2</v>
      </c>
      <c r="H667" s="8">
        <v>1</v>
      </c>
      <c r="I667" s="115">
        <f>Table223[[#This Row],[Qty]]-Table223[[#This Row],[Issue Qty]]</f>
        <v>1</v>
      </c>
      <c r="J667" s="5">
        <v>6027.62</v>
      </c>
      <c r="K667" s="5">
        <f t="shared" si="32"/>
        <v>12055.24</v>
      </c>
      <c r="L667" s="82">
        <v>0.05</v>
      </c>
      <c r="M667" s="9">
        <f t="shared" si="33"/>
        <v>602.76200000000006</v>
      </c>
      <c r="N667" s="5">
        <v>0</v>
      </c>
      <c r="O667" s="5"/>
      <c r="P667" s="5">
        <f t="shared" si="34"/>
        <v>12658.002</v>
      </c>
      <c r="Q667" s="1" t="s">
        <v>980</v>
      </c>
      <c r="R667" s="1" t="s">
        <v>980</v>
      </c>
      <c r="S667" s="1" t="s">
        <v>691</v>
      </c>
      <c r="T667" s="1" t="s">
        <v>2431</v>
      </c>
      <c r="U667" s="1"/>
      <c r="V667" s="1"/>
      <c r="W667" s="21" t="s">
        <v>52</v>
      </c>
      <c r="X667" s="8" t="s">
        <v>53</v>
      </c>
      <c r="Y667" s="8">
        <v>1</v>
      </c>
      <c r="Z667" s="22" t="s">
        <v>1125</v>
      </c>
      <c r="AA667" s="1"/>
      <c r="AB667" s="29"/>
      <c r="AC667" s="1"/>
      <c r="AD667" s="2"/>
    </row>
    <row r="668" spans="1:30" s="24" customFormat="1" x14ac:dyDescent="0.25">
      <c r="A668" s="4"/>
      <c r="B668" s="4">
        <v>45852</v>
      </c>
      <c r="C668" s="1" t="s">
        <v>54</v>
      </c>
      <c r="D668" s="26" t="s">
        <v>2409</v>
      </c>
      <c r="E668" s="26" t="s">
        <v>1311</v>
      </c>
      <c r="F668" s="1" t="s">
        <v>1331</v>
      </c>
      <c r="G668" s="8">
        <v>3</v>
      </c>
      <c r="H668" s="8"/>
      <c r="I668" s="115">
        <f>Table223[[#This Row],[Qty]]-Table223[[#This Row],[Issue Qty]]</f>
        <v>3</v>
      </c>
      <c r="J668" s="5">
        <v>406</v>
      </c>
      <c r="K668" s="5">
        <f t="shared" si="32"/>
        <v>1218</v>
      </c>
      <c r="L668" s="82">
        <v>0.18</v>
      </c>
      <c r="M668" s="9">
        <f t="shared" si="33"/>
        <v>219.23999999999998</v>
      </c>
      <c r="N668" s="5">
        <v>0</v>
      </c>
      <c r="O668" s="5"/>
      <c r="P668" s="5">
        <f t="shared" si="34"/>
        <v>1437.24</v>
      </c>
      <c r="Q668" s="1" t="s">
        <v>980</v>
      </c>
      <c r="R668" s="1" t="s">
        <v>980</v>
      </c>
      <c r="S668" s="1" t="s">
        <v>764</v>
      </c>
      <c r="T668" s="1" t="s">
        <v>2429</v>
      </c>
      <c r="U668" s="1"/>
      <c r="V668" s="27"/>
      <c r="W668" s="21"/>
      <c r="X668" s="28"/>
      <c r="Y668" s="21">
        <v>3</v>
      </c>
      <c r="Z668" s="22" t="s">
        <v>1125</v>
      </c>
      <c r="AA668" s="27"/>
      <c r="AB668" s="29"/>
      <c r="AC668" s="27"/>
      <c r="AD668" s="2"/>
    </row>
    <row r="669" spans="1:30" ht="30" x14ac:dyDescent="0.25">
      <c r="A669" s="4"/>
      <c r="B669" s="4">
        <v>45852</v>
      </c>
      <c r="C669" s="1" t="s">
        <v>54</v>
      </c>
      <c r="D669" s="26" t="s">
        <v>2433</v>
      </c>
      <c r="E669" s="26" t="s">
        <v>1332</v>
      </c>
      <c r="F669" s="1" t="s">
        <v>1333</v>
      </c>
      <c r="G669" s="8">
        <v>1</v>
      </c>
      <c r="H669" s="8"/>
      <c r="I669" s="115">
        <f>Table223[[#This Row],[Qty]]-Table223[[#This Row],[Issue Qty]]</f>
        <v>1</v>
      </c>
      <c r="J669" s="5">
        <v>1000</v>
      </c>
      <c r="K669" s="5">
        <f t="shared" si="32"/>
        <v>1000</v>
      </c>
      <c r="L669" s="82">
        <v>0.18</v>
      </c>
      <c r="M669" s="9">
        <f t="shared" si="33"/>
        <v>180</v>
      </c>
      <c r="N669" s="5">
        <v>0</v>
      </c>
      <c r="O669" s="5"/>
      <c r="P669" s="5">
        <f t="shared" si="34"/>
        <v>1180</v>
      </c>
      <c r="Q669" s="1" t="s">
        <v>980</v>
      </c>
      <c r="R669" s="1" t="s">
        <v>980</v>
      </c>
      <c r="S669" s="1" t="s">
        <v>358</v>
      </c>
      <c r="T669" s="1" t="s">
        <v>2434</v>
      </c>
      <c r="U669" s="1"/>
      <c r="V669" s="27"/>
      <c r="W669" s="21"/>
      <c r="X669" s="28"/>
      <c r="Y669" s="21">
        <v>1</v>
      </c>
      <c r="Z669" s="22" t="s">
        <v>1125</v>
      </c>
      <c r="AA669" s="27"/>
      <c r="AB669" s="29"/>
      <c r="AC669" s="27"/>
      <c r="AD669" s="27"/>
    </row>
    <row r="670" spans="1:30" s="24" customFormat="1" x14ac:dyDescent="0.25">
      <c r="A670" s="4"/>
      <c r="B670" s="4">
        <v>45852</v>
      </c>
      <c r="C670" s="1" t="s">
        <v>54</v>
      </c>
      <c r="D670" s="26" t="s">
        <v>2435</v>
      </c>
      <c r="E670" s="26" t="s">
        <v>1087</v>
      </c>
      <c r="F670" s="1" t="s">
        <v>1334</v>
      </c>
      <c r="G670" s="8">
        <v>3</v>
      </c>
      <c r="H670" s="8"/>
      <c r="I670" s="115">
        <f>Table223[[#This Row],[Qty]]-Table223[[#This Row],[Issue Qty]]</f>
        <v>3</v>
      </c>
      <c r="J670" s="5">
        <v>406</v>
      </c>
      <c r="K670" s="5">
        <f t="shared" si="32"/>
        <v>1218</v>
      </c>
      <c r="L670" s="82">
        <v>0.18</v>
      </c>
      <c r="M670" s="9">
        <f t="shared" si="33"/>
        <v>219.23999999999998</v>
      </c>
      <c r="N670" s="5">
        <v>0</v>
      </c>
      <c r="O670" s="5"/>
      <c r="P670" s="5">
        <f t="shared" si="34"/>
        <v>1437.24</v>
      </c>
      <c r="Q670" s="1" t="s">
        <v>980</v>
      </c>
      <c r="R670" s="1" t="s">
        <v>980</v>
      </c>
      <c r="S670" s="1" t="s">
        <v>764</v>
      </c>
      <c r="T670" s="1" t="s">
        <v>2429</v>
      </c>
      <c r="U670" s="1"/>
      <c r="V670" s="27"/>
      <c r="W670" s="21"/>
      <c r="X670" s="28"/>
      <c r="Y670" s="21">
        <v>3</v>
      </c>
      <c r="Z670" s="22" t="s">
        <v>1125</v>
      </c>
      <c r="AA670" s="27"/>
      <c r="AB670" s="29" t="s">
        <v>1334</v>
      </c>
      <c r="AC670" s="27"/>
      <c r="AD670" s="2"/>
    </row>
    <row r="671" spans="1:30" x14ac:dyDescent="0.25">
      <c r="A671" s="4"/>
      <c r="B671" s="4">
        <v>45852</v>
      </c>
      <c r="C671" s="1" t="s">
        <v>54</v>
      </c>
      <c r="D671" s="26" t="s">
        <v>2403</v>
      </c>
      <c r="E671" s="26" t="s">
        <v>1299</v>
      </c>
      <c r="F671" s="1" t="s">
        <v>1335</v>
      </c>
      <c r="G671" s="8">
        <v>3</v>
      </c>
      <c r="H671" s="8">
        <v>3</v>
      </c>
      <c r="I671" s="115">
        <f>Table223[[#This Row],[Qty]]-Table223[[#This Row],[Issue Qty]]</f>
        <v>0</v>
      </c>
      <c r="J671" s="5">
        <v>406</v>
      </c>
      <c r="K671" s="5">
        <f t="shared" si="32"/>
        <v>1218</v>
      </c>
      <c r="L671" s="82">
        <v>0.18</v>
      </c>
      <c r="M671" s="9">
        <f t="shared" si="33"/>
        <v>219.23999999999998</v>
      </c>
      <c r="N671" s="5">
        <v>0</v>
      </c>
      <c r="O671" s="5"/>
      <c r="P671" s="5">
        <f t="shared" si="34"/>
        <v>1437.24</v>
      </c>
      <c r="Q671" s="1" t="s">
        <v>980</v>
      </c>
      <c r="R671" s="1" t="s">
        <v>980</v>
      </c>
      <c r="S671" s="1" t="s">
        <v>764</v>
      </c>
      <c r="T671" s="1" t="s">
        <v>2429</v>
      </c>
      <c r="U671" s="1"/>
      <c r="V671" s="27"/>
      <c r="W671" s="21"/>
      <c r="X671" s="28"/>
      <c r="Y671" s="21">
        <v>3</v>
      </c>
      <c r="Z671" s="22" t="s">
        <v>1125</v>
      </c>
      <c r="AA671" s="27"/>
      <c r="AB671" s="29"/>
      <c r="AC671" s="27"/>
      <c r="AD671" s="27"/>
    </row>
    <row r="672" spans="1:30" x14ac:dyDescent="0.25">
      <c r="A672" s="4"/>
      <c r="B672" s="4">
        <v>45852</v>
      </c>
      <c r="C672" s="1" t="s">
        <v>1989</v>
      </c>
      <c r="D672" s="1" t="s">
        <v>2436</v>
      </c>
      <c r="E672" s="1" t="s">
        <v>1336</v>
      </c>
      <c r="F672" s="1" t="s">
        <v>1337</v>
      </c>
      <c r="G672" s="8">
        <v>10</v>
      </c>
      <c r="H672" s="8">
        <f>3+2</f>
        <v>5</v>
      </c>
      <c r="I672" s="115">
        <f>Table223[[#This Row],[Qty]]-Table223[[#This Row],[Issue Qty]]</f>
        <v>5</v>
      </c>
      <c r="J672" s="5">
        <v>49.524000000000001</v>
      </c>
      <c r="K672" s="5">
        <f t="shared" si="32"/>
        <v>495.24</v>
      </c>
      <c r="L672" s="82">
        <v>0.05</v>
      </c>
      <c r="M672" s="9">
        <f t="shared" si="33"/>
        <v>24.762</v>
      </c>
      <c r="N672" s="5">
        <v>108</v>
      </c>
      <c r="O672" s="5"/>
      <c r="P672" s="5">
        <f t="shared" si="34"/>
        <v>628.00199999999995</v>
      </c>
      <c r="Q672" s="1" t="s">
        <v>980</v>
      </c>
      <c r="R672" s="1" t="s">
        <v>980</v>
      </c>
      <c r="S672" s="1" t="s">
        <v>749</v>
      </c>
      <c r="T672" s="1" t="s">
        <v>2437</v>
      </c>
      <c r="U672" s="1"/>
      <c r="V672" s="1"/>
      <c r="W672" s="21" t="s">
        <v>78</v>
      </c>
      <c r="X672" s="21" t="s">
        <v>1084</v>
      </c>
      <c r="Y672" s="8">
        <v>3</v>
      </c>
      <c r="Z672" s="22" t="s">
        <v>2936</v>
      </c>
      <c r="AA672" s="1"/>
      <c r="AB672" s="29" t="s">
        <v>707</v>
      </c>
      <c r="AC672" s="1"/>
      <c r="AD672" s="27"/>
    </row>
    <row r="673" spans="1:30" x14ac:dyDescent="0.25">
      <c r="A673" s="4"/>
      <c r="B673" s="4">
        <v>45852</v>
      </c>
      <c r="C673" s="1" t="s">
        <v>1989</v>
      </c>
      <c r="D673" s="1" t="s">
        <v>2438</v>
      </c>
      <c r="E673" s="1" t="s">
        <v>1338</v>
      </c>
      <c r="F673" s="1" t="s">
        <v>1338</v>
      </c>
      <c r="G673" s="8">
        <v>1</v>
      </c>
      <c r="H673" s="8"/>
      <c r="I673" s="115">
        <f>Table223[[#This Row],[Qty]]-Table223[[#This Row],[Issue Qty]]</f>
        <v>1</v>
      </c>
      <c r="J673" s="5">
        <v>3000</v>
      </c>
      <c r="K673" s="5">
        <f t="shared" si="32"/>
        <v>3000</v>
      </c>
      <c r="L673" s="82">
        <v>0.18</v>
      </c>
      <c r="M673" s="9">
        <f t="shared" si="33"/>
        <v>540</v>
      </c>
      <c r="N673" s="5">
        <v>0</v>
      </c>
      <c r="O673" s="5"/>
      <c r="P673" s="5">
        <f t="shared" si="34"/>
        <v>3540</v>
      </c>
      <c r="Q673" s="1" t="s">
        <v>980</v>
      </c>
      <c r="R673" s="1" t="s">
        <v>980</v>
      </c>
      <c r="S673" s="1" t="s">
        <v>896</v>
      </c>
      <c r="T673" s="1" t="s">
        <v>2439</v>
      </c>
      <c r="U673" s="1"/>
      <c r="V673" s="27"/>
      <c r="W673" s="21"/>
      <c r="X673" s="28"/>
      <c r="Y673" s="21">
        <v>1</v>
      </c>
      <c r="Z673" s="22" t="s">
        <v>1125</v>
      </c>
      <c r="AA673" s="27"/>
      <c r="AB673" s="29" t="s">
        <v>1338</v>
      </c>
      <c r="AC673" s="27"/>
      <c r="AD673" s="27"/>
    </row>
    <row r="674" spans="1:30" x14ac:dyDescent="0.25">
      <c r="A674" s="4"/>
      <c r="B674" s="4">
        <v>45852</v>
      </c>
      <c r="C674" s="1" t="s">
        <v>1989</v>
      </c>
      <c r="D674" s="1" t="s">
        <v>2440</v>
      </c>
      <c r="E674" s="1" t="s">
        <v>1339</v>
      </c>
      <c r="F674" s="1" t="s">
        <v>1339</v>
      </c>
      <c r="G674" s="8">
        <v>4</v>
      </c>
      <c r="H674" s="8"/>
      <c r="I674" s="115">
        <f>Table223[[#This Row],[Qty]]-Table223[[#This Row],[Issue Qty]]</f>
        <v>4</v>
      </c>
      <c r="J674" s="5">
        <v>6000</v>
      </c>
      <c r="K674" s="5">
        <f t="shared" si="32"/>
        <v>24000</v>
      </c>
      <c r="L674" s="82">
        <v>0.18</v>
      </c>
      <c r="M674" s="9">
        <f t="shared" si="33"/>
        <v>4320</v>
      </c>
      <c r="N674" s="5">
        <v>0</v>
      </c>
      <c r="O674" s="5"/>
      <c r="P674" s="5">
        <f t="shared" si="34"/>
        <v>28320</v>
      </c>
      <c r="Q674" s="1" t="s">
        <v>980</v>
      </c>
      <c r="R674" s="1" t="s">
        <v>980</v>
      </c>
      <c r="S674" s="1" t="s">
        <v>896</v>
      </c>
      <c r="T674" s="1" t="s">
        <v>2439</v>
      </c>
      <c r="U674" s="1"/>
      <c r="V674" s="27"/>
      <c r="W674" s="21"/>
      <c r="X674" s="28"/>
      <c r="Y674" s="21">
        <v>4</v>
      </c>
      <c r="Z674" s="22" t="s">
        <v>1125</v>
      </c>
      <c r="AA674" s="27"/>
      <c r="AB674" s="29" t="s">
        <v>1339</v>
      </c>
      <c r="AC674" s="27"/>
      <c r="AD674" s="27"/>
    </row>
    <row r="675" spans="1:30" s="24" customFormat="1" x14ac:dyDescent="0.25">
      <c r="A675" s="4"/>
      <c r="B675" s="4">
        <v>45852</v>
      </c>
      <c r="C675" s="1" t="s">
        <v>1993</v>
      </c>
      <c r="D675" s="26" t="s">
        <v>2441</v>
      </c>
      <c r="E675" s="26" t="s">
        <v>1340</v>
      </c>
      <c r="F675" s="1" t="s">
        <v>1340</v>
      </c>
      <c r="G675" s="8">
        <v>2</v>
      </c>
      <c r="H675" s="8"/>
      <c r="I675" s="115">
        <f>Table223[[#This Row],[Qty]]-Table223[[#This Row],[Issue Qty]]</f>
        <v>2</v>
      </c>
      <c r="J675" s="5">
        <v>42.37</v>
      </c>
      <c r="K675" s="5">
        <f t="shared" si="32"/>
        <v>84.74</v>
      </c>
      <c r="L675" s="82">
        <v>0.18</v>
      </c>
      <c r="M675" s="9">
        <f t="shared" si="33"/>
        <v>15.253199999999998</v>
      </c>
      <c r="N675" s="5">
        <v>182.71</v>
      </c>
      <c r="O675" s="5"/>
      <c r="P675" s="5">
        <f t="shared" si="34"/>
        <v>282.70319999999998</v>
      </c>
      <c r="Q675" s="1" t="s">
        <v>980</v>
      </c>
      <c r="R675" s="1" t="s">
        <v>980</v>
      </c>
      <c r="S675" s="1" t="s">
        <v>1256</v>
      </c>
      <c r="T675" s="1" t="s">
        <v>2442</v>
      </c>
      <c r="U675" s="1"/>
      <c r="V675" s="1"/>
      <c r="W675" s="21" t="s">
        <v>944</v>
      </c>
      <c r="X675" s="8" t="s">
        <v>1341</v>
      </c>
      <c r="Y675" s="8"/>
      <c r="Z675" s="22"/>
      <c r="AA675" s="1"/>
      <c r="AB675" s="29"/>
      <c r="AC675" s="1"/>
      <c r="AD675" s="2"/>
    </row>
    <row r="676" spans="1:30" s="24" customFormat="1" x14ac:dyDescent="0.25">
      <c r="A676" s="4"/>
      <c r="B676" s="4">
        <v>45852</v>
      </c>
      <c r="C676" s="1" t="s">
        <v>1989</v>
      </c>
      <c r="D676" s="1" t="s">
        <v>2443</v>
      </c>
      <c r="E676" s="1" t="s">
        <v>1342</v>
      </c>
      <c r="F676" s="1" t="s">
        <v>1342</v>
      </c>
      <c r="G676" s="8">
        <v>4</v>
      </c>
      <c r="H676" s="8"/>
      <c r="I676" s="115">
        <f>Table223[[#This Row],[Qty]]-Table223[[#This Row],[Issue Qty]]</f>
        <v>4</v>
      </c>
      <c r="J676" s="5">
        <v>1000</v>
      </c>
      <c r="K676" s="5">
        <f t="shared" si="32"/>
        <v>4000</v>
      </c>
      <c r="L676" s="82">
        <v>0.18</v>
      </c>
      <c r="M676" s="9">
        <f t="shared" si="33"/>
        <v>720</v>
      </c>
      <c r="N676" s="5">
        <v>0</v>
      </c>
      <c r="O676" s="5"/>
      <c r="P676" s="5">
        <f t="shared" si="34"/>
        <v>4720</v>
      </c>
      <c r="Q676" s="1" t="s">
        <v>980</v>
      </c>
      <c r="R676" s="1" t="s">
        <v>980</v>
      </c>
      <c r="S676" s="1" t="s">
        <v>896</v>
      </c>
      <c r="T676" s="1" t="s">
        <v>2439</v>
      </c>
      <c r="U676" s="1"/>
      <c r="V676" s="27"/>
      <c r="W676" s="21"/>
      <c r="X676" s="28"/>
      <c r="Y676" s="21">
        <v>4</v>
      </c>
      <c r="Z676" s="12" t="s">
        <v>1032</v>
      </c>
      <c r="AA676" s="27"/>
      <c r="AB676" s="29" t="s">
        <v>1342</v>
      </c>
      <c r="AC676" s="27"/>
      <c r="AD676" s="2"/>
    </row>
    <row r="677" spans="1:30" ht="30" x14ac:dyDescent="0.25">
      <c r="A677" s="4"/>
      <c r="B677" s="4">
        <v>45852</v>
      </c>
      <c r="C677" s="1" t="s">
        <v>1993</v>
      </c>
      <c r="D677" s="26" t="s">
        <v>2444</v>
      </c>
      <c r="E677" s="26" t="s">
        <v>1343</v>
      </c>
      <c r="F677" s="1" t="s">
        <v>1343</v>
      </c>
      <c r="G677" s="8">
        <v>2</v>
      </c>
      <c r="H677" s="8"/>
      <c r="I677" s="115">
        <f>Table223[[#This Row],[Qty]]-Table223[[#This Row],[Issue Qty]]</f>
        <v>2</v>
      </c>
      <c r="J677" s="5">
        <v>167.8</v>
      </c>
      <c r="K677" s="5">
        <f t="shared" si="32"/>
        <v>335.6</v>
      </c>
      <c r="L677" s="82">
        <v>0.18</v>
      </c>
      <c r="M677" s="9">
        <f t="shared" si="33"/>
        <v>60.408000000000001</v>
      </c>
      <c r="N677" s="5">
        <v>0</v>
      </c>
      <c r="O677" s="5"/>
      <c r="P677" s="5">
        <f t="shared" si="34"/>
        <v>396.00800000000004</v>
      </c>
      <c r="Q677" s="1" t="s">
        <v>980</v>
      </c>
      <c r="R677" s="1" t="s">
        <v>980</v>
      </c>
      <c r="S677" s="1" t="s">
        <v>384</v>
      </c>
      <c r="T677" s="1" t="s">
        <v>2445</v>
      </c>
      <c r="U677" s="1"/>
      <c r="V677" s="1"/>
      <c r="W677" s="21"/>
      <c r="X677" s="8"/>
      <c r="Y677" s="8">
        <v>2</v>
      </c>
      <c r="Z677" s="12" t="s">
        <v>1125</v>
      </c>
      <c r="AA677" s="1"/>
      <c r="AB677" s="29"/>
      <c r="AC677" s="1"/>
      <c r="AD677" s="27"/>
    </row>
    <row r="678" spans="1:30" x14ac:dyDescent="0.25">
      <c r="A678" s="4"/>
      <c r="B678" s="4">
        <v>45853</v>
      </c>
      <c r="C678" s="1" t="s">
        <v>1989</v>
      </c>
      <c r="D678" s="26" t="s">
        <v>2446</v>
      </c>
      <c r="E678" s="26" t="s">
        <v>1344</v>
      </c>
      <c r="F678" s="1" t="s">
        <v>1344</v>
      </c>
      <c r="G678" s="8">
        <v>10</v>
      </c>
      <c r="H678" s="8"/>
      <c r="I678" s="115">
        <f>Table223[[#This Row],[Qty]]-Table223[[#This Row],[Issue Qty]]</f>
        <v>10</v>
      </c>
      <c r="J678" s="5">
        <v>219.68600000000001</v>
      </c>
      <c r="K678" s="5">
        <f t="shared" si="32"/>
        <v>2196.86</v>
      </c>
      <c r="L678" s="82">
        <v>0.18</v>
      </c>
      <c r="M678" s="9">
        <f t="shared" si="33"/>
        <v>395.4348</v>
      </c>
      <c r="N678" s="5">
        <v>149</v>
      </c>
      <c r="O678" s="5"/>
      <c r="P678" s="5">
        <f t="shared" si="34"/>
        <v>2741.2948000000001</v>
      </c>
      <c r="Q678" s="1" t="s">
        <v>980</v>
      </c>
      <c r="R678" s="1" t="s">
        <v>980</v>
      </c>
      <c r="S678" s="1" t="s">
        <v>691</v>
      </c>
      <c r="T678" s="1" t="s">
        <v>2431</v>
      </c>
      <c r="U678" s="1"/>
      <c r="V678" s="27"/>
      <c r="W678" s="21" t="s">
        <v>1345</v>
      </c>
      <c r="X678" s="28"/>
      <c r="Y678" s="21">
        <v>4</v>
      </c>
      <c r="Z678" s="12" t="s">
        <v>1032</v>
      </c>
      <c r="AA678" s="27"/>
      <c r="AB678" s="29"/>
      <c r="AC678" s="27"/>
      <c r="AD678" s="27"/>
    </row>
    <row r="679" spans="1:30" x14ac:dyDescent="0.25">
      <c r="A679" s="4"/>
      <c r="B679" s="4">
        <v>45854</v>
      </c>
      <c r="C679" s="1" t="s">
        <v>54</v>
      </c>
      <c r="D679" s="1" t="s">
        <v>2447</v>
      </c>
      <c r="E679" s="1" t="s">
        <v>1346</v>
      </c>
      <c r="F679" s="1" t="s">
        <v>1346</v>
      </c>
      <c r="G679" s="8">
        <v>3</v>
      </c>
      <c r="H679" s="8">
        <v>3</v>
      </c>
      <c r="I679" s="115">
        <f>Table223[[#This Row],[Qty]]-Table223[[#This Row],[Issue Qty]]</f>
        <v>0</v>
      </c>
      <c r="J679" s="5">
        <v>770</v>
      </c>
      <c r="K679" s="5">
        <f t="shared" si="32"/>
        <v>2310</v>
      </c>
      <c r="L679" s="82">
        <v>0.18</v>
      </c>
      <c r="M679" s="9">
        <f t="shared" si="33"/>
        <v>415.8</v>
      </c>
      <c r="N679" s="5">
        <v>0</v>
      </c>
      <c r="O679" s="5"/>
      <c r="P679" s="5">
        <f t="shared" si="34"/>
        <v>2725.8</v>
      </c>
      <c r="Q679" s="1" t="s">
        <v>980</v>
      </c>
      <c r="R679" s="1" t="s">
        <v>980</v>
      </c>
      <c r="S679" s="1" t="s">
        <v>829</v>
      </c>
      <c r="T679" s="1" t="s">
        <v>2448</v>
      </c>
      <c r="U679" s="1"/>
      <c r="V679" s="27"/>
      <c r="W679" s="21"/>
      <c r="X679" s="28"/>
      <c r="Y679" s="21">
        <v>3</v>
      </c>
      <c r="Z679" s="12" t="s">
        <v>1125</v>
      </c>
      <c r="AA679" s="27"/>
      <c r="AB679" s="29" t="s">
        <v>1347</v>
      </c>
      <c r="AC679" s="27"/>
      <c r="AD679" s="27"/>
    </row>
    <row r="680" spans="1:30" s="24" customFormat="1" x14ac:dyDescent="0.25">
      <c r="A680" s="4"/>
      <c r="B680" s="4">
        <v>45854</v>
      </c>
      <c r="C680" s="1" t="s">
        <v>54</v>
      </c>
      <c r="D680" s="1" t="s">
        <v>2449</v>
      </c>
      <c r="E680" s="1" t="s">
        <v>1348</v>
      </c>
      <c r="F680" s="1" t="s">
        <v>1348</v>
      </c>
      <c r="G680" s="8">
        <v>3</v>
      </c>
      <c r="H680" s="8">
        <v>3</v>
      </c>
      <c r="I680" s="115">
        <f>Table223[[#This Row],[Qty]]-Table223[[#This Row],[Issue Qty]]</f>
        <v>0</v>
      </c>
      <c r="J680" s="5">
        <v>770</v>
      </c>
      <c r="K680" s="5">
        <f t="shared" si="32"/>
        <v>2310</v>
      </c>
      <c r="L680" s="82">
        <v>0.18</v>
      </c>
      <c r="M680" s="9">
        <f t="shared" si="33"/>
        <v>415.8</v>
      </c>
      <c r="N680" s="5">
        <v>0.4</v>
      </c>
      <c r="O680" s="5"/>
      <c r="P680" s="5">
        <f t="shared" si="34"/>
        <v>2726.2000000000003</v>
      </c>
      <c r="Q680" s="1" t="s">
        <v>980</v>
      </c>
      <c r="R680" s="1" t="s">
        <v>980</v>
      </c>
      <c r="S680" s="1" t="s">
        <v>829</v>
      </c>
      <c r="T680" s="1" t="s">
        <v>2448</v>
      </c>
      <c r="U680" s="1"/>
      <c r="V680" s="27"/>
      <c r="W680" s="21"/>
      <c r="X680" s="28"/>
      <c r="Y680" s="21">
        <v>3</v>
      </c>
      <c r="Z680" s="12" t="s">
        <v>1125</v>
      </c>
      <c r="AA680" s="27"/>
      <c r="AB680" s="29" t="s">
        <v>1349</v>
      </c>
      <c r="AC680" s="27"/>
      <c r="AD680" s="2"/>
    </row>
    <row r="681" spans="1:30" s="24" customFormat="1" x14ac:dyDescent="0.25">
      <c r="A681" s="4"/>
      <c r="B681" s="4">
        <v>45854</v>
      </c>
      <c r="C681" s="1" t="s">
        <v>1989</v>
      </c>
      <c r="D681" s="26" t="s">
        <v>2436</v>
      </c>
      <c r="E681" s="26" t="s">
        <v>1336</v>
      </c>
      <c r="F681" s="1" t="s">
        <v>1336</v>
      </c>
      <c r="G681" s="8">
        <v>4</v>
      </c>
      <c r="H681" s="8">
        <v>4</v>
      </c>
      <c r="I681" s="115">
        <f>Table223[[#This Row],[Qty]]-Table223[[#This Row],[Issue Qty]]</f>
        <v>0</v>
      </c>
      <c r="J681" s="5">
        <v>33</v>
      </c>
      <c r="K681" s="5">
        <f t="shared" si="32"/>
        <v>132</v>
      </c>
      <c r="L681" s="82">
        <v>0.18</v>
      </c>
      <c r="M681" s="9">
        <f t="shared" si="33"/>
        <v>23.759999999999998</v>
      </c>
      <c r="N681" s="5">
        <v>133.34</v>
      </c>
      <c r="O681" s="5"/>
      <c r="P681" s="5">
        <f t="shared" si="34"/>
        <v>289.10000000000002</v>
      </c>
      <c r="Q681" s="1" t="s">
        <v>1230</v>
      </c>
      <c r="R681" s="1" t="s">
        <v>1230</v>
      </c>
      <c r="S681" s="1" t="s">
        <v>792</v>
      </c>
      <c r="T681" s="1" t="s">
        <v>2450</v>
      </c>
      <c r="U681" s="1"/>
      <c r="V681" s="1"/>
      <c r="W681" s="21"/>
      <c r="X681" s="8"/>
      <c r="Y681" s="8">
        <v>4</v>
      </c>
      <c r="Z681" s="22" t="s">
        <v>1266</v>
      </c>
      <c r="AA681" s="1"/>
      <c r="AB681" s="29"/>
      <c r="AC681" s="1"/>
      <c r="AD681" s="2"/>
    </row>
    <row r="682" spans="1:30" s="24" customFormat="1" x14ac:dyDescent="0.25">
      <c r="A682" s="4"/>
      <c r="B682" s="4">
        <v>45856</v>
      </c>
      <c r="C682" s="1" t="s">
        <v>1993</v>
      </c>
      <c r="D682" s="26" t="s">
        <v>2451</v>
      </c>
      <c r="E682" s="26" t="s">
        <v>1350</v>
      </c>
      <c r="F682" s="1" t="s">
        <v>1351</v>
      </c>
      <c r="G682" s="8">
        <v>1</v>
      </c>
      <c r="H682" s="8"/>
      <c r="I682" s="115">
        <f>Table223[[#This Row],[Qty]]-Table223[[#This Row],[Issue Qty]]</f>
        <v>1</v>
      </c>
      <c r="J682" s="5">
        <v>4770</v>
      </c>
      <c r="K682" s="5">
        <f t="shared" si="32"/>
        <v>4770</v>
      </c>
      <c r="L682" s="82">
        <v>0.18</v>
      </c>
      <c r="M682" s="9">
        <f t="shared" si="33"/>
        <v>858.6</v>
      </c>
      <c r="N682" s="5">
        <v>2124</v>
      </c>
      <c r="O682" s="5"/>
      <c r="P682" s="5">
        <f t="shared" si="34"/>
        <v>7752.6</v>
      </c>
      <c r="Q682" s="1" t="s">
        <v>980</v>
      </c>
      <c r="R682" s="1" t="s">
        <v>980</v>
      </c>
      <c r="S682" s="1" t="s">
        <v>1210</v>
      </c>
      <c r="T682" s="1" t="s">
        <v>2452</v>
      </c>
      <c r="U682" s="1"/>
      <c r="V682" s="1"/>
      <c r="W682" s="21"/>
      <c r="X682" s="8"/>
      <c r="Y682" s="8">
        <v>1</v>
      </c>
      <c r="Z682" s="22" t="s">
        <v>1125</v>
      </c>
      <c r="AA682" s="1"/>
      <c r="AB682" s="29"/>
      <c r="AC682" s="1"/>
      <c r="AD682" s="2"/>
    </row>
    <row r="683" spans="1:30" x14ac:dyDescent="0.25">
      <c r="A683" s="4"/>
      <c r="B683" s="4">
        <v>45856</v>
      </c>
      <c r="C683" s="1" t="s">
        <v>1989</v>
      </c>
      <c r="D683" s="1" t="s">
        <v>2371</v>
      </c>
      <c r="E683" s="1" t="s">
        <v>1251</v>
      </c>
      <c r="F683" s="1" t="s">
        <v>1253</v>
      </c>
      <c r="G683" s="8">
        <v>8</v>
      </c>
      <c r="H683" s="8">
        <v>8</v>
      </c>
      <c r="I683" s="115">
        <f>Table223[[#This Row],[Qty]]-Table223[[#This Row],[Issue Qty]]</f>
        <v>0</v>
      </c>
      <c r="J683" s="5">
        <v>39600</v>
      </c>
      <c r="K683" s="5">
        <f t="shared" si="32"/>
        <v>316800</v>
      </c>
      <c r="L683" s="82">
        <v>0.18</v>
      </c>
      <c r="M683" s="9">
        <f t="shared" si="33"/>
        <v>57024</v>
      </c>
      <c r="N683" s="5">
        <v>0</v>
      </c>
      <c r="O683" s="5"/>
      <c r="P683" s="5">
        <f t="shared" si="34"/>
        <v>373824</v>
      </c>
      <c r="Q683" s="1" t="s">
        <v>1230</v>
      </c>
      <c r="R683" s="1" t="s">
        <v>1230</v>
      </c>
      <c r="S683" s="1" t="s">
        <v>896</v>
      </c>
      <c r="T683" s="1" t="s">
        <v>2372</v>
      </c>
      <c r="U683" s="1"/>
      <c r="V683" s="27"/>
      <c r="W683" s="21"/>
      <c r="X683" s="28"/>
      <c r="Y683" s="21">
        <v>8</v>
      </c>
      <c r="Z683" s="12" t="s">
        <v>3369</v>
      </c>
      <c r="AA683" s="27"/>
      <c r="AB683" s="29" t="s">
        <v>1253</v>
      </c>
      <c r="AC683" s="27"/>
      <c r="AD683" s="27"/>
    </row>
    <row r="684" spans="1:30" ht="30" x14ac:dyDescent="0.25">
      <c r="A684" s="4"/>
      <c r="B684" s="4">
        <v>45859</v>
      </c>
      <c r="C684" s="1" t="s">
        <v>1989</v>
      </c>
      <c r="D684" s="26" t="s">
        <v>2453</v>
      </c>
      <c r="E684" s="168" t="s">
        <v>1352</v>
      </c>
      <c r="F684" s="1" t="s">
        <v>1352</v>
      </c>
      <c r="G684" s="8">
        <v>5</v>
      </c>
      <c r="H684" s="8">
        <v>5</v>
      </c>
      <c r="I684" s="115">
        <f>Table223[[#This Row],[Qty]]-Table223[[#This Row],[Issue Qty]]</f>
        <v>0</v>
      </c>
      <c r="J684" s="5">
        <v>313.56</v>
      </c>
      <c r="K684" s="5">
        <f t="shared" si="32"/>
        <v>1567.8</v>
      </c>
      <c r="L684" s="82">
        <v>0.18</v>
      </c>
      <c r="M684" s="9">
        <f t="shared" si="33"/>
        <v>282.20400000000001</v>
      </c>
      <c r="N684" s="5">
        <v>99</v>
      </c>
      <c r="O684" s="5"/>
      <c r="P684" s="5">
        <f t="shared" si="34"/>
        <v>1949.0039999999999</v>
      </c>
      <c r="Q684" s="1" t="s">
        <v>1230</v>
      </c>
      <c r="R684" s="1" t="s">
        <v>1230</v>
      </c>
      <c r="S684" s="1" t="s">
        <v>691</v>
      </c>
      <c r="T684" s="1" t="s">
        <v>2454</v>
      </c>
      <c r="U684" s="1"/>
      <c r="V684" s="1"/>
      <c r="W684" s="21"/>
      <c r="X684" s="8"/>
      <c r="Y684" s="8">
        <v>5</v>
      </c>
      <c r="Z684" s="22" t="s">
        <v>1353</v>
      </c>
      <c r="AA684" s="1"/>
      <c r="AB684" s="29"/>
      <c r="AC684" s="1"/>
      <c r="AD684" s="27"/>
    </row>
    <row r="685" spans="1:30" x14ac:dyDescent="0.25">
      <c r="A685" s="4"/>
      <c r="B685" s="4">
        <v>45860</v>
      </c>
      <c r="C685" s="1" t="s">
        <v>54</v>
      </c>
      <c r="D685" s="1" t="s">
        <v>2455</v>
      </c>
      <c r="E685" s="169" t="s">
        <v>1354</v>
      </c>
      <c r="F685" s="1" t="s">
        <v>1355</v>
      </c>
      <c r="G685" s="8">
        <v>2</v>
      </c>
      <c r="H685" s="8">
        <v>2</v>
      </c>
      <c r="I685" s="115">
        <f>Table223[[#This Row],[Qty]]-Table223[[#This Row],[Issue Qty]]</f>
        <v>0</v>
      </c>
      <c r="J685" s="5">
        <v>804.1</v>
      </c>
      <c r="K685" s="5">
        <f t="shared" si="32"/>
        <v>1608.2</v>
      </c>
      <c r="L685" s="82">
        <v>0.18</v>
      </c>
      <c r="M685" s="9">
        <f t="shared" si="33"/>
        <v>289.476</v>
      </c>
      <c r="N685" s="5">
        <v>0</v>
      </c>
      <c r="O685" s="5"/>
      <c r="P685" s="5">
        <f t="shared" si="34"/>
        <v>1897.6759999999999</v>
      </c>
      <c r="Q685" s="1" t="s">
        <v>1230</v>
      </c>
      <c r="R685" s="1" t="s">
        <v>1230</v>
      </c>
      <c r="S685" s="1" t="s">
        <v>358</v>
      </c>
      <c r="T685" s="1" t="s">
        <v>2456</v>
      </c>
      <c r="U685" s="1"/>
      <c r="V685" s="1"/>
      <c r="W685" s="21"/>
      <c r="X685" s="8"/>
      <c r="Y685" s="8">
        <v>1</v>
      </c>
      <c r="Z685" s="22" t="s">
        <v>1266</v>
      </c>
      <c r="AA685" s="1"/>
      <c r="AB685" s="29" t="s">
        <v>1356</v>
      </c>
      <c r="AC685" s="1"/>
      <c r="AD685" s="27"/>
    </row>
    <row r="686" spans="1:30" x14ac:dyDescent="0.25">
      <c r="A686" s="4"/>
      <c r="B686" s="4">
        <v>45860</v>
      </c>
      <c r="C686" s="1" t="s">
        <v>1993</v>
      </c>
      <c r="D686" s="26" t="s">
        <v>2457</v>
      </c>
      <c r="E686" s="26" t="s">
        <v>1357</v>
      </c>
      <c r="F686" s="1" t="s">
        <v>1357</v>
      </c>
      <c r="G686" s="8">
        <v>1</v>
      </c>
      <c r="H686" s="8"/>
      <c r="I686" s="115">
        <f>Table223[[#This Row],[Qty]]-Table223[[#This Row],[Issue Qty]]</f>
        <v>1</v>
      </c>
      <c r="J686" s="5">
        <v>6133.15</v>
      </c>
      <c r="K686" s="5">
        <f t="shared" si="32"/>
        <v>6133.15</v>
      </c>
      <c r="L686" s="82">
        <v>0.18</v>
      </c>
      <c r="M686" s="9">
        <f t="shared" si="33"/>
        <v>1103.9669999999999</v>
      </c>
      <c r="N686" s="5">
        <v>0</v>
      </c>
      <c r="O686" s="5"/>
      <c r="P686" s="5">
        <f t="shared" si="34"/>
        <v>7237.1169999999993</v>
      </c>
      <c r="Q686" s="1" t="s">
        <v>980</v>
      </c>
      <c r="R686" s="1" t="s">
        <v>980</v>
      </c>
      <c r="S686" s="1" t="s">
        <v>682</v>
      </c>
      <c r="T686" s="1" t="s">
        <v>2458</v>
      </c>
      <c r="U686" s="1"/>
      <c r="V686" s="1"/>
      <c r="W686" s="21" t="s">
        <v>1358</v>
      </c>
      <c r="X686" s="8"/>
      <c r="Y686" s="8"/>
      <c r="Z686" s="22"/>
      <c r="AA686" s="1"/>
      <c r="AB686" s="29"/>
      <c r="AC686" s="1"/>
      <c r="AD686" s="27"/>
    </row>
    <row r="687" spans="1:30" x14ac:dyDescent="0.25">
      <c r="A687" s="4"/>
      <c r="B687" s="4">
        <v>45860</v>
      </c>
      <c r="C687" s="1" t="s">
        <v>54</v>
      </c>
      <c r="D687" s="1" t="s">
        <v>2459</v>
      </c>
      <c r="E687" s="169" t="s">
        <v>1359</v>
      </c>
      <c r="F687" s="1" t="s">
        <v>1360</v>
      </c>
      <c r="G687" s="8">
        <v>2</v>
      </c>
      <c r="H687" s="8">
        <v>2</v>
      </c>
      <c r="I687" s="115">
        <f>Table223[[#This Row],[Qty]]-Table223[[#This Row],[Issue Qty]]</f>
        <v>0</v>
      </c>
      <c r="J687" s="5">
        <v>4459.1000000000004</v>
      </c>
      <c r="K687" s="5">
        <f t="shared" si="32"/>
        <v>8918.2000000000007</v>
      </c>
      <c r="L687" s="82">
        <v>0.18</v>
      </c>
      <c r="M687" s="9">
        <f t="shared" si="33"/>
        <v>1605.2760000000001</v>
      </c>
      <c r="N687" s="5">
        <v>0</v>
      </c>
      <c r="O687" s="5"/>
      <c r="P687" s="5">
        <f t="shared" si="34"/>
        <v>10523.476000000001</v>
      </c>
      <c r="Q687" s="1" t="s">
        <v>1230</v>
      </c>
      <c r="R687" s="1" t="s">
        <v>1230</v>
      </c>
      <c r="S687" s="1" t="s">
        <v>358</v>
      </c>
      <c r="T687" s="1" t="s">
        <v>2456</v>
      </c>
      <c r="U687" s="1"/>
      <c r="V687" s="27"/>
      <c r="W687" s="21"/>
      <c r="X687" s="28"/>
      <c r="Y687" s="21">
        <v>2</v>
      </c>
      <c r="Z687" s="22" t="s">
        <v>1266</v>
      </c>
      <c r="AA687" s="27"/>
      <c r="AB687" s="29" t="s">
        <v>1361</v>
      </c>
      <c r="AC687" s="27"/>
      <c r="AD687" s="27"/>
    </row>
    <row r="688" spans="1:30" s="24" customFormat="1" x14ac:dyDescent="0.25">
      <c r="A688" s="4"/>
      <c r="B688" s="4">
        <v>45860</v>
      </c>
      <c r="C688" s="1" t="s">
        <v>54</v>
      </c>
      <c r="D688" s="1" t="s">
        <v>2460</v>
      </c>
      <c r="E688" s="169" t="s">
        <v>1362</v>
      </c>
      <c r="F688" s="1" t="s">
        <v>1363</v>
      </c>
      <c r="G688" s="8">
        <v>2</v>
      </c>
      <c r="H688" s="8">
        <v>2</v>
      </c>
      <c r="I688" s="115">
        <f>Table223[[#This Row],[Qty]]-Table223[[#This Row],[Issue Qty]]</f>
        <v>0</v>
      </c>
      <c r="J688" s="5">
        <v>3728.1</v>
      </c>
      <c r="K688" s="5">
        <f t="shared" si="32"/>
        <v>7456.2</v>
      </c>
      <c r="L688" s="82">
        <v>0.18</v>
      </c>
      <c r="M688" s="9">
        <f t="shared" si="33"/>
        <v>1342.116</v>
      </c>
      <c r="N688" s="5">
        <v>0</v>
      </c>
      <c r="O688" s="5"/>
      <c r="P688" s="5">
        <f t="shared" si="34"/>
        <v>8798.3159999999989</v>
      </c>
      <c r="Q688" s="1" t="s">
        <v>1230</v>
      </c>
      <c r="R688" s="1" t="s">
        <v>1230</v>
      </c>
      <c r="S688" s="1" t="s">
        <v>358</v>
      </c>
      <c r="T688" s="1" t="s">
        <v>2456</v>
      </c>
      <c r="U688" s="1"/>
      <c r="V688" s="27"/>
      <c r="W688" s="21"/>
      <c r="X688" s="28"/>
      <c r="Y688" s="21">
        <v>2</v>
      </c>
      <c r="Z688" s="22" t="s">
        <v>1266</v>
      </c>
      <c r="AA688" s="27"/>
      <c r="AB688" s="29" t="s">
        <v>1364</v>
      </c>
      <c r="AC688" s="27"/>
      <c r="AD688" s="2"/>
    </row>
    <row r="689" spans="1:30" x14ac:dyDescent="0.25">
      <c r="A689" s="4"/>
      <c r="B689" s="4">
        <v>45860</v>
      </c>
      <c r="C689" s="1" t="s">
        <v>54</v>
      </c>
      <c r="D689" s="1" t="s">
        <v>2461</v>
      </c>
      <c r="E689" s="169" t="s">
        <v>1365</v>
      </c>
      <c r="F689" s="1" t="s">
        <v>1366</v>
      </c>
      <c r="G689" s="8">
        <v>2</v>
      </c>
      <c r="H689" s="8">
        <v>2</v>
      </c>
      <c r="I689" s="115">
        <f>Table223[[#This Row],[Qty]]-Table223[[#This Row],[Issue Qty]]</f>
        <v>0</v>
      </c>
      <c r="J689" s="5">
        <v>2046.8</v>
      </c>
      <c r="K689" s="5">
        <f t="shared" ref="K689:K752" si="35">G689*J689</f>
        <v>4093.6</v>
      </c>
      <c r="L689" s="82">
        <v>0.18</v>
      </c>
      <c r="M689" s="9">
        <f t="shared" ref="M689:M752" si="36">K689*L689</f>
        <v>736.84799999999996</v>
      </c>
      <c r="N689" s="5">
        <v>0</v>
      </c>
      <c r="O689" s="5"/>
      <c r="P689" s="5">
        <f t="shared" ref="P689:P752" si="37">K689+M689+N689+O689</f>
        <v>4830.4480000000003</v>
      </c>
      <c r="Q689" s="1" t="s">
        <v>1230</v>
      </c>
      <c r="R689" s="1" t="s">
        <v>1230</v>
      </c>
      <c r="S689" s="1" t="s">
        <v>358</v>
      </c>
      <c r="T689" s="1" t="s">
        <v>2456</v>
      </c>
      <c r="U689" s="1"/>
      <c r="V689" s="1"/>
      <c r="W689" s="21"/>
      <c r="X689" s="8"/>
      <c r="Y689" s="21">
        <v>2</v>
      </c>
      <c r="Z689" s="22" t="s">
        <v>1266</v>
      </c>
      <c r="AA689" s="1"/>
      <c r="AB689" s="29" t="s">
        <v>1367</v>
      </c>
      <c r="AC689" s="1"/>
      <c r="AD689" s="27"/>
    </row>
    <row r="690" spans="1:30" x14ac:dyDescent="0.25">
      <c r="A690" s="4"/>
      <c r="B690" s="4">
        <v>45860</v>
      </c>
      <c r="C690" s="1" t="s">
        <v>1989</v>
      </c>
      <c r="D690" s="1" t="s">
        <v>2177</v>
      </c>
      <c r="E690" s="169" t="s">
        <v>971</v>
      </c>
      <c r="F690" s="1" t="s">
        <v>971</v>
      </c>
      <c r="G690" s="8">
        <v>4</v>
      </c>
      <c r="H690" s="8">
        <v>4</v>
      </c>
      <c r="I690" s="115">
        <f>Table223[[#This Row],[Qty]]-Table223[[#This Row],[Issue Qty]]</f>
        <v>0</v>
      </c>
      <c r="J690" s="5">
        <v>0</v>
      </c>
      <c r="K690" s="5">
        <f t="shared" si="35"/>
        <v>0</v>
      </c>
      <c r="L690" s="82">
        <v>0</v>
      </c>
      <c r="M690" s="9">
        <f t="shared" si="36"/>
        <v>0</v>
      </c>
      <c r="N690" s="5"/>
      <c r="O690" s="5"/>
      <c r="P690" s="5">
        <f t="shared" si="37"/>
        <v>0</v>
      </c>
      <c r="Q690" s="1" t="s">
        <v>726</v>
      </c>
      <c r="R690" s="1" t="s">
        <v>726</v>
      </c>
      <c r="S690" s="1" t="s">
        <v>896</v>
      </c>
      <c r="T690" s="1" t="s">
        <v>1368</v>
      </c>
      <c r="U690" s="1"/>
      <c r="V690" s="1"/>
      <c r="W690" s="21" t="s">
        <v>638</v>
      </c>
      <c r="X690" s="8"/>
      <c r="Y690" s="8">
        <v>4</v>
      </c>
      <c r="Z690" s="22"/>
      <c r="AA690" s="1"/>
      <c r="AB690" s="29" t="s">
        <v>971</v>
      </c>
      <c r="AC690" s="1" t="s">
        <v>1368</v>
      </c>
      <c r="AD690" s="27"/>
    </row>
    <row r="691" spans="1:30" s="24" customFormat="1" x14ac:dyDescent="0.25">
      <c r="A691" s="4"/>
      <c r="B691" s="4">
        <v>45866</v>
      </c>
      <c r="C691" s="1" t="s">
        <v>1993</v>
      </c>
      <c r="D691" s="1" t="s">
        <v>37</v>
      </c>
      <c r="E691" s="169" t="s">
        <v>1369</v>
      </c>
      <c r="F691" s="1" t="s">
        <v>1369</v>
      </c>
      <c r="G691" s="8">
        <v>25</v>
      </c>
      <c r="H691" s="8">
        <v>25</v>
      </c>
      <c r="I691" s="115">
        <f>Table223[[#This Row],[Qty]]-Table223[[#This Row],[Issue Qty]]</f>
        <v>0</v>
      </c>
      <c r="J691" s="5">
        <v>62</v>
      </c>
      <c r="K691" s="5">
        <f t="shared" si="35"/>
        <v>1550</v>
      </c>
      <c r="L691" s="82">
        <v>0.18</v>
      </c>
      <c r="M691" s="9">
        <f t="shared" si="36"/>
        <v>279</v>
      </c>
      <c r="N691" s="5">
        <v>0</v>
      </c>
      <c r="O691" s="5"/>
      <c r="P691" s="5">
        <f t="shared" si="37"/>
        <v>1829</v>
      </c>
      <c r="Q691" s="1" t="s">
        <v>1230</v>
      </c>
      <c r="R691" s="1" t="s">
        <v>1230</v>
      </c>
      <c r="S691" s="4" t="s">
        <v>444</v>
      </c>
      <c r="T691" s="1" t="s">
        <v>2462</v>
      </c>
      <c r="U691" s="27"/>
      <c r="V691" s="27"/>
      <c r="W691" s="21"/>
      <c r="X691" s="28"/>
      <c r="Y691" s="21">
        <v>25</v>
      </c>
      <c r="Z691" s="12" t="s">
        <v>1370</v>
      </c>
      <c r="AA691" s="27"/>
      <c r="AB691" s="29"/>
      <c r="AC691" s="27"/>
      <c r="AD691" s="2"/>
    </row>
    <row r="692" spans="1:30" s="24" customFormat="1" x14ac:dyDescent="0.25">
      <c r="A692" s="4"/>
      <c r="B692" s="4">
        <v>45866</v>
      </c>
      <c r="C692" s="1" t="s">
        <v>1991</v>
      </c>
      <c r="D692" s="26" t="s">
        <v>2463</v>
      </c>
      <c r="E692" s="26" t="s">
        <v>1371</v>
      </c>
      <c r="F692" s="1" t="s">
        <v>1371</v>
      </c>
      <c r="G692" s="8">
        <v>10</v>
      </c>
      <c r="H692" s="8"/>
      <c r="I692" s="115">
        <f>Table223[[#This Row],[Qty]]-Table223[[#This Row],[Issue Qty]]</f>
        <v>10</v>
      </c>
      <c r="J692" s="5">
        <v>65.36</v>
      </c>
      <c r="K692" s="5">
        <f t="shared" si="35"/>
        <v>653.6</v>
      </c>
      <c r="L692" s="82">
        <v>0.18</v>
      </c>
      <c r="M692" s="9">
        <f t="shared" si="36"/>
        <v>117.648</v>
      </c>
      <c r="N692" s="5">
        <v>0</v>
      </c>
      <c r="O692" s="5"/>
      <c r="P692" s="5">
        <f t="shared" si="37"/>
        <v>771.24800000000005</v>
      </c>
      <c r="Q692" s="1" t="s">
        <v>980</v>
      </c>
      <c r="R692" s="1" t="s">
        <v>980</v>
      </c>
      <c r="S692" s="1" t="s">
        <v>682</v>
      </c>
      <c r="T692" s="1" t="s">
        <v>2464</v>
      </c>
      <c r="U692" s="1"/>
      <c r="V692" s="1"/>
      <c r="W692" s="21" t="s">
        <v>38</v>
      </c>
      <c r="X692" s="8"/>
      <c r="Y692" s="8"/>
      <c r="Z692" s="22"/>
      <c r="AA692" s="1"/>
      <c r="AB692" s="29"/>
      <c r="AC692" s="1"/>
      <c r="AD692" s="2"/>
    </row>
    <row r="693" spans="1:30" s="24" customFormat="1" x14ac:dyDescent="0.25">
      <c r="A693" s="4"/>
      <c r="B693" s="4">
        <v>45866</v>
      </c>
      <c r="C693" s="1" t="s">
        <v>1989</v>
      </c>
      <c r="D693" s="26" t="s">
        <v>2465</v>
      </c>
      <c r="E693" s="26" t="s">
        <v>1372</v>
      </c>
      <c r="F693" s="1" t="s">
        <v>1372</v>
      </c>
      <c r="G693" s="8">
        <v>1</v>
      </c>
      <c r="H693" s="8"/>
      <c r="I693" s="115">
        <f>Table223[[#This Row],[Qty]]-Table223[[#This Row],[Issue Qty]]</f>
        <v>1</v>
      </c>
      <c r="J693" s="5">
        <v>1500</v>
      </c>
      <c r="K693" s="5">
        <f t="shared" si="35"/>
        <v>1500</v>
      </c>
      <c r="L693" s="82">
        <v>0.18</v>
      </c>
      <c r="M693" s="9">
        <f t="shared" si="36"/>
        <v>270</v>
      </c>
      <c r="N693" s="5">
        <v>0</v>
      </c>
      <c r="O693" s="5"/>
      <c r="P693" s="5">
        <f t="shared" si="37"/>
        <v>1770</v>
      </c>
      <c r="Q693" s="1" t="s">
        <v>1083</v>
      </c>
      <c r="R693" s="1" t="s">
        <v>1083</v>
      </c>
      <c r="S693" s="1" t="s">
        <v>1009</v>
      </c>
      <c r="T693" s="1" t="s">
        <v>2466</v>
      </c>
      <c r="U693" s="1" t="s">
        <v>2467</v>
      </c>
      <c r="V693" s="27"/>
      <c r="W693" s="21"/>
      <c r="X693" s="28"/>
      <c r="Y693" s="21">
        <v>1</v>
      </c>
      <c r="Z693" s="12" t="s">
        <v>1032</v>
      </c>
      <c r="AA693" s="27"/>
      <c r="AB693" s="29"/>
      <c r="AC693" s="27"/>
      <c r="AD693" s="2"/>
    </row>
    <row r="694" spans="1:30" s="24" customFormat="1" x14ac:dyDescent="0.25">
      <c r="A694" s="4"/>
      <c r="B694" s="4">
        <v>45869</v>
      </c>
      <c r="C694" s="1" t="s">
        <v>54</v>
      </c>
      <c r="D694" s="26" t="s">
        <v>2468</v>
      </c>
      <c r="E694" s="168" t="s">
        <v>1373</v>
      </c>
      <c r="F694" s="1" t="s">
        <v>1373</v>
      </c>
      <c r="G694" s="8">
        <v>5</v>
      </c>
      <c r="H694" s="8">
        <v>5</v>
      </c>
      <c r="I694" s="115">
        <f>Table223[[#This Row],[Qty]]-Table223[[#This Row],[Issue Qty]]</f>
        <v>0</v>
      </c>
      <c r="J694" s="5">
        <v>383</v>
      </c>
      <c r="K694" s="5">
        <f t="shared" si="35"/>
        <v>1915</v>
      </c>
      <c r="L694" s="82">
        <v>0.05</v>
      </c>
      <c r="M694" s="9">
        <f t="shared" si="36"/>
        <v>95.75</v>
      </c>
      <c r="N694" s="5">
        <v>0</v>
      </c>
      <c r="O694" s="5"/>
      <c r="P694" s="5">
        <f t="shared" si="37"/>
        <v>2010.75</v>
      </c>
      <c r="Q694" s="1" t="s">
        <v>1230</v>
      </c>
      <c r="R694" s="1" t="s">
        <v>1230</v>
      </c>
      <c r="S694" s="1" t="s">
        <v>444</v>
      </c>
      <c r="T694" s="1" t="s">
        <v>2469</v>
      </c>
      <c r="U694" s="1"/>
      <c r="V694" s="1"/>
      <c r="W694" s="21"/>
      <c r="X694" s="21"/>
      <c r="Y694" s="8">
        <v>2</v>
      </c>
      <c r="Z694" s="22" t="s">
        <v>509</v>
      </c>
      <c r="AA694" s="1"/>
      <c r="AB694" s="29"/>
      <c r="AC694" s="1"/>
      <c r="AD694" s="2"/>
    </row>
    <row r="695" spans="1:30" x14ac:dyDescent="0.25">
      <c r="A695" s="4"/>
      <c r="B695" s="4">
        <v>45869</v>
      </c>
      <c r="C695" s="1" t="s">
        <v>1693</v>
      </c>
      <c r="D695" s="26" t="s">
        <v>2470</v>
      </c>
      <c r="E695" s="26" t="s">
        <v>1374</v>
      </c>
      <c r="F695" s="1" t="s">
        <v>1374</v>
      </c>
      <c r="G695" s="8">
        <v>1</v>
      </c>
      <c r="H695" s="8"/>
      <c r="I695" s="115">
        <f>Table223[[#This Row],[Qty]]-Table223[[#This Row],[Issue Qty]]</f>
        <v>1</v>
      </c>
      <c r="J695" s="5">
        <v>250</v>
      </c>
      <c r="K695" s="5">
        <f t="shared" si="35"/>
        <v>250</v>
      </c>
      <c r="L695" s="82">
        <v>0.18</v>
      </c>
      <c r="M695" s="9">
        <f t="shared" si="36"/>
        <v>45</v>
      </c>
      <c r="N695" s="5">
        <v>0</v>
      </c>
      <c r="O695" s="5"/>
      <c r="P695" s="5">
        <f t="shared" si="37"/>
        <v>295</v>
      </c>
      <c r="Q695" s="1" t="s">
        <v>1230</v>
      </c>
      <c r="R695" s="1" t="s">
        <v>1230</v>
      </c>
      <c r="S695" s="1" t="s">
        <v>1314</v>
      </c>
      <c r="T695" s="1" t="s">
        <v>2471</v>
      </c>
      <c r="U695" s="1"/>
      <c r="V695" s="1"/>
      <c r="W695" s="21" t="s">
        <v>650</v>
      </c>
      <c r="X695" s="8"/>
      <c r="Y695" s="8">
        <v>1</v>
      </c>
      <c r="Z695" s="22" t="s">
        <v>2944</v>
      </c>
      <c r="AA695" s="1"/>
      <c r="AB695" s="29"/>
      <c r="AC695" s="1"/>
      <c r="AD695" s="27"/>
    </row>
    <row r="696" spans="1:30" x14ac:dyDescent="0.25">
      <c r="A696" s="4"/>
      <c r="B696" s="4">
        <v>45869</v>
      </c>
      <c r="C696" s="1" t="s">
        <v>1693</v>
      </c>
      <c r="D696" s="1" t="s">
        <v>2472</v>
      </c>
      <c r="E696" s="1" t="s">
        <v>1375</v>
      </c>
      <c r="F696" s="1" t="s">
        <v>1376</v>
      </c>
      <c r="G696" s="8">
        <v>4</v>
      </c>
      <c r="H696" s="8"/>
      <c r="I696" s="115">
        <f>Table223[[#This Row],[Qty]]-Table223[[#This Row],[Issue Qty]]</f>
        <v>4</v>
      </c>
      <c r="J696" s="5">
        <v>572.46</v>
      </c>
      <c r="K696" s="5">
        <f t="shared" si="35"/>
        <v>2289.84</v>
      </c>
      <c r="L696" s="82">
        <v>0</v>
      </c>
      <c r="M696" s="9">
        <f t="shared" si="36"/>
        <v>0</v>
      </c>
      <c r="N696" s="5">
        <v>0</v>
      </c>
      <c r="O696" s="5"/>
      <c r="P696" s="5">
        <f t="shared" si="37"/>
        <v>2289.84</v>
      </c>
      <c r="Q696" s="1" t="s">
        <v>1230</v>
      </c>
      <c r="R696" s="1" t="s">
        <v>1230</v>
      </c>
      <c r="S696" s="1" t="s">
        <v>1377</v>
      </c>
      <c r="T696" s="1" t="s">
        <v>2473</v>
      </c>
      <c r="U696" s="1"/>
      <c r="V696" s="1"/>
      <c r="W696" s="21" t="s">
        <v>327</v>
      </c>
      <c r="X696" s="8" t="s">
        <v>1378</v>
      </c>
      <c r="Y696" s="8"/>
      <c r="Z696" s="22"/>
      <c r="AA696" s="1"/>
      <c r="AB696" s="29" t="s">
        <v>1379</v>
      </c>
      <c r="AC696" s="1"/>
      <c r="AD696" s="27"/>
    </row>
    <row r="697" spans="1:30" x14ac:dyDescent="0.25">
      <c r="A697" s="4"/>
      <c r="B697" s="4">
        <v>45869</v>
      </c>
      <c r="C697" s="1" t="s">
        <v>1683</v>
      </c>
      <c r="D697" s="26" t="s">
        <v>2474</v>
      </c>
      <c r="E697" s="26" t="s">
        <v>1380</v>
      </c>
      <c r="F697" s="1" t="s">
        <v>1380</v>
      </c>
      <c r="G697" s="8">
        <v>1</v>
      </c>
      <c r="H697" s="8">
        <v>1</v>
      </c>
      <c r="I697" s="115">
        <f>Table223[[#This Row],[Qty]]-Table223[[#This Row],[Issue Qty]]</f>
        <v>0</v>
      </c>
      <c r="J697" s="5">
        <v>175</v>
      </c>
      <c r="K697" s="5">
        <f t="shared" si="35"/>
        <v>175</v>
      </c>
      <c r="L697" s="82">
        <v>0.18</v>
      </c>
      <c r="M697" s="9">
        <f t="shared" si="36"/>
        <v>31.5</v>
      </c>
      <c r="N697" s="5">
        <v>0</v>
      </c>
      <c r="O697" s="5"/>
      <c r="P697" s="5">
        <f t="shared" si="37"/>
        <v>206.5</v>
      </c>
      <c r="Q697" s="1" t="s">
        <v>1230</v>
      </c>
      <c r="R697" s="1" t="s">
        <v>1230</v>
      </c>
      <c r="S697" s="1" t="s">
        <v>1314</v>
      </c>
      <c r="T697" s="1" t="s">
        <v>2471</v>
      </c>
      <c r="U697" s="1"/>
      <c r="V697" s="1"/>
      <c r="W697" s="21" t="s">
        <v>650</v>
      </c>
      <c r="X697" s="8" t="s">
        <v>2928</v>
      </c>
      <c r="Y697" s="8">
        <v>1</v>
      </c>
      <c r="Z697" s="22" t="s">
        <v>1646</v>
      </c>
      <c r="AA697" s="1"/>
      <c r="AB697" s="29"/>
      <c r="AC697" s="1"/>
      <c r="AD697" s="27"/>
    </row>
    <row r="698" spans="1:30" s="24" customFormat="1" x14ac:dyDescent="0.25">
      <c r="A698" s="4"/>
      <c r="B698" s="4">
        <v>45869</v>
      </c>
      <c r="C698" s="1" t="s">
        <v>1693</v>
      </c>
      <c r="D698" s="26" t="s">
        <v>2475</v>
      </c>
      <c r="E698" s="26" t="s">
        <v>1381</v>
      </c>
      <c r="F698" s="1" t="s">
        <v>1381</v>
      </c>
      <c r="G698" s="8">
        <v>3</v>
      </c>
      <c r="H698" s="8">
        <v>2</v>
      </c>
      <c r="I698" s="115">
        <f>Table223[[#This Row],[Qty]]-Table223[[#This Row],[Issue Qty]]</f>
        <v>1</v>
      </c>
      <c r="J698" s="5">
        <v>14843.94</v>
      </c>
      <c r="K698" s="5">
        <f t="shared" si="35"/>
        <v>44531.82</v>
      </c>
      <c r="L698" s="82">
        <v>0</v>
      </c>
      <c r="M698" s="9">
        <f t="shared" si="36"/>
        <v>0</v>
      </c>
      <c r="N698" s="5">
        <v>0</v>
      </c>
      <c r="O698" s="5"/>
      <c r="P698" s="5">
        <f t="shared" si="37"/>
        <v>44531.82</v>
      </c>
      <c r="Q698" s="1" t="s">
        <v>1230</v>
      </c>
      <c r="R698" s="1" t="s">
        <v>1230</v>
      </c>
      <c r="S698" s="1" t="s">
        <v>1377</v>
      </c>
      <c r="T698" s="1" t="s">
        <v>2473</v>
      </c>
      <c r="U698" s="1"/>
      <c r="V698" s="1"/>
      <c r="W698" s="21" t="s">
        <v>327</v>
      </c>
      <c r="X698" s="8"/>
      <c r="Y698" s="8">
        <v>2</v>
      </c>
      <c r="Z698" s="22" t="s">
        <v>1382</v>
      </c>
      <c r="AA698" s="1"/>
      <c r="AB698" s="29"/>
      <c r="AC698" s="1"/>
      <c r="AD698" s="2"/>
    </row>
    <row r="699" spans="1:30" s="24" customFormat="1" ht="30" x14ac:dyDescent="0.25">
      <c r="A699" s="4"/>
      <c r="B699" s="4">
        <v>45869</v>
      </c>
      <c r="C699" s="1" t="s">
        <v>1693</v>
      </c>
      <c r="D699" s="26" t="s">
        <v>2476</v>
      </c>
      <c r="E699" s="168" t="s">
        <v>1383</v>
      </c>
      <c r="F699" s="1" t="s">
        <v>1383</v>
      </c>
      <c r="G699" s="8">
        <v>3</v>
      </c>
      <c r="H699" s="8">
        <v>3</v>
      </c>
      <c r="I699" s="115">
        <f>Table223[[#This Row],[Qty]]-Table223[[#This Row],[Issue Qty]]</f>
        <v>0</v>
      </c>
      <c r="J699" s="5">
        <v>1017.9</v>
      </c>
      <c r="K699" s="5">
        <f t="shared" si="35"/>
        <v>3053.7</v>
      </c>
      <c r="L699" s="82">
        <v>0</v>
      </c>
      <c r="M699" s="9">
        <f t="shared" si="36"/>
        <v>0</v>
      </c>
      <c r="N699" s="5">
        <v>0</v>
      </c>
      <c r="O699" s="5"/>
      <c r="P699" s="5">
        <f t="shared" si="37"/>
        <v>3053.7</v>
      </c>
      <c r="Q699" s="1" t="s">
        <v>1230</v>
      </c>
      <c r="R699" s="1" t="s">
        <v>1230</v>
      </c>
      <c r="S699" s="1" t="s">
        <v>1377</v>
      </c>
      <c r="T699" s="1" t="s">
        <v>2473</v>
      </c>
      <c r="U699" s="1"/>
      <c r="V699" s="1"/>
      <c r="W699" s="21" t="s">
        <v>650</v>
      </c>
      <c r="X699" s="8"/>
      <c r="Y699" s="8">
        <v>3</v>
      </c>
      <c r="Z699" s="22" t="s">
        <v>331</v>
      </c>
      <c r="AA699" s="1"/>
      <c r="AB699" s="29"/>
      <c r="AC699" s="1"/>
      <c r="AD699" s="2"/>
    </row>
    <row r="700" spans="1:30" x14ac:dyDescent="0.25">
      <c r="A700" s="4"/>
      <c r="B700" s="4">
        <v>45870</v>
      </c>
      <c r="C700" s="1" t="s">
        <v>1683</v>
      </c>
      <c r="D700" s="1" t="s">
        <v>2477</v>
      </c>
      <c r="E700" s="1" t="s">
        <v>1384</v>
      </c>
      <c r="F700" s="1" t="s">
        <v>1385</v>
      </c>
      <c r="G700" s="8">
        <v>1</v>
      </c>
      <c r="H700" s="8"/>
      <c r="I700" s="115">
        <f>Table223[[#This Row],[Qty]]-Table223[[#This Row],[Issue Qty]]</f>
        <v>1</v>
      </c>
      <c r="J700" s="5">
        <v>4500</v>
      </c>
      <c r="K700" s="5">
        <f t="shared" si="35"/>
        <v>4500</v>
      </c>
      <c r="L700" s="82">
        <v>0.18</v>
      </c>
      <c r="M700" s="9">
        <f t="shared" si="36"/>
        <v>810</v>
      </c>
      <c r="N700" s="5">
        <v>0</v>
      </c>
      <c r="O700" s="5">
        <v>0</v>
      </c>
      <c r="P700" s="5">
        <f t="shared" si="37"/>
        <v>5310</v>
      </c>
      <c r="Q700" s="1" t="s">
        <v>980</v>
      </c>
      <c r="R700" s="1" t="s">
        <v>1125</v>
      </c>
      <c r="S700" s="1" t="s">
        <v>896</v>
      </c>
      <c r="T700" s="1" t="s">
        <v>2478</v>
      </c>
      <c r="U700" s="1"/>
      <c r="V700" s="27"/>
      <c r="W700" s="21"/>
      <c r="X700" s="28"/>
      <c r="Y700" s="21">
        <v>1</v>
      </c>
      <c r="Z700" s="12" t="s">
        <v>1100</v>
      </c>
      <c r="AA700" s="27"/>
      <c r="AB700" s="29"/>
      <c r="AC700" s="27"/>
      <c r="AD700" s="27"/>
    </row>
    <row r="701" spans="1:30" ht="45" x14ac:dyDescent="0.25">
      <c r="A701" s="4"/>
      <c r="B701" s="4">
        <v>45870</v>
      </c>
      <c r="C701" s="1" t="s">
        <v>54</v>
      </c>
      <c r="D701" s="1" t="s">
        <v>2479</v>
      </c>
      <c r="E701" s="169" t="s">
        <v>1386</v>
      </c>
      <c r="F701" s="1" t="s">
        <v>1387</v>
      </c>
      <c r="G701" s="8">
        <v>6</v>
      </c>
      <c r="H701" s="8">
        <v>6</v>
      </c>
      <c r="I701" s="115">
        <f>Table223[[#This Row],[Qty]]-Table223[[#This Row],[Issue Qty]]</f>
        <v>0</v>
      </c>
      <c r="J701" s="5">
        <v>5690</v>
      </c>
      <c r="K701" s="5">
        <f t="shared" si="35"/>
        <v>34140</v>
      </c>
      <c r="L701" s="82">
        <v>0.18</v>
      </c>
      <c r="M701" s="9">
        <f t="shared" si="36"/>
        <v>6145.2</v>
      </c>
      <c r="N701" s="5">
        <v>0</v>
      </c>
      <c r="O701" s="5"/>
      <c r="P701" s="5">
        <f t="shared" si="37"/>
        <v>40285.199999999997</v>
      </c>
      <c r="Q701" s="1" t="s">
        <v>606</v>
      </c>
      <c r="R701" s="1" t="s">
        <v>606</v>
      </c>
      <c r="S701" s="1" t="s">
        <v>444</v>
      </c>
      <c r="T701" s="1" t="s">
        <v>2480</v>
      </c>
      <c r="U701" s="1"/>
      <c r="V701" s="27"/>
      <c r="W701" s="21"/>
      <c r="X701" s="28"/>
      <c r="Y701" s="21">
        <v>6</v>
      </c>
      <c r="Z701" s="12" t="s">
        <v>612</v>
      </c>
      <c r="AA701" s="27"/>
      <c r="AB701" s="29"/>
      <c r="AC701" s="27"/>
      <c r="AD701" s="27"/>
    </row>
    <row r="702" spans="1:30" s="24" customFormat="1" x14ac:dyDescent="0.25">
      <c r="A702" s="4"/>
      <c r="B702" s="4">
        <v>45871</v>
      </c>
      <c r="C702" s="1" t="s">
        <v>1730</v>
      </c>
      <c r="D702" s="1" t="s">
        <v>2481</v>
      </c>
      <c r="E702" s="1" t="s">
        <v>1388</v>
      </c>
      <c r="F702" s="2" t="s">
        <v>1389</v>
      </c>
      <c r="G702" s="8">
        <v>2</v>
      </c>
      <c r="H702" s="8"/>
      <c r="I702" s="115">
        <f>Table223[[#This Row],[Qty]]-Table223[[#This Row],[Issue Qty]]</f>
        <v>2</v>
      </c>
      <c r="J702" s="5">
        <v>933.9</v>
      </c>
      <c r="K702" s="5">
        <f t="shared" si="35"/>
        <v>1867.8</v>
      </c>
      <c r="L702" s="82">
        <v>0.18</v>
      </c>
      <c r="M702" s="9">
        <f t="shared" si="36"/>
        <v>336.20400000000001</v>
      </c>
      <c r="N702" s="5">
        <v>0</v>
      </c>
      <c r="O702" s="5">
        <v>-110.2</v>
      </c>
      <c r="P702" s="5">
        <f t="shared" si="37"/>
        <v>2093.8040000000001</v>
      </c>
      <c r="Q702" s="1" t="s">
        <v>980</v>
      </c>
      <c r="R702" s="1" t="s">
        <v>1125</v>
      </c>
      <c r="S702" s="1" t="s">
        <v>384</v>
      </c>
      <c r="T702" s="1" t="s">
        <v>2482</v>
      </c>
      <c r="U702" s="1"/>
      <c r="V702" s="27"/>
      <c r="W702" s="21" t="s">
        <v>445</v>
      </c>
      <c r="X702" s="28"/>
      <c r="Y702" s="21"/>
      <c r="Z702" s="12"/>
      <c r="AA702" s="27"/>
      <c r="AB702" s="29"/>
      <c r="AC702" s="27"/>
      <c r="AD702" s="2"/>
    </row>
    <row r="703" spans="1:30" s="24" customFormat="1" x14ac:dyDescent="0.25">
      <c r="A703" s="4"/>
      <c r="B703" s="4">
        <v>45871</v>
      </c>
      <c r="C703" s="1" t="s">
        <v>1730</v>
      </c>
      <c r="D703" s="1" t="s">
        <v>2427</v>
      </c>
      <c r="E703" s="1" t="s">
        <v>1324</v>
      </c>
      <c r="F703" s="2" t="s">
        <v>1324</v>
      </c>
      <c r="G703" s="8">
        <v>2</v>
      </c>
      <c r="H703" s="8"/>
      <c r="I703" s="115">
        <f>Table223[[#This Row],[Qty]]-Table223[[#This Row],[Issue Qty]]</f>
        <v>2</v>
      </c>
      <c r="J703" s="5">
        <v>933.9</v>
      </c>
      <c r="K703" s="5">
        <f t="shared" si="35"/>
        <v>1867.8</v>
      </c>
      <c r="L703" s="82">
        <v>0.18</v>
      </c>
      <c r="M703" s="9">
        <f t="shared" si="36"/>
        <v>336.20400000000001</v>
      </c>
      <c r="N703" s="5">
        <v>0</v>
      </c>
      <c r="O703" s="5">
        <v>-110.2</v>
      </c>
      <c r="P703" s="5">
        <f t="shared" si="37"/>
        <v>2093.8040000000001</v>
      </c>
      <c r="Q703" s="1" t="s">
        <v>980</v>
      </c>
      <c r="R703" s="1" t="s">
        <v>1125</v>
      </c>
      <c r="S703" s="1" t="s">
        <v>384</v>
      </c>
      <c r="T703" s="1" t="s">
        <v>2482</v>
      </c>
      <c r="U703" s="1"/>
      <c r="V703" s="27"/>
      <c r="W703" s="21" t="s">
        <v>445</v>
      </c>
      <c r="X703" s="28"/>
      <c r="Y703" s="21"/>
      <c r="Z703" s="12"/>
      <c r="AA703" s="27"/>
      <c r="AB703" s="29"/>
      <c r="AC703" s="27"/>
      <c r="AD703" s="2"/>
    </row>
    <row r="704" spans="1:30" x14ac:dyDescent="0.25">
      <c r="A704" s="4"/>
      <c r="B704" s="4">
        <v>45873</v>
      </c>
      <c r="C704" s="1" t="s">
        <v>1693</v>
      </c>
      <c r="D704" s="1" t="s">
        <v>1831</v>
      </c>
      <c r="E704" s="1" t="s">
        <v>379</v>
      </c>
      <c r="F704" s="1" t="s">
        <v>379</v>
      </c>
      <c r="G704" s="8">
        <v>2</v>
      </c>
      <c r="H704" s="8"/>
      <c r="I704" s="115">
        <f>Table223[[#This Row],[Qty]]-Table223[[#This Row],[Issue Qty]]</f>
        <v>2</v>
      </c>
      <c r="J704" s="5">
        <v>633.33000000000004</v>
      </c>
      <c r="K704" s="5">
        <f t="shared" si="35"/>
        <v>1266.6600000000001</v>
      </c>
      <c r="L704" s="82">
        <v>0.05</v>
      </c>
      <c r="M704" s="9">
        <f t="shared" si="36"/>
        <v>63.333000000000006</v>
      </c>
      <c r="N704" s="5">
        <v>59</v>
      </c>
      <c r="O704" s="5"/>
      <c r="P704" s="5">
        <f t="shared" si="37"/>
        <v>1388.9930000000002</v>
      </c>
      <c r="Q704" s="1" t="s">
        <v>1230</v>
      </c>
      <c r="R704" s="1" t="s">
        <v>1230</v>
      </c>
      <c r="S704" s="1" t="s">
        <v>788</v>
      </c>
      <c r="T704" s="1" t="s">
        <v>2483</v>
      </c>
      <c r="U704" s="1"/>
      <c r="V704" s="1"/>
      <c r="W704" s="21" t="s">
        <v>89</v>
      </c>
      <c r="X704" s="8" t="s">
        <v>262</v>
      </c>
      <c r="Y704" s="8"/>
      <c r="Z704" s="22"/>
      <c r="AA704" s="1"/>
      <c r="AB704" s="29" t="s">
        <v>382</v>
      </c>
      <c r="AC704" s="1"/>
      <c r="AD704" s="27"/>
    </row>
    <row r="705" spans="1:30" ht="30" x14ac:dyDescent="0.25">
      <c r="A705" s="4"/>
      <c r="B705" s="4">
        <v>45874</v>
      </c>
      <c r="C705" s="1" t="s">
        <v>1730</v>
      </c>
      <c r="D705" s="1" t="s">
        <v>2484</v>
      </c>
      <c r="E705" s="1" t="s">
        <v>1390</v>
      </c>
      <c r="F705" s="1" t="s">
        <v>1390</v>
      </c>
      <c r="G705" s="8">
        <v>7</v>
      </c>
      <c r="H705" s="8">
        <v>1</v>
      </c>
      <c r="I705" s="115">
        <f>Table223[[#This Row],[Qty]]-Table223[[#This Row],[Issue Qty]]</f>
        <v>6</v>
      </c>
      <c r="J705" s="5">
        <v>15000</v>
      </c>
      <c r="K705" s="5">
        <f t="shared" si="35"/>
        <v>105000</v>
      </c>
      <c r="L705" s="82">
        <v>0.18</v>
      </c>
      <c r="M705" s="9">
        <f t="shared" si="36"/>
        <v>18900</v>
      </c>
      <c r="N705" s="5">
        <v>0</v>
      </c>
      <c r="O705" s="5"/>
      <c r="P705" s="5">
        <f t="shared" si="37"/>
        <v>123900</v>
      </c>
      <c r="Q705" s="1" t="s">
        <v>607</v>
      </c>
      <c r="R705" s="1" t="s">
        <v>607</v>
      </c>
      <c r="S705" s="1" t="s">
        <v>440</v>
      </c>
      <c r="T705" s="1" t="s">
        <v>2485</v>
      </c>
      <c r="U705" s="1"/>
      <c r="V705" s="1"/>
      <c r="W705" s="21" t="s">
        <v>3179</v>
      </c>
      <c r="X705" s="8"/>
      <c r="Y705" s="8">
        <v>2</v>
      </c>
      <c r="Z705" s="22" t="s">
        <v>2968</v>
      </c>
      <c r="AA705" s="1"/>
      <c r="AB705" s="29" t="s">
        <v>1391</v>
      </c>
      <c r="AC705" s="1"/>
      <c r="AD705" s="27"/>
    </row>
    <row r="706" spans="1:30" ht="30" x14ac:dyDescent="0.25">
      <c r="A706" s="4"/>
      <c r="B706" s="4">
        <v>45877</v>
      </c>
      <c r="C706" s="1" t="s">
        <v>1693</v>
      </c>
      <c r="D706" s="4" t="s">
        <v>2486</v>
      </c>
      <c r="E706" s="169" t="s">
        <v>1392</v>
      </c>
      <c r="F706" s="1" t="s">
        <v>1392</v>
      </c>
      <c r="G706" s="8">
        <v>10</v>
      </c>
      <c r="H706" s="8">
        <v>10</v>
      </c>
      <c r="I706" s="115">
        <f>Table223[[#This Row],[Qty]]-Table223[[#This Row],[Issue Qty]]</f>
        <v>0</v>
      </c>
      <c r="J706" s="5">
        <v>20</v>
      </c>
      <c r="K706" s="5">
        <f t="shared" si="35"/>
        <v>200</v>
      </c>
      <c r="L706" s="82">
        <v>0.18</v>
      </c>
      <c r="M706" s="9">
        <f t="shared" si="36"/>
        <v>36</v>
      </c>
      <c r="N706" s="5">
        <f>298+53.64</f>
        <v>351.64</v>
      </c>
      <c r="O706" s="5">
        <v>0.36</v>
      </c>
      <c r="P706" s="5">
        <f t="shared" si="37"/>
        <v>588</v>
      </c>
      <c r="Q706" s="1" t="s">
        <v>1230</v>
      </c>
      <c r="R706" s="1" t="s">
        <v>1230</v>
      </c>
      <c r="S706" s="1" t="s">
        <v>792</v>
      </c>
      <c r="T706" s="1" t="s">
        <v>2487</v>
      </c>
      <c r="U706" s="1"/>
      <c r="V706" s="1"/>
      <c r="W706" s="21" t="s">
        <v>327</v>
      </c>
      <c r="X706" s="21"/>
      <c r="Y706" s="8">
        <v>10</v>
      </c>
      <c r="Z706" s="22" t="s">
        <v>474</v>
      </c>
      <c r="AA706" s="1"/>
      <c r="AB706" s="29"/>
      <c r="AC706" s="1"/>
      <c r="AD706" s="27"/>
    </row>
    <row r="707" spans="1:30" x14ac:dyDescent="0.25">
      <c r="A707" s="4"/>
      <c r="B707" s="4">
        <v>45880</v>
      </c>
      <c r="C707" s="1" t="s">
        <v>1730</v>
      </c>
      <c r="D707" s="1" t="s">
        <v>2488</v>
      </c>
      <c r="E707" s="169" t="s">
        <v>1393</v>
      </c>
      <c r="F707" s="1" t="s">
        <v>1393</v>
      </c>
      <c r="G707" s="8">
        <v>11</v>
      </c>
      <c r="H707" s="8">
        <v>11</v>
      </c>
      <c r="I707" s="115">
        <f>Table223[[#This Row],[Qty]]-Table223[[#This Row],[Issue Qty]]</f>
        <v>0</v>
      </c>
      <c r="J707" s="5">
        <v>72.73</v>
      </c>
      <c r="K707" s="5">
        <f t="shared" si="35"/>
        <v>800.03000000000009</v>
      </c>
      <c r="L707" s="82">
        <v>0.18</v>
      </c>
      <c r="M707" s="9">
        <f t="shared" si="36"/>
        <v>144.00540000000001</v>
      </c>
      <c r="N707" s="5">
        <v>0</v>
      </c>
      <c r="O707" s="5">
        <v>0</v>
      </c>
      <c r="P707" s="5">
        <f t="shared" si="37"/>
        <v>944.0354000000001</v>
      </c>
      <c r="Q707" s="1" t="s">
        <v>606</v>
      </c>
      <c r="R707" s="1" t="s">
        <v>606</v>
      </c>
      <c r="S707" s="1" t="s">
        <v>1394</v>
      </c>
      <c r="T707" s="1" t="s">
        <v>2489</v>
      </c>
      <c r="U707" s="1"/>
      <c r="V707" s="27"/>
      <c r="W707" s="21" t="s">
        <v>33</v>
      </c>
      <c r="X707" s="28"/>
      <c r="Y707" s="21">
        <v>11</v>
      </c>
      <c r="Z707" s="12" t="s">
        <v>1395</v>
      </c>
      <c r="AA707" s="27"/>
      <c r="AB707" s="29" t="s">
        <v>1393</v>
      </c>
      <c r="AC707" s="27"/>
      <c r="AD707" s="27"/>
    </row>
    <row r="708" spans="1:30" x14ac:dyDescent="0.25">
      <c r="A708" s="4"/>
      <c r="B708" s="4">
        <v>45880</v>
      </c>
      <c r="C708" s="1" t="s">
        <v>1730</v>
      </c>
      <c r="D708" s="1" t="s">
        <v>2490</v>
      </c>
      <c r="E708" s="1" t="s">
        <v>1396</v>
      </c>
      <c r="F708" s="2" t="s">
        <v>1396</v>
      </c>
      <c r="G708" s="8">
        <v>2</v>
      </c>
      <c r="H708" s="8"/>
      <c r="I708" s="115">
        <f>Table223[[#This Row],[Qty]]-Table223[[#This Row],[Issue Qty]]</f>
        <v>2</v>
      </c>
      <c r="J708" s="5">
        <v>933.9</v>
      </c>
      <c r="K708" s="5">
        <f t="shared" si="35"/>
        <v>1867.8</v>
      </c>
      <c r="L708" s="82">
        <v>0.18</v>
      </c>
      <c r="M708" s="9">
        <f t="shared" si="36"/>
        <v>336.20400000000001</v>
      </c>
      <c r="N708" s="5">
        <v>0</v>
      </c>
      <c r="O708" s="5">
        <v>-110.2</v>
      </c>
      <c r="P708" s="5">
        <f t="shared" si="37"/>
        <v>2093.8040000000001</v>
      </c>
      <c r="Q708" s="1" t="s">
        <v>980</v>
      </c>
      <c r="R708" s="1" t="s">
        <v>1125</v>
      </c>
      <c r="S708" s="1" t="s">
        <v>384</v>
      </c>
      <c r="T708" s="1" t="s">
        <v>2491</v>
      </c>
      <c r="U708" s="1"/>
      <c r="V708" s="27"/>
      <c r="W708" s="21"/>
      <c r="X708" s="28"/>
      <c r="Y708" s="21"/>
      <c r="Z708" s="12"/>
      <c r="AA708" s="27"/>
      <c r="AB708" s="29"/>
      <c r="AC708" s="27"/>
      <c r="AD708" s="27"/>
    </row>
    <row r="709" spans="1:30" x14ac:dyDescent="0.25">
      <c r="A709" s="4"/>
      <c r="B709" s="4">
        <v>45880</v>
      </c>
      <c r="C709" s="1" t="s">
        <v>1730</v>
      </c>
      <c r="D709" s="1" t="s">
        <v>2492</v>
      </c>
      <c r="E709" s="1" t="s">
        <v>1397</v>
      </c>
      <c r="F709" s="2" t="s">
        <v>1397</v>
      </c>
      <c r="G709" s="8">
        <v>2</v>
      </c>
      <c r="H709" s="8"/>
      <c r="I709" s="115">
        <f>Table223[[#This Row],[Qty]]-Table223[[#This Row],[Issue Qty]]</f>
        <v>2</v>
      </c>
      <c r="J709" s="5">
        <v>955.93</v>
      </c>
      <c r="K709" s="5">
        <f t="shared" si="35"/>
        <v>1911.86</v>
      </c>
      <c r="L709" s="82">
        <v>0.18</v>
      </c>
      <c r="M709" s="9">
        <f t="shared" si="36"/>
        <v>344.13479999999998</v>
      </c>
      <c r="N709" s="5">
        <v>0</v>
      </c>
      <c r="O709" s="5">
        <v>-112.8</v>
      </c>
      <c r="P709" s="5">
        <f t="shared" si="37"/>
        <v>2143.1947999999998</v>
      </c>
      <c r="Q709" s="1" t="s">
        <v>980</v>
      </c>
      <c r="R709" s="1" t="s">
        <v>1125</v>
      </c>
      <c r="S709" s="1" t="s">
        <v>384</v>
      </c>
      <c r="T709" s="1" t="s">
        <v>2491</v>
      </c>
      <c r="U709" s="1"/>
      <c r="V709" s="27"/>
      <c r="W709" s="21" t="s">
        <v>445</v>
      </c>
      <c r="X709" s="28"/>
      <c r="Y709" s="21"/>
      <c r="Z709" s="12"/>
      <c r="AA709" s="27"/>
      <c r="AB709" s="29"/>
      <c r="AC709" s="27"/>
      <c r="AD709" s="27"/>
    </row>
    <row r="710" spans="1:30" s="24" customFormat="1" x14ac:dyDescent="0.25">
      <c r="A710" s="4"/>
      <c r="B710" s="4">
        <v>45881</v>
      </c>
      <c r="C710" s="1" t="s">
        <v>1693</v>
      </c>
      <c r="D710" s="1" t="s">
        <v>1741</v>
      </c>
      <c r="E710" s="1" t="s">
        <v>165</v>
      </c>
      <c r="F710" s="1" t="s">
        <v>1398</v>
      </c>
      <c r="G710" s="8">
        <v>4</v>
      </c>
      <c r="H710" s="8">
        <v>4</v>
      </c>
      <c r="I710" s="115">
        <f>Table223[[#This Row],[Qty]]-Table223[[#This Row],[Issue Qty]]</f>
        <v>0</v>
      </c>
      <c r="J710" s="5">
        <v>3094.2849999999999</v>
      </c>
      <c r="K710" s="5">
        <f t="shared" si="35"/>
        <v>12377.14</v>
      </c>
      <c r="L710" s="82">
        <v>0.05</v>
      </c>
      <c r="M710" s="9">
        <f t="shared" si="36"/>
        <v>618.85699999999997</v>
      </c>
      <c r="N710" s="5">
        <v>0</v>
      </c>
      <c r="O710" s="5">
        <v>0</v>
      </c>
      <c r="P710" s="5">
        <f t="shared" si="37"/>
        <v>12995.996999999999</v>
      </c>
      <c r="Q710" s="1" t="s">
        <v>536</v>
      </c>
      <c r="R710" s="1" t="s">
        <v>536</v>
      </c>
      <c r="S710" s="1" t="s">
        <v>634</v>
      </c>
      <c r="T710" s="1" t="s">
        <v>2493</v>
      </c>
      <c r="U710" s="1"/>
      <c r="V710" s="27"/>
      <c r="W710" s="21"/>
      <c r="X710" s="28"/>
      <c r="Y710" s="21">
        <v>4</v>
      </c>
      <c r="Z710" s="12" t="s">
        <v>536</v>
      </c>
      <c r="AA710" s="27"/>
      <c r="AB710" s="29"/>
      <c r="AC710" s="27"/>
      <c r="AD710" s="2"/>
    </row>
    <row r="711" spans="1:30" x14ac:dyDescent="0.25">
      <c r="A711" s="4"/>
      <c r="B711" s="4">
        <v>45881</v>
      </c>
      <c r="C711" s="1" t="s">
        <v>1693</v>
      </c>
      <c r="D711" s="1" t="s">
        <v>2494</v>
      </c>
      <c r="E711" s="1" t="s">
        <v>1399</v>
      </c>
      <c r="F711" s="1" t="s">
        <v>1399</v>
      </c>
      <c r="G711" s="8">
        <v>1</v>
      </c>
      <c r="H711" s="8"/>
      <c r="I711" s="115">
        <f>Table223[[#This Row],[Qty]]-Table223[[#This Row],[Issue Qty]]</f>
        <v>1</v>
      </c>
      <c r="J711" s="5">
        <v>440.68</v>
      </c>
      <c r="K711" s="5">
        <f t="shared" si="35"/>
        <v>440.68</v>
      </c>
      <c r="L711" s="82">
        <v>0.18</v>
      </c>
      <c r="M711" s="9">
        <f t="shared" si="36"/>
        <v>79.322400000000002</v>
      </c>
      <c r="N711" s="5">
        <v>0</v>
      </c>
      <c r="O711" s="5">
        <v>0</v>
      </c>
      <c r="P711" s="5">
        <f t="shared" si="37"/>
        <v>520.00239999999997</v>
      </c>
      <c r="Q711" s="1" t="s">
        <v>1230</v>
      </c>
      <c r="R711" s="1" t="s">
        <v>1230</v>
      </c>
      <c r="S711" s="1" t="s">
        <v>1314</v>
      </c>
      <c r="T711" s="1" t="s">
        <v>2495</v>
      </c>
      <c r="U711" s="1"/>
      <c r="V711" s="1"/>
      <c r="W711" s="21"/>
      <c r="X711" s="8"/>
      <c r="Y711" s="8"/>
      <c r="Z711" s="22"/>
      <c r="AA711" s="1"/>
      <c r="AB711" s="29"/>
      <c r="AC711" s="1"/>
      <c r="AD711" s="27"/>
    </row>
    <row r="712" spans="1:30" x14ac:dyDescent="0.25">
      <c r="A712" s="4"/>
      <c r="B712" s="4">
        <v>45882</v>
      </c>
      <c r="C712" s="1" t="s">
        <v>54</v>
      </c>
      <c r="D712" s="1" t="s">
        <v>2496</v>
      </c>
      <c r="E712" s="1" t="s">
        <v>1400</v>
      </c>
      <c r="F712" s="1" t="s">
        <v>1401</v>
      </c>
      <c r="G712" s="8">
        <v>4</v>
      </c>
      <c r="H712" s="8">
        <v>4</v>
      </c>
      <c r="I712" s="115">
        <f>Table223[[#This Row],[Qty]]-Table223[[#This Row],[Issue Qty]]</f>
        <v>0</v>
      </c>
      <c r="J712" s="5">
        <v>6285.7150000000001</v>
      </c>
      <c r="K712" s="5">
        <f t="shared" si="35"/>
        <v>25142.86</v>
      </c>
      <c r="L712" s="82">
        <v>0.05</v>
      </c>
      <c r="M712" s="9">
        <f t="shared" si="36"/>
        <v>1257.143</v>
      </c>
      <c r="N712" s="5">
        <v>175.72</v>
      </c>
      <c r="O712" s="5">
        <v>0</v>
      </c>
      <c r="P712" s="5">
        <f t="shared" si="37"/>
        <v>26575.723000000002</v>
      </c>
      <c r="Q712" s="1" t="s">
        <v>536</v>
      </c>
      <c r="R712" s="1" t="s">
        <v>536</v>
      </c>
      <c r="S712" s="1" t="s">
        <v>634</v>
      </c>
      <c r="T712" s="1" t="s">
        <v>2493</v>
      </c>
      <c r="U712" s="1"/>
      <c r="V712" s="1"/>
      <c r="W712" s="21" t="s">
        <v>126</v>
      </c>
      <c r="X712" s="8"/>
      <c r="Y712" s="8">
        <v>2</v>
      </c>
      <c r="Z712" s="22" t="s">
        <v>3352</v>
      </c>
      <c r="AA712" s="1"/>
      <c r="AB712" s="29"/>
      <c r="AC712" s="1"/>
      <c r="AD712" s="27"/>
    </row>
    <row r="713" spans="1:30" s="24" customFormat="1" ht="60" x14ac:dyDescent="0.25">
      <c r="A713" s="4"/>
      <c r="B713" s="4">
        <v>45882</v>
      </c>
      <c r="C713" s="1" t="s">
        <v>1683</v>
      </c>
      <c r="D713" s="1" t="s">
        <v>2497</v>
      </c>
      <c r="E713" s="1" t="s">
        <v>1402</v>
      </c>
      <c r="F713" s="1" t="s">
        <v>1403</v>
      </c>
      <c r="G713" s="8">
        <v>2</v>
      </c>
      <c r="H713" s="8">
        <v>2</v>
      </c>
      <c r="I713" s="115">
        <f>Table223[[#This Row],[Qty]]-Table223[[#This Row],[Issue Qty]]</f>
        <v>0</v>
      </c>
      <c r="J713" s="5">
        <v>200</v>
      </c>
      <c r="K713" s="5">
        <f t="shared" si="35"/>
        <v>400</v>
      </c>
      <c r="L713" s="82">
        <v>0.18</v>
      </c>
      <c r="M713" s="9">
        <f t="shared" si="36"/>
        <v>72</v>
      </c>
      <c r="N713" s="5">
        <v>0</v>
      </c>
      <c r="O713" s="5">
        <v>0</v>
      </c>
      <c r="P713" s="5">
        <f t="shared" si="37"/>
        <v>472</v>
      </c>
      <c r="Q713" s="1" t="s">
        <v>1230</v>
      </c>
      <c r="R713" s="1" t="s">
        <v>1230</v>
      </c>
      <c r="S713" s="1" t="s">
        <v>384</v>
      </c>
      <c r="T713" s="1" t="s">
        <v>2498</v>
      </c>
      <c r="U713" s="1"/>
      <c r="V713" s="1"/>
      <c r="W713" s="21" t="s">
        <v>3349</v>
      </c>
      <c r="X713" s="8"/>
      <c r="Y713" s="8">
        <v>1</v>
      </c>
      <c r="Z713" s="22" t="s">
        <v>1405</v>
      </c>
      <c r="AA713" s="1"/>
      <c r="AB713" s="29"/>
      <c r="AC713" s="1"/>
      <c r="AD713" s="2"/>
    </row>
    <row r="714" spans="1:30" x14ac:dyDescent="0.25">
      <c r="A714" s="4"/>
      <c r="B714" s="4">
        <v>45887</v>
      </c>
      <c r="C714" s="1" t="s">
        <v>1693</v>
      </c>
      <c r="D714" s="1" t="s">
        <v>2499</v>
      </c>
      <c r="E714" s="1" t="s">
        <v>1406</v>
      </c>
      <c r="F714" s="1" t="s">
        <v>1407</v>
      </c>
      <c r="G714" s="8">
        <v>2</v>
      </c>
      <c r="H714" s="8">
        <v>2</v>
      </c>
      <c r="I714" s="115">
        <f>Table223[[#This Row],[Qty]]-Table223[[#This Row],[Issue Qty]]</f>
        <v>0</v>
      </c>
      <c r="J714" s="5">
        <v>210.93</v>
      </c>
      <c r="K714" s="5">
        <f t="shared" si="35"/>
        <v>421.86</v>
      </c>
      <c r="L714" s="82">
        <v>0.05</v>
      </c>
      <c r="M714" s="9">
        <f t="shared" si="36"/>
        <v>21.093000000000004</v>
      </c>
      <c r="N714" s="5">
        <v>45.518571428999998</v>
      </c>
      <c r="O714" s="5"/>
      <c r="P714" s="5">
        <f t="shared" si="37"/>
        <v>488.47157142900005</v>
      </c>
      <c r="Q714" s="1" t="s">
        <v>1408</v>
      </c>
      <c r="R714" s="1" t="s">
        <v>1408</v>
      </c>
      <c r="S714" s="1" t="s">
        <v>634</v>
      </c>
      <c r="T714" s="1" t="s">
        <v>2500</v>
      </c>
      <c r="U714" s="1"/>
      <c r="V714" s="1"/>
      <c r="W714" s="21" t="s">
        <v>89</v>
      </c>
      <c r="X714" s="21" t="s">
        <v>262</v>
      </c>
      <c r="Y714" s="8">
        <v>2</v>
      </c>
      <c r="Z714" s="22" t="s">
        <v>3417</v>
      </c>
      <c r="AA714" s="1" t="s">
        <v>3416</v>
      </c>
      <c r="AB714" s="29" t="s">
        <v>1409</v>
      </c>
      <c r="AC714" s="1"/>
      <c r="AD714" s="27"/>
    </row>
    <row r="715" spans="1:30" x14ac:dyDescent="0.25">
      <c r="A715" s="4"/>
      <c r="B715" s="4">
        <v>45887</v>
      </c>
      <c r="C715" s="1" t="s">
        <v>1693</v>
      </c>
      <c r="D715" s="1" t="s">
        <v>2499</v>
      </c>
      <c r="E715" s="1" t="s">
        <v>1406</v>
      </c>
      <c r="F715" s="1" t="s">
        <v>1407</v>
      </c>
      <c r="G715" s="8">
        <v>2</v>
      </c>
      <c r="H715" s="8"/>
      <c r="I715" s="115">
        <f>Table223[[#This Row],[Qty]]-Table223[[#This Row],[Issue Qty]]</f>
        <v>2</v>
      </c>
      <c r="J715" s="5">
        <v>210.93</v>
      </c>
      <c r="K715" s="5">
        <f t="shared" si="35"/>
        <v>421.86</v>
      </c>
      <c r="L715" s="82">
        <v>0.05</v>
      </c>
      <c r="M715" s="9">
        <f t="shared" si="36"/>
        <v>21.093000000000004</v>
      </c>
      <c r="N715" s="5">
        <v>45.518571428999998</v>
      </c>
      <c r="O715" s="5"/>
      <c r="P715" s="5">
        <f t="shared" si="37"/>
        <v>488.47157142900005</v>
      </c>
      <c r="Q715" s="1" t="s">
        <v>1408</v>
      </c>
      <c r="R715" s="1" t="s">
        <v>1408</v>
      </c>
      <c r="S715" s="1" t="s">
        <v>634</v>
      </c>
      <c r="T715" s="1" t="s">
        <v>2500</v>
      </c>
      <c r="U715" s="1"/>
      <c r="V715" s="27"/>
      <c r="W715" s="21" t="s">
        <v>89</v>
      </c>
      <c r="X715" s="21" t="s">
        <v>262</v>
      </c>
      <c r="Y715" s="21"/>
      <c r="Z715" s="12"/>
      <c r="AA715" s="27"/>
      <c r="AB715" s="29" t="s">
        <v>1409</v>
      </c>
      <c r="AC715" s="27"/>
      <c r="AD715" s="27"/>
    </row>
    <row r="716" spans="1:30" x14ac:dyDescent="0.25">
      <c r="A716" s="4"/>
      <c r="B716" s="4">
        <v>45887</v>
      </c>
      <c r="C716" s="1" t="s">
        <v>1730</v>
      </c>
      <c r="D716" s="1" t="s">
        <v>2501</v>
      </c>
      <c r="E716" s="1" t="s">
        <v>1410</v>
      </c>
      <c r="F716" s="1" t="s">
        <v>1410</v>
      </c>
      <c r="G716" s="8">
        <v>1</v>
      </c>
      <c r="H716" s="8"/>
      <c r="I716" s="115">
        <f>Table223[[#This Row],[Qty]]-Table223[[#This Row],[Issue Qty]]</f>
        <v>1</v>
      </c>
      <c r="J716" s="5">
        <v>609.52</v>
      </c>
      <c r="K716" s="5">
        <f t="shared" si="35"/>
        <v>609.52</v>
      </c>
      <c r="L716" s="82">
        <v>0.05</v>
      </c>
      <c r="M716" s="9">
        <f t="shared" si="36"/>
        <v>30.475999999999999</v>
      </c>
      <c r="N716" s="5">
        <v>49</v>
      </c>
      <c r="O716" s="5">
        <v>0</v>
      </c>
      <c r="P716" s="5">
        <f t="shared" si="37"/>
        <v>688.99599999999998</v>
      </c>
      <c r="Q716" s="1" t="s">
        <v>980</v>
      </c>
      <c r="R716" s="1" t="s">
        <v>980</v>
      </c>
      <c r="S716" s="1" t="s">
        <v>634</v>
      </c>
      <c r="T716" s="1" t="s">
        <v>2502</v>
      </c>
      <c r="U716" s="1"/>
      <c r="V716" s="1"/>
      <c r="W716" s="21"/>
      <c r="X716" s="8"/>
      <c r="Y716" s="8">
        <v>1</v>
      </c>
      <c r="Z716" s="22" t="s">
        <v>1125</v>
      </c>
      <c r="AA716" s="1"/>
      <c r="AB716" s="29"/>
      <c r="AC716" s="1"/>
      <c r="AD716" s="27"/>
    </row>
    <row r="717" spans="1:30" x14ac:dyDescent="0.25">
      <c r="A717" s="4"/>
      <c r="B717" s="4">
        <v>45888</v>
      </c>
      <c r="C717" s="1" t="s">
        <v>1695</v>
      </c>
      <c r="D717" s="1" t="s">
        <v>2094</v>
      </c>
      <c r="E717" s="1" t="s">
        <v>854</v>
      </c>
      <c r="F717" s="1" t="s">
        <v>854</v>
      </c>
      <c r="G717" s="8">
        <v>4</v>
      </c>
      <c r="H717" s="8"/>
      <c r="I717" s="115">
        <f>Table223[[#This Row],[Qty]]-Table223[[#This Row],[Issue Qty]]</f>
        <v>4</v>
      </c>
      <c r="J717" s="5">
        <v>0</v>
      </c>
      <c r="K717" s="5">
        <f t="shared" si="35"/>
        <v>0</v>
      </c>
      <c r="L717" s="82">
        <v>0</v>
      </c>
      <c r="M717" s="9">
        <f t="shared" si="36"/>
        <v>0</v>
      </c>
      <c r="N717" s="5"/>
      <c r="O717" s="5"/>
      <c r="P717" s="5">
        <f t="shared" si="37"/>
        <v>0</v>
      </c>
      <c r="Q717" s="1" t="s">
        <v>606</v>
      </c>
      <c r="R717" s="1" t="s">
        <v>606</v>
      </c>
      <c r="S717" s="1" t="s">
        <v>444</v>
      </c>
      <c r="T717" s="1" t="s">
        <v>2503</v>
      </c>
      <c r="U717" s="1"/>
      <c r="V717" s="1"/>
      <c r="W717" s="21" t="s">
        <v>261</v>
      </c>
      <c r="X717" s="8"/>
      <c r="Y717" s="8">
        <v>4</v>
      </c>
      <c r="Z717" s="22" t="s">
        <v>606</v>
      </c>
      <c r="AA717" s="1"/>
      <c r="AB717" s="29"/>
      <c r="AC717" s="1"/>
      <c r="AD717" s="27"/>
    </row>
    <row r="718" spans="1:30" s="24" customFormat="1" x14ac:dyDescent="0.25">
      <c r="A718" s="4"/>
      <c r="B718" s="4">
        <v>45888</v>
      </c>
      <c r="C718" s="1" t="s">
        <v>54</v>
      </c>
      <c r="D718" s="1" t="s">
        <v>2504</v>
      </c>
      <c r="E718" s="1" t="s">
        <v>1411</v>
      </c>
      <c r="F718" s="1" t="s">
        <v>1411</v>
      </c>
      <c r="G718" s="8">
        <v>1</v>
      </c>
      <c r="H718" s="8"/>
      <c r="I718" s="115">
        <f>Table223[[#This Row],[Qty]]-Table223[[#This Row],[Issue Qty]]</f>
        <v>1</v>
      </c>
      <c r="J718" s="5">
        <v>3800</v>
      </c>
      <c r="K718" s="5">
        <f t="shared" si="35"/>
        <v>3800</v>
      </c>
      <c r="L718" s="82">
        <v>0.18</v>
      </c>
      <c r="M718" s="9">
        <f t="shared" si="36"/>
        <v>684</v>
      </c>
      <c r="N718" s="5">
        <v>0</v>
      </c>
      <c r="O718" s="5">
        <v>0</v>
      </c>
      <c r="P718" s="5">
        <f t="shared" si="37"/>
        <v>4484</v>
      </c>
      <c r="Q718" s="1" t="s">
        <v>980</v>
      </c>
      <c r="R718" s="1" t="s">
        <v>980</v>
      </c>
      <c r="S718" s="1" t="s">
        <v>764</v>
      </c>
      <c r="T718" s="1" t="s">
        <v>2505</v>
      </c>
      <c r="U718" s="1"/>
      <c r="V718" s="27"/>
      <c r="W718" s="21"/>
      <c r="X718" s="28"/>
      <c r="Y718" s="21">
        <v>1</v>
      </c>
      <c r="Z718" s="12"/>
      <c r="AA718" s="27"/>
      <c r="AB718" s="29"/>
      <c r="AC718" s="27"/>
      <c r="AD718" s="2"/>
    </row>
    <row r="719" spans="1:30" x14ac:dyDescent="0.25">
      <c r="A719" s="4"/>
      <c r="B719" s="4">
        <v>45888</v>
      </c>
      <c r="C719" s="1" t="s">
        <v>54</v>
      </c>
      <c r="D719" s="1" t="s">
        <v>2506</v>
      </c>
      <c r="E719" s="1" t="s">
        <v>1412</v>
      </c>
      <c r="F719" s="1" t="s">
        <v>1412</v>
      </c>
      <c r="G719" s="8">
        <v>1</v>
      </c>
      <c r="H719" s="8"/>
      <c r="I719" s="115">
        <f>Table223[[#This Row],[Qty]]-Table223[[#This Row],[Issue Qty]]</f>
        <v>1</v>
      </c>
      <c r="J719" s="5">
        <v>1575</v>
      </c>
      <c r="K719" s="5">
        <f t="shared" si="35"/>
        <v>1575</v>
      </c>
      <c r="L719" s="82">
        <v>0.18</v>
      </c>
      <c r="M719" s="9">
        <f t="shared" si="36"/>
        <v>283.5</v>
      </c>
      <c r="N719" s="5">
        <v>0</v>
      </c>
      <c r="O719" s="5">
        <v>0</v>
      </c>
      <c r="P719" s="5">
        <f t="shared" si="37"/>
        <v>1858.5</v>
      </c>
      <c r="Q719" s="1" t="s">
        <v>980</v>
      </c>
      <c r="R719" s="1" t="s">
        <v>980</v>
      </c>
      <c r="S719" s="1" t="s">
        <v>764</v>
      </c>
      <c r="T719" s="1" t="s">
        <v>2505</v>
      </c>
      <c r="U719" s="1"/>
      <c r="V719" s="27"/>
      <c r="W719" s="21"/>
      <c r="X719" s="28"/>
      <c r="Y719" s="21">
        <v>1</v>
      </c>
      <c r="Z719" s="12"/>
      <c r="AA719" s="27"/>
      <c r="AB719" s="29"/>
      <c r="AC719" s="27"/>
      <c r="AD719" s="27"/>
    </row>
    <row r="720" spans="1:30" x14ac:dyDescent="0.25">
      <c r="A720" s="4"/>
      <c r="B720" s="4">
        <v>45888</v>
      </c>
      <c r="C720" s="1" t="s">
        <v>1730</v>
      </c>
      <c r="D720" s="1" t="s">
        <v>2507</v>
      </c>
      <c r="E720" s="1" t="s">
        <v>1413</v>
      </c>
      <c r="F720" s="1" t="s">
        <v>1413</v>
      </c>
      <c r="G720" s="8">
        <v>2</v>
      </c>
      <c r="H720" s="8"/>
      <c r="I720" s="115">
        <f>Table223[[#This Row],[Qty]]-Table223[[#This Row],[Issue Qty]]</f>
        <v>2</v>
      </c>
      <c r="J720" s="5">
        <v>111.43</v>
      </c>
      <c r="K720" s="5">
        <f t="shared" si="35"/>
        <v>222.86</v>
      </c>
      <c r="L720" s="82">
        <v>0.05</v>
      </c>
      <c r="M720" s="9">
        <f t="shared" si="36"/>
        <v>11.143000000000001</v>
      </c>
      <c r="N720" s="5">
        <v>99</v>
      </c>
      <c r="O720" s="5">
        <v>0</v>
      </c>
      <c r="P720" s="5">
        <f t="shared" si="37"/>
        <v>333.00300000000004</v>
      </c>
      <c r="Q720" s="1" t="s">
        <v>980</v>
      </c>
      <c r="R720" s="1" t="s">
        <v>980</v>
      </c>
      <c r="S720" s="1" t="s">
        <v>634</v>
      </c>
      <c r="T720" s="1" t="s">
        <v>2508</v>
      </c>
      <c r="U720" s="1"/>
      <c r="V720" s="27"/>
      <c r="W720" s="21"/>
      <c r="X720" s="28"/>
      <c r="Y720" s="21">
        <v>2</v>
      </c>
      <c r="Z720" s="12" t="s">
        <v>1125</v>
      </c>
      <c r="AA720" s="27"/>
      <c r="AB720" s="29"/>
      <c r="AC720" s="27"/>
      <c r="AD720" s="27"/>
    </row>
    <row r="721" spans="1:30" x14ac:dyDescent="0.25">
      <c r="A721" s="4"/>
      <c r="B721" s="4">
        <v>45890</v>
      </c>
      <c r="C721" s="1" t="s">
        <v>1730</v>
      </c>
      <c r="D721" s="1" t="s">
        <v>2509</v>
      </c>
      <c r="E721" s="87" t="s">
        <v>1414</v>
      </c>
      <c r="F721" s="1" t="s">
        <v>1414</v>
      </c>
      <c r="G721" s="8">
        <v>1</v>
      </c>
      <c r="H721" s="8"/>
      <c r="I721" s="115">
        <f>Table223[[#This Row],[Qty]]-Table223[[#This Row],[Issue Qty]]</f>
        <v>1</v>
      </c>
      <c r="J721" s="5">
        <v>46.67</v>
      </c>
      <c r="K721" s="5">
        <f t="shared" si="35"/>
        <v>46.67</v>
      </c>
      <c r="L721" s="82">
        <v>0.05</v>
      </c>
      <c r="M721" s="9">
        <f t="shared" si="36"/>
        <v>2.3335000000000004</v>
      </c>
      <c r="N721" s="5">
        <v>99</v>
      </c>
      <c r="O721" s="5">
        <v>0</v>
      </c>
      <c r="P721" s="5">
        <f t="shared" si="37"/>
        <v>148.0035</v>
      </c>
      <c r="Q721" s="1" t="s">
        <v>980</v>
      </c>
      <c r="R721" s="1" t="s">
        <v>980</v>
      </c>
      <c r="S721" s="1" t="s">
        <v>1415</v>
      </c>
      <c r="T721" s="1">
        <v>5781</v>
      </c>
      <c r="U721" s="1"/>
      <c r="V721" s="1"/>
      <c r="W721" s="21" t="s">
        <v>944</v>
      </c>
      <c r="X721" s="8" t="s">
        <v>1341</v>
      </c>
      <c r="Y721" s="8"/>
      <c r="Z721" s="22"/>
      <c r="AA721" s="1"/>
      <c r="AB721" s="29"/>
      <c r="AC721" s="1"/>
      <c r="AD721" s="27"/>
    </row>
    <row r="722" spans="1:30" x14ac:dyDescent="0.25">
      <c r="A722" s="4"/>
      <c r="B722" s="4">
        <v>45891</v>
      </c>
      <c r="C722" s="1" t="s">
        <v>1683</v>
      </c>
      <c r="D722" s="1" t="s">
        <v>2510</v>
      </c>
      <c r="E722" s="1" t="s">
        <v>1416</v>
      </c>
      <c r="F722" s="1" t="s">
        <v>1416</v>
      </c>
      <c r="G722" s="8">
        <f>36-25</f>
        <v>11</v>
      </c>
      <c r="H722" s="8"/>
      <c r="I722" s="115">
        <f>Table223[[#This Row],[Qty]]-Table223[[#This Row],[Issue Qty]]</f>
        <v>11</v>
      </c>
      <c r="J722" s="5">
        <v>675</v>
      </c>
      <c r="K722" s="5">
        <f t="shared" si="35"/>
        <v>7425</v>
      </c>
      <c r="L722" s="82">
        <v>0.18</v>
      </c>
      <c r="M722" s="9">
        <f t="shared" si="36"/>
        <v>1336.5</v>
      </c>
      <c r="N722" s="5">
        <v>0</v>
      </c>
      <c r="O722" s="5">
        <v>0</v>
      </c>
      <c r="P722" s="5">
        <f t="shared" si="37"/>
        <v>8761.5</v>
      </c>
      <c r="Q722" s="1" t="s">
        <v>980</v>
      </c>
      <c r="R722" s="1" t="s">
        <v>1125</v>
      </c>
      <c r="S722" s="1" t="s">
        <v>792</v>
      </c>
      <c r="T722" s="1" t="s">
        <v>2511</v>
      </c>
      <c r="U722" s="1"/>
      <c r="V722" s="1"/>
      <c r="W722" s="21" t="s">
        <v>1345</v>
      </c>
      <c r="X722" s="8"/>
      <c r="Y722" s="8"/>
      <c r="Z722" s="22"/>
      <c r="AA722" s="1"/>
      <c r="AB722" s="29"/>
      <c r="AC722" s="1"/>
      <c r="AD722" s="27"/>
    </row>
    <row r="723" spans="1:30" s="24" customFormat="1" x14ac:dyDescent="0.25">
      <c r="A723" s="4"/>
      <c r="B723" s="4">
        <v>45891</v>
      </c>
      <c r="C723" s="1" t="s">
        <v>1683</v>
      </c>
      <c r="D723" s="1" t="s">
        <v>2510</v>
      </c>
      <c r="E723" s="1" t="s">
        <v>1416</v>
      </c>
      <c r="F723" s="1" t="s">
        <v>1416</v>
      </c>
      <c r="G723" s="8">
        <f>36-11</f>
        <v>25</v>
      </c>
      <c r="H723" s="8"/>
      <c r="I723" s="115">
        <f>Table223[[#This Row],[Qty]]-Table223[[#This Row],[Issue Qty]]</f>
        <v>25</v>
      </c>
      <c r="J723" s="5">
        <v>675</v>
      </c>
      <c r="K723" s="5">
        <f t="shared" si="35"/>
        <v>16875</v>
      </c>
      <c r="L723" s="82">
        <v>0.18</v>
      </c>
      <c r="M723" s="9">
        <f t="shared" si="36"/>
        <v>3037.5</v>
      </c>
      <c r="N723" s="5">
        <v>0</v>
      </c>
      <c r="O723" s="5">
        <v>0</v>
      </c>
      <c r="P723" s="5">
        <f t="shared" si="37"/>
        <v>19912.5</v>
      </c>
      <c r="Q723" s="1" t="s">
        <v>980</v>
      </c>
      <c r="R723" s="1" t="s">
        <v>1125</v>
      </c>
      <c r="S723" s="1" t="s">
        <v>792</v>
      </c>
      <c r="T723" s="1" t="s">
        <v>2511</v>
      </c>
      <c r="U723" s="1"/>
      <c r="V723" s="27"/>
      <c r="W723" s="21" t="s">
        <v>1345</v>
      </c>
      <c r="X723" s="28"/>
      <c r="Y723" s="21">
        <v>24</v>
      </c>
      <c r="Z723" s="12" t="s">
        <v>1417</v>
      </c>
      <c r="AA723" s="27"/>
      <c r="AB723" s="29"/>
      <c r="AC723" s="27"/>
      <c r="AD723" s="2"/>
    </row>
    <row r="724" spans="1:30" x14ac:dyDescent="0.25">
      <c r="A724" s="4"/>
      <c r="B724" s="4">
        <v>45894</v>
      </c>
      <c r="C724" s="1" t="s">
        <v>1683</v>
      </c>
      <c r="D724" s="1" t="s">
        <v>2337</v>
      </c>
      <c r="E724" s="1" t="s">
        <v>1418</v>
      </c>
      <c r="F724" s="1" t="s">
        <v>1419</v>
      </c>
      <c r="G724" s="8">
        <v>5</v>
      </c>
      <c r="H724" s="8"/>
      <c r="I724" s="115">
        <f>Table223[[#This Row],[Qty]]-Table223[[#This Row],[Issue Qty]]</f>
        <v>5</v>
      </c>
      <c r="J724" s="5">
        <v>4400</v>
      </c>
      <c r="K724" s="5">
        <f t="shared" si="35"/>
        <v>22000</v>
      </c>
      <c r="L724" s="82">
        <v>0.05</v>
      </c>
      <c r="M724" s="9">
        <f t="shared" si="36"/>
        <v>1100</v>
      </c>
      <c r="N724" s="5">
        <v>0</v>
      </c>
      <c r="O724" s="5">
        <v>0</v>
      </c>
      <c r="P724" s="5">
        <f t="shared" si="37"/>
        <v>23100</v>
      </c>
      <c r="Q724" s="1" t="s">
        <v>980</v>
      </c>
      <c r="R724" s="1" t="s">
        <v>1125</v>
      </c>
      <c r="S724" s="1" t="s">
        <v>1420</v>
      </c>
      <c r="T724" s="1" t="s">
        <v>2512</v>
      </c>
      <c r="U724" s="1"/>
      <c r="V724" s="1"/>
      <c r="W724" s="21" t="s">
        <v>22</v>
      </c>
      <c r="X724" s="21" t="s">
        <v>1963</v>
      </c>
      <c r="Y724" s="8"/>
      <c r="Z724" s="22"/>
      <c r="AA724" s="1"/>
      <c r="AB724" s="29"/>
      <c r="AC724" s="1"/>
      <c r="AD724" s="27"/>
    </row>
    <row r="725" spans="1:30" s="24" customFormat="1" x14ac:dyDescent="0.25">
      <c r="A725" s="4"/>
      <c r="B725" s="4">
        <v>45894</v>
      </c>
      <c r="C725" s="1" t="s">
        <v>1693</v>
      </c>
      <c r="D725" s="1" t="s">
        <v>2513</v>
      </c>
      <c r="E725" s="1" t="s">
        <v>1421</v>
      </c>
      <c r="F725" s="1" t="s">
        <v>1421</v>
      </c>
      <c r="G725" s="8">
        <v>5</v>
      </c>
      <c r="H725" s="8"/>
      <c r="I725" s="115">
        <f>Table223[[#This Row],[Qty]]-Table223[[#This Row],[Issue Qty]]</f>
        <v>5</v>
      </c>
      <c r="J725" s="5">
        <v>1550</v>
      </c>
      <c r="K725" s="5">
        <f t="shared" si="35"/>
        <v>7750</v>
      </c>
      <c r="L725" s="82">
        <v>0.18</v>
      </c>
      <c r="M725" s="9">
        <f t="shared" si="36"/>
        <v>1395</v>
      </c>
      <c r="N725" s="5">
        <v>0</v>
      </c>
      <c r="O725" s="5">
        <v>0</v>
      </c>
      <c r="P725" s="5">
        <f t="shared" si="37"/>
        <v>9145</v>
      </c>
      <c r="Q725" s="1" t="s">
        <v>1230</v>
      </c>
      <c r="R725" s="1" t="s">
        <v>1230</v>
      </c>
      <c r="S725" s="1" t="s">
        <v>1420</v>
      </c>
      <c r="T725" s="1" t="s">
        <v>2514</v>
      </c>
      <c r="U725" s="1"/>
      <c r="V725" s="1"/>
      <c r="W725" s="21" t="s">
        <v>327</v>
      </c>
      <c r="X725" s="8" t="s">
        <v>1378</v>
      </c>
      <c r="Y725" s="8"/>
      <c r="Z725" s="22"/>
      <c r="AA725" s="1"/>
      <c r="AB725" s="29"/>
      <c r="AC725" s="1"/>
      <c r="AD725" s="2"/>
    </row>
    <row r="726" spans="1:30" x14ac:dyDescent="0.25">
      <c r="A726" s="4"/>
      <c r="B726" s="4">
        <v>45902</v>
      </c>
      <c r="C726" s="1" t="s">
        <v>1683</v>
      </c>
      <c r="D726" s="1" t="s">
        <v>2515</v>
      </c>
      <c r="E726" s="1" t="s">
        <v>1422</v>
      </c>
      <c r="F726" s="1" t="s">
        <v>1422</v>
      </c>
      <c r="G726" s="8">
        <v>3</v>
      </c>
      <c r="H726" s="8"/>
      <c r="I726" s="115">
        <f>Table223[[#This Row],[Qty]]-Table223[[#This Row],[Issue Qty]]</f>
        <v>3</v>
      </c>
      <c r="J726" s="5">
        <v>0</v>
      </c>
      <c r="K726" s="5">
        <f t="shared" si="35"/>
        <v>0</v>
      </c>
      <c r="L726" s="82">
        <v>0</v>
      </c>
      <c r="M726" s="9">
        <f t="shared" si="36"/>
        <v>0</v>
      </c>
      <c r="N726" s="5">
        <v>0</v>
      </c>
      <c r="O726" s="5">
        <v>0</v>
      </c>
      <c r="P726" s="5">
        <f t="shared" si="37"/>
        <v>0</v>
      </c>
      <c r="Q726" s="1" t="s">
        <v>980</v>
      </c>
      <c r="R726" s="1" t="s">
        <v>1125</v>
      </c>
      <c r="S726" s="1" t="s">
        <v>896</v>
      </c>
      <c r="T726" s="1" t="s">
        <v>37</v>
      </c>
      <c r="U726" s="1"/>
      <c r="V726" s="27"/>
      <c r="W726" s="21" t="s">
        <v>398</v>
      </c>
      <c r="X726" s="28"/>
      <c r="Y726" s="21">
        <v>2</v>
      </c>
      <c r="Z726" s="12" t="s">
        <v>1032</v>
      </c>
      <c r="AA726" s="27"/>
      <c r="AB726" s="29"/>
      <c r="AC726" s="27"/>
      <c r="AD726" s="27"/>
    </row>
    <row r="727" spans="1:30" x14ac:dyDescent="0.25">
      <c r="A727" s="4"/>
      <c r="B727" s="4">
        <v>45903</v>
      </c>
      <c r="C727" s="1" t="s">
        <v>54</v>
      </c>
      <c r="D727" s="1" t="s">
        <v>37</v>
      </c>
      <c r="E727" s="1" t="s">
        <v>37</v>
      </c>
      <c r="F727" s="1" t="s">
        <v>1423</v>
      </c>
      <c r="G727" s="8">
        <v>1</v>
      </c>
      <c r="H727" s="8"/>
      <c r="I727" s="115">
        <f>Table223[[#This Row],[Qty]]-Table223[[#This Row],[Issue Qty]]</f>
        <v>1</v>
      </c>
      <c r="J727" s="5">
        <f>1120+3114</f>
        <v>4234</v>
      </c>
      <c r="K727" s="5">
        <f t="shared" si="35"/>
        <v>4234</v>
      </c>
      <c r="L727" s="82">
        <v>0</v>
      </c>
      <c r="M727" s="9">
        <f t="shared" si="36"/>
        <v>0</v>
      </c>
      <c r="N727" s="5"/>
      <c r="O727" s="5"/>
      <c r="P727" s="5">
        <f t="shared" si="37"/>
        <v>4234</v>
      </c>
      <c r="Q727" s="1" t="s">
        <v>907</v>
      </c>
      <c r="R727" s="1" t="s">
        <v>907</v>
      </c>
      <c r="S727" s="1" t="s">
        <v>1108</v>
      </c>
      <c r="T727" s="6"/>
      <c r="U727" s="1"/>
      <c r="V727" s="27"/>
      <c r="W727" s="21"/>
      <c r="X727" s="28"/>
      <c r="Y727" s="21">
        <v>1</v>
      </c>
      <c r="Z727" s="12" t="s">
        <v>1032</v>
      </c>
      <c r="AA727" s="27"/>
      <c r="AB727" s="29"/>
      <c r="AC727" s="27"/>
      <c r="AD727" s="27"/>
    </row>
    <row r="728" spans="1:30" ht="30" x14ac:dyDescent="0.25">
      <c r="A728" s="4"/>
      <c r="B728" s="4">
        <v>45903</v>
      </c>
      <c r="C728" s="1" t="s">
        <v>54</v>
      </c>
      <c r="D728" s="1" t="s">
        <v>37</v>
      </c>
      <c r="E728" s="1" t="s">
        <v>1424</v>
      </c>
      <c r="F728" s="1" t="s">
        <v>1424</v>
      </c>
      <c r="G728" s="8">
        <v>1</v>
      </c>
      <c r="H728" s="8"/>
      <c r="I728" s="115">
        <f>Table223[[#This Row],[Qty]]-Table223[[#This Row],[Issue Qty]]</f>
        <v>1</v>
      </c>
      <c r="J728" s="5">
        <f>6726+4956+3658+1120+4232</f>
        <v>20692</v>
      </c>
      <c r="K728" s="5">
        <f t="shared" si="35"/>
        <v>20692</v>
      </c>
      <c r="L728" s="82">
        <v>0</v>
      </c>
      <c r="M728" s="9">
        <f t="shared" si="36"/>
        <v>0</v>
      </c>
      <c r="N728" s="5"/>
      <c r="O728" s="5"/>
      <c r="P728" s="5">
        <f t="shared" si="37"/>
        <v>20692</v>
      </c>
      <c r="Q728" s="1" t="s">
        <v>1230</v>
      </c>
      <c r="R728" s="1" t="s">
        <v>1230</v>
      </c>
      <c r="S728" s="1" t="s">
        <v>1108</v>
      </c>
      <c r="T728" s="1"/>
      <c r="U728" s="1"/>
      <c r="V728" s="27"/>
      <c r="W728" s="21"/>
      <c r="X728" s="28"/>
      <c r="Y728" s="21">
        <v>1</v>
      </c>
      <c r="Z728" s="12" t="s">
        <v>1032</v>
      </c>
      <c r="AA728" s="27"/>
      <c r="AB728" s="29"/>
      <c r="AC728" s="27"/>
      <c r="AD728" s="27"/>
    </row>
    <row r="729" spans="1:30" s="24" customFormat="1" ht="30" x14ac:dyDescent="0.25">
      <c r="A729" s="4"/>
      <c r="B729" s="4">
        <v>45903</v>
      </c>
      <c r="C729" s="1" t="s">
        <v>1693</v>
      </c>
      <c r="D729" s="4" t="s">
        <v>2516</v>
      </c>
      <c r="E729" s="1" t="s">
        <v>1425</v>
      </c>
      <c r="F729" s="1" t="s">
        <v>1425</v>
      </c>
      <c r="G729" s="8">
        <v>5</v>
      </c>
      <c r="H729" s="8"/>
      <c r="I729" s="115">
        <f>Table223[[#This Row],[Qty]]-Table223[[#This Row],[Issue Qty]]</f>
        <v>5</v>
      </c>
      <c r="J729" s="5">
        <v>2422</v>
      </c>
      <c r="K729" s="5">
        <f t="shared" si="35"/>
        <v>12110</v>
      </c>
      <c r="L729" s="82">
        <v>0.18</v>
      </c>
      <c r="M729" s="9">
        <f t="shared" si="36"/>
        <v>2179.7999999999997</v>
      </c>
      <c r="N729" s="5">
        <v>400.02</v>
      </c>
      <c r="O729" s="5">
        <v>0</v>
      </c>
      <c r="P729" s="5">
        <f t="shared" si="37"/>
        <v>14689.82</v>
      </c>
      <c r="Q729" s="1" t="s">
        <v>1230</v>
      </c>
      <c r="R729" s="1" t="s">
        <v>1230</v>
      </c>
      <c r="S729" s="1" t="s">
        <v>1426</v>
      </c>
      <c r="T729" s="1" t="s">
        <v>2517</v>
      </c>
      <c r="U729" s="1"/>
      <c r="V729" s="1"/>
      <c r="W729" s="21" t="s">
        <v>72</v>
      </c>
      <c r="X729" s="8" t="s">
        <v>332</v>
      </c>
      <c r="Y729" s="8"/>
      <c r="Z729" s="22"/>
      <c r="AA729" s="1"/>
      <c r="AB729" s="29"/>
      <c r="AC729" s="1"/>
      <c r="AD729" s="2"/>
    </row>
    <row r="730" spans="1:30" x14ac:dyDescent="0.25">
      <c r="A730" s="4"/>
      <c r="B730" s="4">
        <v>45910</v>
      </c>
      <c r="C730" s="1" t="s">
        <v>1683</v>
      </c>
      <c r="D730" s="1" t="s">
        <v>2049</v>
      </c>
      <c r="E730" s="1" t="s">
        <v>790</v>
      </c>
      <c r="F730" s="1" t="s">
        <v>790</v>
      </c>
      <c r="G730" s="8">
        <v>40</v>
      </c>
      <c r="H730" s="8"/>
      <c r="I730" s="115">
        <f>Table223[[#This Row],[Qty]]-Table223[[#This Row],[Issue Qty]]</f>
        <v>40</v>
      </c>
      <c r="J730" s="5">
        <v>350</v>
      </c>
      <c r="K730" s="5">
        <f t="shared" si="35"/>
        <v>14000</v>
      </c>
      <c r="L730" s="82">
        <v>0.18</v>
      </c>
      <c r="M730" s="9">
        <f t="shared" si="36"/>
        <v>2520</v>
      </c>
      <c r="N730" s="5">
        <v>0</v>
      </c>
      <c r="O730" s="5">
        <v>0</v>
      </c>
      <c r="P730" s="5">
        <f t="shared" si="37"/>
        <v>16520</v>
      </c>
      <c r="Q730" s="1" t="s">
        <v>606</v>
      </c>
      <c r="R730" s="1" t="s">
        <v>606</v>
      </c>
      <c r="S730" s="1" t="s">
        <v>792</v>
      </c>
      <c r="T730" s="6" t="s">
        <v>2518</v>
      </c>
      <c r="U730" s="6"/>
      <c r="V730" s="6"/>
      <c r="W730" s="21"/>
      <c r="X730" s="60"/>
      <c r="Y730" s="8">
        <v>10</v>
      </c>
      <c r="Z730" s="57" t="s">
        <v>2059</v>
      </c>
      <c r="AA730" s="6"/>
      <c r="AB730" s="29" t="s">
        <v>793</v>
      </c>
      <c r="AC730" s="1" t="s">
        <v>1636</v>
      </c>
      <c r="AD730" s="27"/>
    </row>
    <row r="731" spans="1:30" x14ac:dyDescent="0.25">
      <c r="A731" s="4"/>
      <c r="B731" s="4">
        <v>45915</v>
      </c>
      <c r="C731" s="1" t="s">
        <v>1688</v>
      </c>
      <c r="D731" s="4" t="s">
        <v>2294</v>
      </c>
      <c r="E731" s="1" t="s">
        <v>1135</v>
      </c>
      <c r="F731" s="1" t="s">
        <v>1135</v>
      </c>
      <c r="G731" s="8">
        <v>1</v>
      </c>
      <c r="H731" s="8"/>
      <c r="I731" s="115">
        <f>Table223[[#This Row],[Qty]]-Table223[[#This Row],[Issue Qty]]</f>
        <v>1</v>
      </c>
      <c r="J731" s="5">
        <v>4762.26</v>
      </c>
      <c r="K731" s="5">
        <f t="shared" si="35"/>
        <v>4762.26</v>
      </c>
      <c r="L731" s="82">
        <v>0</v>
      </c>
      <c r="M731" s="9">
        <f t="shared" si="36"/>
        <v>0</v>
      </c>
      <c r="N731" s="5">
        <f t="shared" ref="N731:N736" si="38">9329.67/6</f>
        <v>1554.9449999999999</v>
      </c>
      <c r="O731" s="5"/>
      <c r="P731" s="5">
        <f t="shared" si="37"/>
        <v>6317.2049999999999</v>
      </c>
      <c r="Q731" s="1" t="s">
        <v>980</v>
      </c>
      <c r="R731" s="1" t="s">
        <v>1125</v>
      </c>
      <c r="S731" s="1" t="s">
        <v>1124</v>
      </c>
      <c r="T731" s="6" t="s">
        <v>2519</v>
      </c>
      <c r="U731" s="6"/>
      <c r="V731" s="6"/>
      <c r="W731" s="21"/>
      <c r="X731" s="60"/>
      <c r="Y731" s="8"/>
      <c r="Z731" s="57"/>
      <c r="AA731" s="6"/>
      <c r="AB731" s="29" t="s">
        <v>1135</v>
      </c>
      <c r="AC731" s="1"/>
      <c r="AD731" s="27"/>
    </row>
    <row r="732" spans="1:30" s="24" customFormat="1" x14ac:dyDescent="0.25">
      <c r="A732" s="4"/>
      <c r="B732" s="4">
        <v>45915</v>
      </c>
      <c r="C732" s="1" t="s">
        <v>1688</v>
      </c>
      <c r="D732" s="4" t="s">
        <v>2520</v>
      </c>
      <c r="E732" s="1" t="s">
        <v>1427</v>
      </c>
      <c r="F732" s="1" t="s">
        <v>1427</v>
      </c>
      <c r="G732" s="8">
        <v>1</v>
      </c>
      <c r="H732" s="8"/>
      <c r="I732" s="115">
        <f>Table223[[#This Row],[Qty]]-Table223[[#This Row],[Issue Qty]]</f>
        <v>1</v>
      </c>
      <c r="J732" s="5">
        <v>10358.82</v>
      </c>
      <c r="K732" s="5">
        <f t="shared" si="35"/>
        <v>10358.82</v>
      </c>
      <c r="L732" s="82">
        <v>0</v>
      </c>
      <c r="M732" s="9">
        <f t="shared" si="36"/>
        <v>0</v>
      </c>
      <c r="N732" s="5">
        <f t="shared" si="38"/>
        <v>1554.9449999999999</v>
      </c>
      <c r="O732" s="5"/>
      <c r="P732" s="5">
        <f t="shared" si="37"/>
        <v>11913.764999999999</v>
      </c>
      <c r="Q732" s="1" t="s">
        <v>980</v>
      </c>
      <c r="R732" s="1" t="s">
        <v>1125</v>
      </c>
      <c r="S732" s="1" t="s">
        <v>1124</v>
      </c>
      <c r="T732" s="6" t="s">
        <v>2519</v>
      </c>
      <c r="U732" s="6"/>
      <c r="V732" s="6"/>
      <c r="W732" s="21" t="s">
        <v>29</v>
      </c>
      <c r="X732" s="60"/>
      <c r="Y732" s="8"/>
      <c r="Z732" s="57"/>
      <c r="AA732" s="6"/>
      <c r="AB732" s="29"/>
      <c r="AC732" s="1"/>
      <c r="AD732" s="2"/>
    </row>
    <row r="733" spans="1:30" s="24" customFormat="1" x14ac:dyDescent="0.25">
      <c r="A733" s="4"/>
      <c r="B733" s="4">
        <v>45915</v>
      </c>
      <c r="C733" s="1" t="s">
        <v>1688</v>
      </c>
      <c r="D733" s="4" t="s">
        <v>2521</v>
      </c>
      <c r="E733" s="1" t="s">
        <v>1428</v>
      </c>
      <c r="F733" s="1" t="s">
        <v>1428</v>
      </c>
      <c r="G733" s="8">
        <v>2</v>
      </c>
      <c r="H733" s="8"/>
      <c r="I733" s="115">
        <f>Table223[[#This Row],[Qty]]-Table223[[#This Row],[Issue Qty]]</f>
        <v>2</v>
      </c>
      <c r="J733" s="5">
        <f>16572.04/2</f>
        <v>8286.02</v>
      </c>
      <c r="K733" s="5">
        <f t="shared" si="35"/>
        <v>16572.04</v>
      </c>
      <c r="L733" s="82">
        <v>0</v>
      </c>
      <c r="M733" s="9">
        <f t="shared" si="36"/>
        <v>0</v>
      </c>
      <c r="N733" s="5">
        <f t="shared" si="38"/>
        <v>1554.9449999999999</v>
      </c>
      <c r="O733" s="5"/>
      <c r="P733" s="5">
        <f t="shared" si="37"/>
        <v>18126.985000000001</v>
      </c>
      <c r="Q733" s="1" t="s">
        <v>980</v>
      </c>
      <c r="R733" s="1" t="s">
        <v>1125</v>
      </c>
      <c r="S733" s="1" t="s">
        <v>1124</v>
      </c>
      <c r="T733" s="6" t="s">
        <v>2519</v>
      </c>
      <c r="U733" s="6"/>
      <c r="V733" s="6"/>
      <c r="W733" s="21" t="s">
        <v>29</v>
      </c>
      <c r="X733" s="60"/>
      <c r="Y733" s="8"/>
      <c r="Z733" s="57"/>
      <c r="AA733" s="6"/>
      <c r="AB733" s="29"/>
      <c r="AC733" s="1"/>
      <c r="AD733" s="2"/>
    </row>
    <row r="734" spans="1:30" x14ac:dyDescent="0.25">
      <c r="A734" s="4"/>
      <c r="B734" s="4">
        <v>45915</v>
      </c>
      <c r="C734" s="1" t="s">
        <v>1693</v>
      </c>
      <c r="D734" s="4" t="s">
        <v>2522</v>
      </c>
      <c r="E734" s="1" t="s">
        <v>1429</v>
      </c>
      <c r="F734" s="1" t="s">
        <v>1429</v>
      </c>
      <c r="G734" s="8">
        <v>4</v>
      </c>
      <c r="H734" s="8"/>
      <c r="I734" s="115">
        <f>Table223[[#This Row],[Qty]]-Table223[[#This Row],[Issue Qty]]</f>
        <v>4</v>
      </c>
      <c r="J734" s="5">
        <f>12416.07/4</f>
        <v>3104.0174999999999</v>
      </c>
      <c r="K734" s="5">
        <f t="shared" si="35"/>
        <v>12416.07</v>
      </c>
      <c r="L734" s="82">
        <v>0</v>
      </c>
      <c r="M734" s="9">
        <f t="shared" si="36"/>
        <v>0</v>
      </c>
      <c r="N734" s="5">
        <f t="shared" si="38"/>
        <v>1554.9449999999999</v>
      </c>
      <c r="O734" s="5"/>
      <c r="P734" s="5">
        <f t="shared" si="37"/>
        <v>13971.014999999999</v>
      </c>
      <c r="Q734" s="1" t="s">
        <v>980</v>
      </c>
      <c r="R734" s="1" t="s">
        <v>1125</v>
      </c>
      <c r="S734" s="1" t="s">
        <v>1124</v>
      </c>
      <c r="T734" s="6" t="s">
        <v>2519</v>
      </c>
      <c r="U734" s="6"/>
      <c r="V734" s="6"/>
      <c r="W734" s="21" t="s">
        <v>38</v>
      </c>
      <c r="X734" s="21" t="s">
        <v>1128</v>
      </c>
      <c r="Y734" s="8"/>
      <c r="Z734" s="57"/>
      <c r="AA734" s="6"/>
      <c r="AB734" s="29"/>
      <c r="AC734" s="1"/>
      <c r="AD734" s="27"/>
    </row>
    <row r="735" spans="1:30" x14ac:dyDescent="0.25">
      <c r="A735" s="4"/>
      <c r="B735" s="4">
        <v>45915</v>
      </c>
      <c r="C735" s="1" t="s">
        <v>1693</v>
      </c>
      <c r="D735" s="4" t="s">
        <v>2523</v>
      </c>
      <c r="E735" s="1" t="s">
        <v>1430</v>
      </c>
      <c r="F735" s="1" t="s">
        <v>1430</v>
      </c>
      <c r="G735" s="8">
        <v>1</v>
      </c>
      <c r="H735" s="8"/>
      <c r="I735" s="115">
        <f>Table223[[#This Row],[Qty]]-Table223[[#This Row],[Issue Qty]]</f>
        <v>1</v>
      </c>
      <c r="J735" s="5">
        <v>15540.82</v>
      </c>
      <c r="K735" s="5">
        <f t="shared" si="35"/>
        <v>15540.82</v>
      </c>
      <c r="L735" s="82">
        <v>0</v>
      </c>
      <c r="M735" s="9">
        <f t="shared" si="36"/>
        <v>0</v>
      </c>
      <c r="N735" s="5">
        <f t="shared" si="38"/>
        <v>1554.9449999999999</v>
      </c>
      <c r="O735" s="5"/>
      <c r="P735" s="5">
        <f t="shared" si="37"/>
        <v>17095.764999999999</v>
      </c>
      <c r="Q735" s="1" t="s">
        <v>980</v>
      </c>
      <c r="R735" s="1" t="s">
        <v>1125</v>
      </c>
      <c r="S735" s="1" t="s">
        <v>1124</v>
      </c>
      <c r="T735" s="6" t="s">
        <v>2519</v>
      </c>
      <c r="U735" s="6"/>
      <c r="V735" s="6"/>
      <c r="W735" s="21"/>
      <c r="X735" s="60"/>
      <c r="Y735" s="8">
        <v>1</v>
      </c>
      <c r="Z735" s="57" t="s">
        <v>1125</v>
      </c>
      <c r="AA735" s="6"/>
      <c r="AB735" s="29"/>
      <c r="AC735" s="1"/>
      <c r="AD735" s="27"/>
    </row>
    <row r="736" spans="1:30" s="24" customFormat="1" x14ac:dyDescent="0.25">
      <c r="A736" s="4"/>
      <c r="B736" s="4">
        <v>45915</v>
      </c>
      <c r="C736" s="1" t="s">
        <v>1688</v>
      </c>
      <c r="D736" s="4" t="s">
        <v>2524</v>
      </c>
      <c r="E736" s="1" t="s">
        <v>1431</v>
      </c>
      <c r="F736" s="1" t="s">
        <v>1431</v>
      </c>
      <c r="G736" s="8">
        <v>1</v>
      </c>
      <c r="H736" s="8"/>
      <c r="I736" s="115">
        <f>Table223[[#This Row],[Qty]]-Table223[[#This Row],[Issue Qty]]</f>
        <v>1</v>
      </c>
      <c r="J736" s="5">
        <v>8575.17</v>
      </c>
      <c r="K736" s="5">
        <f t="shared" si="35"/>
        <v>8575.17</v>
      </c>
      <c r="L736" s="82">
        <v>0</v>
      </c>
      <c r="M736" s="9">
        <f t="shared" si="36"/>
        <v>0</v>
      </c>
      <c r="N736" s="5">
        <f t="shared" si="38"/>
        <v>1554.9449999999999</v>
      </c>
      <c r="O736" s="5"/>
      <c r="P736" s="5">
        <f t="shared" si="37"/>
        <v>10130.115</v>
      </c>
      <c r="Q736" s="1" t="s">
        <v>980</v>
      </c>
      <c r="R736" s="1" t="s">
        <v>1125</v>
      </c>
      <c r="S736" s="1" t="s">
        <v>1124</v>
      </c>
      <c r="T736" s="6" t="s">
        <v>2519</v>
      </c>
      <c r="U736" s="6"/>
      <c r="V736" s="6"/>
      <c r="W736" s="21"/>
      <c r="X736" s="60"/>
      <c r="Y736" s="8">
        <v>1</v>
      </c>
      <c r="Z736" s="57" t="s">
        <v>1032</v>
      </c>
      <c r="AA736" s="6"/>
      <c r="AB736" s="29"/>
      <c r="AC736" s="1"/>
      <c r="AD736" s="2"/>
    </row>
    <row r="737" spans="1:30" x14ac:dyDescent="0.25">
      <c r="A737" s="4"/>
      <c r="B737" s="4">
        <v>45919</v>
      </c>
      <c r="C737" s="1" t="s">
        <v>54</v>
      </c>
      <c r="D737" s="4" t="s">
        <v>2525</v>
      </c>
      <c r="E737" s="1" t="s">
        <v>1432</v>
      </c>
      <c r="F737" s="1" t="s">
        <v>1432</v>
      </c>
      <c r="G737" s="8">
        <v>5</v>
      </c>
      <c r="H737" s="8"/>
      <c r="I737" s="115">
        <f>Table223[[#This Row],[Qty]]-Table223[[#This Row],[Issue Qty]]</f>
        <v>5</v>
      </c>
      <c r="J737" s="5">
        <v>210</v>
      </c>
      <c r="K737" s="5">
        <f t="shared" si="35"/>
        <v>1050</v>
      </c>
      <c r="L737" s="82">
        <v>0.18</v>
      </c>
      <c r="M737" s="9">
        <f t="shared" si="36"/>
        <v>189</v>
      </c>
      <c r="N737" s="5">
        <v>295</v>
      </c>
      <c r="O737" s="5"/>
      <c r="P737" s="5">
        <f t="shared" si="37"/>
        <v>1534</v>
      </c>
      <c r="Q737" s="1" t="s">
        <v>381</v>
      </c>
      <c r="R737" s="1" t="s">
        <v>381</v>
      </c>
      <c r="S737" s="1" t="s">
        <v>551</v>
      </c>
      <c r="T737" s="6" t="s">
        <v>2526</v>
      </c>
      <c r="U737" s="6"/>
      <c r="V737" s="6"/>
      <c r="W737" s="21" t="s">
        <v>2527</v>
      </c>
      <c r="X737" s="60"/>
      <c r="Y737" s="8"/>
      <c r="Z737" s="57"/>
      <c r="AA737" s="6"/>
      <c r="AB737" s="29"/>
      <c r="AC737" s="1"/>
      <c r="AD737" s="27"/>
    </row>
    <row r="738" spans="1:30" x14ac:dyDescent="0.25">
      <c r="A738" s="4"/>
      <c r="B738" s="4">
        <v>45919</v>
      </c>
      <c r="C738" s="1" t="s">
        <v>54</v>
      </c>
      <c r="D738" s="4" t="s">
        <v>2528</v>
      </c>
      <c r="E738" s="1" t="s">
        <v>1433</v>
      </c>
      <c r="F738" s="1" t="s">
        <v>1433</v>
      </c>
      <c r="G738" s="8">
        <v>2</v>
      </c>
      <c r="H738" s="8"/>
      <c r="I738" s="115">
        <f>Table223[[#This Row],[Qty]]-Table223[[#This Row],[Issue Qty]]</f>
        <v>2</v>
      </c>
      <c r="J738" s="5">
        <v>872.5</v>
      </c>
      <c r="K738" s="5">
        <f t="shared" si="35"/>
        <v>1745</v>
      </c>
      <c r="L738" s="82">
        <v>0.18</v>
      </c>
      <c r="M738" s="9">
        <f t="shared" si="36"/>
        <v>314.09999999999997</v>
      </c>
      <c r="N738" s="5">
        <v>295</v>
      </c>
      <c r="O738" s="5">
        <v>-0.1</v>
      </c>
      <c r="P738" s="5">
        <f t="shared" si="37"/>
        <v>2354</v>
      </c>
      <c r="Q738" s="1" t="s">
        <v>381</v>
      </c>
      <c r="R738" s="1" t="s">
        <v>381</v>
      </c>
      <c r="S738" s="1" t="s">
        <v>551</v>
      </c>
      <c r="T738" s="6" t="s">
        <v>2526</v>
      </c>
      <c r="U738" s="6"/>
      <c r="V738" s="6"/>
      <c r="W738" s="21" t="s">
        <v>2527</v>
      </c>
      <c r="X738" s="60"/>
      <c r="Y738" s="8"/>
      <c r="Z738" s="57"/>
      <c r="AA738" s="6"/>
      <c r="AB738" s="29"/>
      <c r="AC738" s="1"/>
      <c r="AD738" s="27"/>
    </row>
    <row r="739" spans="1:30" x14ac:dyDescent="0.25">
      <c r="A739" s="4"/>
      <c r="B739" s="4">
        <v>45920</v>
      </c>
      <c r="C739" s="1" t="s">
        <v>1693</v>
      </c>
      <c r="D739" s="4" t="s">
        <v>1831</v>
      </c>
      <c r="E739" s="1" t="s">
        <v>379</v>
      </c>
      <c r="F739" s="1" t="s">
        <v>379</v>
      </c>
      <c r="G739" s="8">
        <v>4</v>
      </c>
      <c r="H739" s="8"/>
      <c r="I739" s="115">
        <f>Table223[[#This Row],[Qty]]-Table223[[#This Row],[Issue Qty]]</f>
        <v>4</v>
      </c>
      <c r="J739" s="5">
        <v>633.33000000000004</v>
      </c>
      <c r="K739" s="5">
        <f t="shared" si="35"/>
        <v>2533.3200000000002</v>
      </c>
      <c r="L739" s="82">
        <v>0.05</v>
      </c>
      <c r="M739" s="9">
        <f t="shared" si="36"/>
        <v>126.66600000000001</v>
      </c>
      <c r="N739" s="5">
        <v>58.88</v>
      </c>
      <c r="O739" s="5">
        <v>0</v>
      </c>
      <c r="P739" s="5">
        <f t="shared" si="37"/>
        <v>2718.8660000000004</v>
      </c>
      <c r="Q739" s="1" t="s">
        <v>1230</v>
      </c>
      <c r="R739" s="1" t="s">
        <v>1230</v>
      </c>
      <c r="S739" s="1" t="s">
        <v>788</v>
      </c>
      <c r="T739" s="6" t="s">
        <v>2529</v>
      </c>
      <c r="U739" s="6"/>
      <c r="V739" s="6"/>
      <c r="W739" s="21" t="s">
        <v>89</v>
      </c>
      <c r="X739" s="60" t="s">
        <v>262</v>
      </c>
      <c r="Y739" s="8"/>
      <c r="Z739" s="57"/>
      <c r="AA739" s="6"/>
      <c r="AB739" s="29"/>
      <c r="AC739" s="1"/>
      <c r="AD739" s="27"/>
    </row>
    <row r="740" spans="1:30" x14ac:dyDescent="0.25">
      <c r="A740" s="4"/>
      <c r="B740" s="4">
        <v>45922</v>
      </c>
      <c r="C740" s="6" t="s">
        <v>1693</v>
      </c>
      <c r="D740" s="6" t="s">
        <v>1892</v>
      </c>
      <c r="E740" s="6" t="s">
        <v>501</v>
      </c>
      <c r="F740" s="1" t="s">
        <v>501</v>
      </c>
      <c r="G740" s="8">
        <v>1</v>
      </c>
      <c r="H740" s="8">
        <v>1</v>
      </c>
      <c r="I740" s="115">
        <f>Table223[[#This Row],[Qty]]-Table223[[#This Row],[Issue Qty]]</f>
        <v>0</v>
      </c>
      <c r="J740" s="5">
        <v>30000</v>
      </c>
      <c r="K740" s="5">
        <f t="shared" si="35"/>
        <v>30000</v>
      </c>
      <c r="L740" s="82">
        <v>0.05</v>
      </c>
      <c r="M740" s="9">
        <f t="shared" si="36"/>
        <v>1500</v>
      </c>
      <c r="N740" s="5">
        <v>236</v>
      </c>
      <c r="O740" s="5">
        <v>0</v>
      </c>
      <c r="P740" s="5">
        <f t="shared" si="37"/>
        <v>31736</v>
      </c>
      <c r="Q740" s="1" t="s">
        <v>1434</v>
      </c>
      <c r="R740" s="1" t="s">
        <v>1434</v>
      </c>
      <c r="S740" s="1" t="s">
        <v>1255</v>
      </c>
      <c r="T740" s="1" t="s">
        <v>2530</v>
      </c>
      <c r="U740" s="1"/>
      <c r="V740" s="2"/>
      <c r="W740" s="21"/>
      <c r="X740" s="21"/>
      <c r="Y740" s="21">
        <v>1</v>
      </c>
      <c r="Z740" s="12" t="s">
        <v>1435</v>
      </c>
      <c r="AA740" s="2"/>
      <c r="AB740" s="23"/>
      <c r="AC740" s="2"/>
      <c r="AD740" s="27"/>
    </row>
    <row r="741" spans="1:30" x14ac:dyDescent="0.25">
      <c r="A741" s="4"/>
      <c r="B741" s="4">
        <v>45922</v>
      </c>
      <c r="C741" s="1" t="s">
        <v>1693</v>
      </c>
      <c r="D741" s="4" t="s">
        <v>1741</v>
      </c>
      <c r="E741" s="1" t="s">
        <v>165</v>
      </c>
      <c r="F741" s="1" t="s">
        <v>165</v>
      </c>
      <c r="G741" s="8">
        <v>3</v>
      </c>
      <c r="H741" s="8">
        <v>3</v>
      </c>
      <c r="I741" s="115">
        <f>Table223[[#This Row],[Qty]]-Table223[[#This Row],[Issue Qty]]</f>
        <v>0</v>
      </c>
      <c r="J741" s="5">
        <v>2363</v>
      </c>
      <c r="K741" s="5">
        <f t="shared" si="35"/>
        <v>7089</v>
      </c>
      <c r="L741" s="82">
        <v>0.18</v>
      </c>
      <c r="M741" s="9">
        <f t="shared" si="36"/>
        <v>1276.02</v>
      </c>
      <c r="N741" s="5">
        <v>0</v>
      </c>
      <c r="O741" s="5">
        <v>-0.02</v>
      </c>
      <c r="P741" s="5">
        <f t="shared" si="37"/>
        <v>8365</v>
      </c>
      <c r="Q741" s="1" t="s">
        <v>1434</v>
      </c>
      <c r="R741" s="1" t="s">
        <v>1434</v>
      </c>
      <c r="S741" s="1" t="s">
        <v>792</v>
      </c>
      <c r="T741" s="6" t="s">
        <v>2531</v>
      </c>
      <c r="U741" s="1"/>
      <c r="V741" s="27"/>
      <c r="W741" s="21" t="s">
        <v>268</v>
      </c>
      <c r="X741" s="21" t="s">
        <v>1404</v>
      </c>
      <c r="Y741" s="21">
        <v>3</v>
      </c>
      <c r="Z741" s="12" t="s">
        <v>536</v>
      </c>
      <c r="AA741" s="27"/>
      <c r="AB741" s="29"/>
      <c r="AC741" s="27"/>
      <c r="AD741" s="27"/>
    </row>
    <row r="742" spans="1:30" x14ac:dyDescent="0.25">
      <c r="A742" s="4"/>
      <c r="B742" s="4">
        <v>45922</v>
      </c>
      <c r="C742" s="1" t="s">
        <v>1683</v>
      </c>
      <c r="D742" s="4" t="s">
        <v>2532</v>
      </c>
      <c r="E742" s="1" t="s">
        <v>1436</v>
      </c>
      <c r="F742" s="1" t="s">
        <v>1436</v>
      </c>
      <c r="G742" s="8">
        <v>2</v>
      </c>
      <c r="H742" s="8">
        <v>2</v>
      </c>
      <c r="I742" s="115">
        <f>Table223[[#This Row],[Qty]]-Table223[[#This Row],[Issue Qty]]</f>
        <v>0</v>
      </c>
      <c r="J742" s="5">
        <v>9000</v>
      </c>
      <c r="K742" s="5">
        <f t="shared" si="35"/>
        <v>18000</v>
      </c>
      <c r="L742" s="82">
        <v>0.18</v>
      </c>
      <c r="M742" s="9">
        <f t="shared" si="36"/>
        <v>3240</v>
      </c>
      <c r="N742" s="5">
        <v>0</v>
      </c>
      <c r="O742" s="5">
        <v>0</v>
      </c>
      <c r="P742" s="5">
        <f t="shared" si="37"/>
        <v>21240</v>
      </c>
      <c r="Q742" s="1" t="s">
        <v>1434</v>
      </c>
      <c r="R742" s="1" t="s">
        <v>1434</v>
      </c>
      <c r="S742" s="1" t="s">
        <v>792</v>
      </c>
      <c r="T742" s="6" t="s">
        <v>2531</v>
      </c>
      <c r="U742" s="6"/>
      <c r="V742" s="6"/>
      <c r="W742" s="21"/>
      <c r="X742" s="60"/>
      <c r="Y742" s="8">
        <v>2</v>
      </c>
      <c r="Z742" s="57" t="s">
        <v>1437</v>
      </c>
      <c r="AA742" s="6"/>
      <c r="AB742" s="29"/>
      <c r="AC742" s="1"/>
      <c r="AD742" s="27"/>
    </row>
    <row r="743" spans="1:30" x14ac:dyDescent="0.25">
      <c r="A743" s="4"/>
      <c r="B743" s="4">
        <v>45922</v>
      </c>
      <c r="C743" s="1" t="s">
        <v>1730</v>
      </c>
      <c r="D743" s="4" t="s">
        <v>2533</v>
      </c>
      <c r="E743" s="1" t="s">
        <v>1438</v>
      </c>
      <c r="F743" s="1" t="s">
        <v>1438</v>
      </c>
      <c r="G743" s="8">
        <v>2</v>
      </c>
      <c r="H743" s="8">
        <v>2</v>
      </c>
      <c r="I743" s="115">
        <f>Table223[[#This Row],[Qty]]-Table223[[#This Row],[Issue Qty]]</f>
        <v>0</v>
      </c>
      <c r="J743" s="5">
        <v>2881.36</v>
      </c>
      <c r="K743" s="5">
        <f t="shared" si="35"/>
        <v>5762.72</v>
      </c>
      <c r="L743" s="82">
        <v>0.18</v>
      </c>
      <c r="M743" s="9">
        <f t="shared" si="36"/>
        <v>1037.2896000000001</v>
      </c>
      <c r="N743" s="5">
        <v>0</v>
      </c>
      <c r="O743" s="5">
        <v>0</v>
      </c>
      <c r="P743" s="5">
        <f t="shared" si="37"/>
        <v>6800.0096000000003</v>
      </c>
      <c r="Q743" s="1" t="s">
        <v>1434</v>
      </c>
      <c r="R743" s="1" t="s">
        <v>1434</v>
      </c>
      <c r="S743" s="1" t="s">
        <v>1314</v>
      </c>
      <c r="T743" s="6" t="s">
        <v>2534</v>
      </c>
      <c r="U743" s="6"/>
      <c r="V743" s="6"/>
      <c r="W743" s="21"/>
      <c r="X743" s="60"/>
      <c r="Y743" s="8">
        <v>2</v>
      </c>
      <c r="Z743" s="57" t="s">
        <v>1437</v>
      </c>
      <c r="AA743" s="6"/>
      <c r="AB743" s="29"/>
      <c r="AC743" s="1"/>
      <c r="AD743" s="27"/>
    </row>
    <row r="744" spans="1:30" x14ac:dyDescent="0.25">
      <c r="A744" s="4"/>
      <c r="B744" s="4">
        <v>45922</v>
      </c>
      <c r="C744" s="1" t="s">
        <v>1693</v>
      </c>
      <c r="D744" s="4" t="s">
        <v>2535</v>
      </c>
      <c r="E744" s="1" t="s">
        <v>1439</v>
      </c>
      <c r="F744" s="1" t="s">
        <v>1439</v>
      </c>
      <c r="G744" s="8">
        <v>2</v>
      </c>
      <c r="H744" s="8">
        <v>2</v>
      </c>
      <c r="I744" s="115">
        <f>Table223[[#This Row],[Qty]]-Table223[[#This Row],[Issue Qty]]</f>
        <v>0</v>
      </c>
      <c r="J744" s="5">
        <v>27966.1</v>
      </c>
      <c r="K744" s="5">
        <f t="shared" si="35"/>
        <v>55932.2</v>
      </c>
      <c r="L744" s="82">
        <v>0.18</v>
      </c>
      <c r="M744" s="9">
        <f t="shared" si="36"/>
        <v>10067.795999999998</v>
      </c>
      <c r="N744" s="5">
        <v>0</v>
      </c>
      <c r="O744" s="5">
        <v>0</v>
      </c>
      <c r="P744" s="5">
        <f t="shared" si="37"/>
        <v>65999.995999999999</v>
      </c>
      <c r="Q744" s="1" t="s">
        <v>1434</v>
      </c>
      <c r="R744" s="1" t="s">
        <v>1434</v>
      </c>
      <c r="S744" s="1" t="s">
        <v>634</v>
      </c>
      <c r="T744" s="6" t="s">
        <v>2536</v>
      </c>
      <c r="U744" s="6"/>
      <c r="V744" s="6"/>
      <c r="W744" s="21" t="s">
        <v>89</v>
      </c>
      <c r="X744" s="60"/>
      <c r="Y744" s="8">
        <v>2</v>
      </c>
      <c r="Z744" s="57" t="s">
        <v>1437</v>
      </c>
      <c r="AA744" s="6"/>
      <c r="AB744" s="29"/>
      <c r="AC744" s="1"/>
      <c r="AD744" s="27"/>
    </row>
    <row r="745" spans="1:30" x14ac:dyDescent="0.25">
      <c r="A745" s="4"/>
      <c r="B745" s="4">
        <v>45922</v>
      </c>
      <c r="C745" s="1" t="s">
        <v>1693</v>
      </c>
      <c r="D745" s="4" t="s">
        <v>2537</v>
      </c>
      <c r="E745" s="1" t="s">
        <v>1440</v>
      </c>
      <c r="F745" s="1" t="s">
        <v>1440</v>
      </c>
      <c r="G745" s="8">
        <v>2</v>
      </c>
      <c r="H745" s="8"/>
      <c r="I745" s="115">
        <f>Table223[[#This Row],[Qty]]-Table223[[#This Row],[Issue Qty]]</f>
        <v>2</v>
      </c>
      <c r="J745" s="5">
        <v>36748.75</v>
      </c>
      <c r="K745" s="5">
        <f t="shared" si="35"/>
        <v>73497.5</v>
      </c>
      <c r="L745" s="82">
        <v>0.18</v>
      </c>
      <c r="M745" s="9">
        <f t="shared" si="36"/>
        <v>13229.55</v>
      </c>
      <c r="N745" s="5">
        <v>78.44</v>
      </c>
      <c r="O745" s="5">
        <v>0</v>
      </c>
      <c r="P745" s="5">
        <f t="shared" si="37"/>
        <v>86805.49</v>
      </c>
      <c r="Q745" s="1" t="s">
        <v>1434</v>
      </c>
      <c r="R745" s="1" t="s">
        <v>1434</v>
      </c>
      <c r="S745" s="1" t="s">
        <v>634</v>
      </c>
      <c r="T745" s="6" t="s">
        <v>2538</v>
      </c>
      <c r="U745" s="6"/>
      <c r="V745" s="6"/>
      <c r="W745" s="21" t="s">
        <v>3409</v>
      </c>
      <c r="X745" s="60"/>
      <c r="Y745" s="8"/>
      <c r="Z745" s="57"/>
      <c r="AA745" s="6"/>
      <c r="AB745" s="29"/>
      <c r="AC745" s="1"/>
      <c r="AD745" s="27"/>
    </row>
    <row r="746" spans="1:30" s="24" customFormat="1" x14ac:dyDescent="0.25">
      <c r="A746" s="4"/>
      <c r="B746" s="4">
        <v>45922</v>
      </c>
      <c r="C746" s="1" t="s">
        <v>1693</v>
      </c>
      <c r="D746" s="4" t="s">
        <v>2539</v>
      </c>
      <c r="E746" s="1" t="s">
        <v>1441</v>
      </c>
      <c r="F746" s="1" t="s">
        <v>1441</v>
      </c>
      <c r="G746" s="8">
        <v>3</v>
      </c>
      <c r="H746" s="8">
        <v>2</v>
      </c>
      <c r="I746" s="115">
        <f>Table223[[#This Row],[Qty]]-Table223[[#This Row],[Issue Qty]]</f>
        <v>1</v>
      </c>
      <c r="J746" s="5">
        <v>29907.48</v>
      </c>
      <c r="K746" s="5">
        <f t="shared" si="35"/>
        <v>89722.44</v>
      </c>
      <c r="L746" s="82">
        <v>0.18</v>
      </c>
      <c r="M746" s="9">
        <f t="shared" si="36"/>
        <v>16150.039199999999</v>
      </c>
      <c r="N746" s="5">
        <v>78.44</v>
      </c>
      <c r="O746" s="5">
        <v>0</v>
      </c>
      <c r="P746" s="5">
        <f t="shared" si="37"/>
        <v>105950.9192</v>
      </c>
      <c r="Q746" s="1" t="s">
        <v>1434</v>
      </c>
      <c r="R746" s="1" t="s">
        <v>1434</v>
      </c>
      <c r="S746" s="1" t="s">
        <v>634</v>
      </c>
      <c r="T746" s="6" t="s">
        <v>2538</v>
      </c>
      <c r="U746" s="6"/>
      <c r="V746" s="6"/>
      <c r="W746" s="21" t="s">
        <v>3409</v>
      </c>
      <c r="X746" s="60"/>
      <c r="Y746" s="8">
        <v>2</v>
      </c>
      <c r="Z746" s="57" t="s">
        <v>145</v>
      </c>
      <c r="AA746" s="6" t="s">
        <v>3410</v>
      </c>
      <c r="AB746" s="29"/>
      <c r="AC746" s="1"/>
      <c r="AD746" s="2"/>
    </row>
    <row r="747" spans="1:30" s="24" customFormat="1" ht="45" x14ac:dyDescent="0.25">
      <c r="A747" s="4"/>
      <c r="B747" s="4">
        <v>45922</v>
      </c>
      <c r="C747" s="1" t="s">
        <v>1693</v>
      </c>
      <c r="D747" s="4" t="s">
        <v>2540</v>
      </c>
      <c r="E747" s="1" t="s">
        <v>1442</v>
      </c>
      <c r="F747" s="1" t="s">
        <v>1442</v>
      </c>
      <c r="G747" s="8">
        <v>1</v>
      </c>
      <c r="H747" s="8"/>
      <c r="I747" s="115">
        <f>Table223[[#This Row],[Qty]]-Table223[[#This Row],[Issue Qty]]</f>
        <v>1</v>
      </c>
      <c r="J747" s="5">
        <v>1576.97</v>
      </c>
      <c r="K747" s="5">
        <f t="shared" si="35"/>
        <v>1576.97</v>
      </c>
      <c r="L747" s="82">
        <v>0.18</v>
      </c>
      <c r="M747" s="9">
        <f t="shared" si="36"/>
        <v>283.8546</v>
      </c>
      <c r="N747" s="5">
        <v>78.44</v>
      </c>
      <c r="O747" s="5">
        <v>0</v>
      </c>
      <c r="P747" s="5">
        <f t="shared" si="37"/>
        <v>1939.2646</v>
      </c>
      <c r="Q747" s="1" t="s">
        <v>1434</v>
      </c>
      <c r="R747" s="1" t="s">
        <v>1434</v>
      </c>
      <c r="S747" s="1" t="s">
        <v>634</v>
      </c>
      <c r="T747" s="6" t="s">
        <v>2538</v>
      </c>
      <c r="U747" s="6"/>
      <c r="V747" s="6"/>
      <c r="W747" s="21"/>
      <c r="X747" s="60"/>
      <c r="Y747" s="8" t="s">
        <v>1443</v>
      </c>
      <c r="Z747" s="57" t="s">
        <v>145</v>
      </c>
      <c r="AA747" s="6"/>
      <c r="AB747" s="29"/>
      <c r="AC747" s="1"/>
      <c r="AD747" s="2"/>
    </row>
    <row r="748" spans="1:30" x14ac:dyDescent="0.25">
      <c r="A748" s="4"/>
      <c r="B748" s="4">
        <v>45922</v>
      </c>
      <c r="C748" s="1" t="s">
        <v>1693</v>
      </c>
      <c r="D748" s="4" t="s">
        <v>2541</v>
      </c>
      <c r="E748" s="1" t="s">
        <v>1444</v>
      </c>
      <c r="F748" s="1" t="s">
        <v>1444</v>
      </c>
      <c r="G748" s="8">
        <v>1</v>
      </c>
      <c r="H748" s="8"/>
      <c r="I748" s="115">
        <f>Table223[[#This Row],[Qty]]-Table223[[#This Row],[Issue Qty]]</f>
        <v>1</v>
      </c>
      <c r="J748" s="5">
        <v>1279.81</v>
      </c>
      <c r="K748" s="5">
        <f t="shared" si="35"/>
        <v>1279.81</v>
      </c>
      <c r="L748" s="82">
        <v>0.18</v>
      </c>
      <c r="M748" s="9">
        <f t="shared" si="36"/>
        <v>230.36579999999998</v>
      </c>
      <c r="N748" s="5">
        <v>78.44</v>
      </c>
      <c r="O748" s="5">
        <v>0</v>
      </c>
      <c r="P748" s="5">
        <f t="shared" si="37"/>
        <v>1588.6158</v>
      </c>
      <c r="Q748" s="1" t="s">
        <v>1434</v>
      </c>
      <c r="R748" s="1" t="s">
        <v>1434</v>
      </c>
      <c r="S748" s="1" t="s">
        <v>634</v>
      </c>
      <c r="T748" s="6" t="s">
        <v>2538</v>
      </c>
      <c r="U748" s="6"/>
      <c r="V748" s="6"/>
      <c r="W748" s="21"/>
      <c r="X748" s="60"/>
      <c r="Y748" s="8">
        <v>1</v>
      </c>
      <c r="Z748" s="57" t="s">
        <v>145</v>
      </c>
      <c r="AA748" s="6"/>
      <c r="AB748" s="29"/>
      <c r="AC748" s="1"/>
      <c r="AD748" s="27"/>
    </row>
    <row r="749" spans="1:30" s="24" customFormat="1" x14ac:dyDescent="0.25">
      <c r="A749" s="4"/>
      <c r="B749" s="4">
        <v>45922</v>
      </c>
      <c r="C749" s="1" t="s">
        <v>54</v>
      </c>
      <c r="D749" s="4" t="s">
        <v>2542</v>
      </c>
      <c r="E749" s="1" t="s">
        <v>1445</v>
      </c>
      <c r="F749" s="1" t="s">
        <v>1446</v>
      </c>
      <c r="G749" s="8">
        <v>2</v>
      </c>
      <c r="H749" s="8"/>
      <c r="I749" s="115">
        <f>Table223[[#This Row],[Qty]]-Table223[[#This Row],[Issue Qty]]</f>
        <v>2</v>
      </c>
      <c r="J749" s="5">
        <v>4024.82</v>
      </c>
      <c r="K749" s="5">
        <f t="shared" si="35"/>
        <v>8049.64</v>
      </c>
      <c r="L749" s="82">
        <v>0.05</v>
      </c>
      <c r="M749" s="9">
        <f t="shared" si="36"/>
        <v>402.48200000000003</v>
      </c>
      <c r="N749" s="5">
        <v>78.44</v>
      </c>
      <c r="O749" s="5">
        <v>0</v>
      </c>
      <c r="P749" s="5">
        <f t="shared" si="37"/>
        <v>8530.5620000000017</v>
      </c>
      <c r="Q749" s="1" t="s">
        <v>1434</v>
      </c>
      <c r="R749" s="1" t="s">
        <v>1434</v>
      </c>
      <c r="S749" s="1" t="s">
        <v>634</v>
      </c>
      <c r="T749" s="6" t="s">
        <v>2538</v>
      </c>
      <c r="U749" s="6"/>
      <c r="V749" s="6"/>
      <c r="W749" s="21"/>
      <c r="X749" s="60"/>
      <c r="Y749" s="8">
        <v>2</v>
      </c>
      <c r="Z749" s="57" t="s">
        <v>145</v>
      </c>
      <c r="AA749" s="6"/>
      <c r="AB749" s="29"/>
      <c r="AC749" s="1"/>
      <c r="AD749" s="2"/>
    </row>
    <row r="750" spans="1:30" x14ac:dyDescent="0.25">
      <c r="A750" s="4"/>
      <c r="B750" s="4">
        <v>45924</v>
      </c>
      <c r="C750" s="1" t="s">
        <v>1693</v>
      </c>
      <c r="D750" s="4" t="s">
        <v>1826</v>
      </c>
      <c r="E750" s="1" t="s">
        <v>344</v>
      </c>
      <c r="F750" s="1" t="s">
        <v>344</v>
      </c>
      <c r="G750" s="8">
        <v>1</v>
      </c>
      <c r="H750" s="8">
        <v>1</v>
      </c>
      <c r="I750" s="115">
        <f>Table223[[#This Row],[Qty]]-Table223[[#This Row],[Issue Qty]]</f>
        <v>0</v>
      </c>
      <c r="J750" s="5">
        <v>125.72</v>
      </c>
      <c r="K750" s="5">
        <f t="shared" si="35"/>
        <v>125.72</v>
      </c>
      <c r="L750" s="82">
        <v>0.05</v>
      </c>
      <c r="M750" s="9">
        <f t="shared" si="36"/>
        <v>6.2860000000000005</v>
      </c>
      <c r="N750" s="5">
        <v>99</v>
      </c>
      <c r="O750" s="5">
        <v>0</v>
      </c>
      <c r="P750" s="5">
        <f t="shared" si="37"/>
        <v>231.006</v>
      </c>
      <c r="Q750" s="1" t="s">
        <v>1434</v>
      </c>
      <c r="R750" s="1" t="s">
        <v>1434</v>
      </c>
      <c r="S750" s="1" t="s">
        <v>634</v>
      </c>
      <c r="T750" s="6" t="s">
        <v>2543</v>
      </c>
      <c r="U750" s="6"/>
      <c r="V750" s="6"/>
      <c r="W750" s="21" t="s">
        <v>89</v>
      </c>
      <c r="X750" s="60"/>
      <c r="Y750" s="8">
        <v>1</v>
      </c>
      <c r="Z750" s="57" t="s">
        <v>2059</v>
      </c>
      <c r="AA750" s="6"/>
      <c r="AB750" s="29"/>
      <c r="AC750" s="1"/>
      <c r="AD750" s="27"/>
    </row>
    <row r="751" spans="1:30" x14ac:dyDescent="0.25">
      <c r="A751" s="4"/>
      <c r="B751" s="4">
        <v>45925</v>
      </c>
      <c r="C751" s="1" t="s">
        <v>1693</v>
      </c>
      <c r="D751" s="4" t="s">
        <v>2544</v>
      </c>
      <c r="E751" s="1" t="s">
        <v>1447</v>
      </c>
      <c r="F751" s="1" t="s">
        <v>1447</v>
      </c>
      <c r="G751" s="8">
        <v>1</v>
      </c>
      <c r="H751" s="8"/>
      <c r="I751" s="115">
        <f>Table223[[#This Row],[Qty]]-Table223[[#This Row],[Issue Qty]]</f>
        <v>1</v>
      </c>
      <c r="J751" s="5">
        <v>60465</v>
      </c>
      <c r="K751" s="5">
        <f t="shared" si="35"/>
        <v>60465</v>
      </c>
      <c r="L751" s="82">
        <v>0.18</v>
      </c>
      <c r="M751" s="9">
        <f t="shared" si="36"/>
        <v>10883.699999999999</v>
      </c>
      <c r="N751" s="5">
        <v>0</v>
      </c>
      <c r="O751" s="5">
        <v>0.3</v>
      </c>
      <c r="P751" s="5">
        <f t="shared" si="37"/>
        <v>71349</v>
      </c>
      <c r="Q751" s="1" t="s">
        <v>1434</v>
      </c>
      <c r="R751" s="1" t="s">
        <v>1434</v>
      </c>
      <c r="S751" s="1" t="s">
        <v>1448</v>
      </c>
      <c r="T751" s="6" t="s">
        <v>2545</v>
      </c>
      <c r="U751" s="6"/>
      <c r="V751" s="6"/>
      <c r="W751" s="21"/>
      <c r="X751" s="60"/>
      <c r="Y751" s="8">
        <v>1</v>
      </c>
      <c r="Z751" s="57" t="s">
        <v>145</v>
      </c>
      <c r="AA751" s="6"/>
      <c r="AB751" s="29"/>
      <c r="AC751" s="1"/>
      <c r="AD751" s="27"/>
    </row>
    <row r="752" spans="1:30" s="24" customFormat="1" x14ac:dyDescent="0.25">
      <c r="A752" s="4"/>
      <c r="B752" s="4">
        <v>45929</v>
      </c>
      <c r="C752" s="1" t="s">
        <v>1683</v>
      </c>
      <c r="D752" s="4" t="s">
        <v>2546</v>
      </c>
      <c r="E752" s="87" t="s">
        <v>1449</v>
      </c>
      <c r="F752" s="1" t="s">
        <v>1450</v>
      </c>
      <c r="G752" s="8">
        <v>15</v>
      </c>
      <c r="H752" s="8">
        <v>15</v>
      </c>
      <c r="I752" s="115">
        <f>Table223[[#This Row],[Qty]]-Table223[[#This Row],[Issue Qty]]</f>
        <v>0</v>
      </c>
      <c r="J752" s="5">
        <v>58</v>
      </c>
      <c r="K752" s="5">
        <f t="shared" si="35"/>
        <v>870</v>
      </c>
      <c r="L752" s="82">
        <v>0.18</v>
      </c>
      <c r="M752" s="9">
        <f t="shared" si="36"/>
        <v>156.6</v>
      </c>
      <c r="N752" s="5">
        <v>0</v>
      </c>
      <c r="O752" s="5">
        <v>0</v>
      </c>
      <c r="P752" s="5">
        <f t="shared" si="37"/>
        <v>1026.5999999999999</v>
      </c>
      <c r="Q752" s="1" t="s">
        <v>2887</v>
      </c>
      <c r="R752" s="1" t="s">
        <v>633</v>
      </c>
      <c r="S752" s="1" t="s">
        <v>444</v>
      </c>
      <c r="T752" s="6" t="s">
        <v>2547</v>
      </c>
      <c r="U752" s="6"/>
      <c r="V752" s="6"/>
      <c r="W752" s="21" t="s">
        <v>833</v>
      </c>
      <c r="X752" s="60"/>
      <c r="Y752" s="8">
        <v>15</v>
      </c>
      <c r="Z752" s="57" t="s">
        <v>1382</v>
      </c>
      <c r="AA752" s="6"/>
      <c r="AB752" s="29"/>
      <c r="AC752" s="1"/>
      <c r="AD752" s="2"/>
    </row>
    <row r="753" spans="1:30" s="24" customFormat="1" x14ac:dyDescent="0.25">
      <c r="A753" s="4"/>
      <c r="B753" s="4">
        <v>45929</v>
      </c>
      <c r="C753" s="1" t="s">
        <v>1683</v>
      </c>
      <c r="D753" s="4" t="s">
        <v>2548</v>
      </c>
      <c r="E753" s="1" t="s">
        <v>1451</v>
      </c>
      <c r="F753" s="1" t="s">
        <v>1452</v>
      </c>
      <c r="G753" s="8">
        <v>15</v>
      </c>
      <c r="H753" s="8">
        <v>15</v>
      </c>
      <c r="I753" s="115">
        <f>Table223[[#This Row],[Qty]]-Table223[[#This Row],[Issue Qty]]</f>
        <v>0</v>
      </c>
      <c r="J753" s="5">
        <v>58</v>
      </c>
      <c r="K753" s="5">
        <f t="shared" ref="K753:K816" si="39">G753*J753</f>
        <v>870</v>
      </c>
      <c r="L753" s="82">
        <v>0.18</v>
      </c>
      <c r="M753" s="9">
        <f t="shared" ref="M753:M816" si="40">K753*L753</f>
        <v>156.6</v>
      </c>
      <c r="N753" s="5">
        <v>0</v>
      </c>
      <c r="O753" s="5">
        <v>-0.4</v>
      </c>
      <c r="P753" s="5">
        <f t="shared" ref="P753:P816" si="41">K753+M753+N753+O753</f>
        <v>1026.1999999999998</v>
      </c>
      <c r="Q753" s="1" t="s">
        <v>2887</v>
      </c>
      <c r="R753" s="1" t="s">
        <v>633</v>
      </c>
      <c r="S753" s="1" t="s">
        <v>444</v>
      </c>
      <c r="T753" s="6" t="s">
        <v>2547</v>
      </c>
      <c r="U753" s="6"/>
      <c r="V753" s="6"/>
      <c r="W753" s="21" t="s">
        <v>1345</v>
      </c>
      <c r="X753" s="60"/>
      <c r="Y753" s="8">
        <v>15</v>
      </c>
      <c r="Z753" s="57" t="s">
        <v>1382</v>
      </c>
      <c r="AA753" s="6"/>
      <c r="AB753" s="29"/>
      <c r="AC753" s="1"/>
      <c r="AD753" s="2"/>
    </row>
    <row r="754" spans="1:30" s="24" customFormat="1" x14ac:dyDescent="0.25">
      <c r="A754" s="4"/>
      <c r="B754" s="4">
        <v>45929</v>
      </c>
      <c r="C754" s="1" t="s">
        <v>1683</v>
      </c>
      <c r="D754" s="4" t="s">
        <v>2549</v>
      </c>
      <c r="E754" s="1" t="s">
        <v>1453</v>
      </c>
      <c r="F754" s="1" t="s">
        <v>1454</v>
      </c>
      <c r="G754" s="8">
        <v>15</v>
      </c>
      <c r="H754" s="8">
        <v>15</v>
      </c>
      <c r="I754" s="115">
        <f>Table223[[#This Row],[Qty]]-Table223[[#This Row],[Issue Qty]]</f>
        <v>0</v>
      </c>
      <c r="J754" s="5">
        <v>35</v>
      </c>
      <c r="K754" s="5">
        <f t="shared" si="39"/>
        <v>525</v>
      </c>
      <c r="L754" s="82">
        <v>0.18</v>
      </c>
      <c r="M754" s="9">
        <f t="shared" si="40"/>
        <v>94.5</v>
      </c>
      <c r="N754" s="5">
        <v>0</v>
      </c>
      <c r="O754" s="5">
        <v>0</v>
      </c>
      <c r="P754" s="5">
        <f t="shared" si="41"/>
        <v>619.5</v>
      </c>
      <c r="Q754" s="1" t="s">
        <v>2887</v>
      </c>
      <c r="R754" s="1" t="s">
        <v>633</v>
      </c>
      <c r="S754" s="1" t="s">
        <v>444</v>
      </c>
      <c r="T754" s="6" t="s">
        <v>2547</v>
      </c>
      <c r="U754" s="6"/>
      <c r="V754" s="6"/>
      <c r="W754" s="21" t="s">
        <v>833</v>
      </c>
      <c r="X754" s="60"/>
      <c r="Y754" s="8">
        <v>15</v>
      </c>
      <c r="Z754" s="57" t="s">
        <v>1382</v>
      </c>
      <c r="AA754" s="6"/>
      <c r="AB754" s="29"/>
      <c r="AC754" s="1"/>
      <c r="AD754" s="2"/>
    </row>
    <row r="755" spans="1:30" x14ac:dyDescent="0.25">
      <c r="A755" s="4"/>
      <c r="B755" s="4">
        <v>45929</v>
      </c>
      <c r="C755" s="1" t="s">
        <v>1683</v>
      </c>
      <c r="D755" s="4" t="s">
        <v>2550</v>
      </c>
      <c r="E755" s="1" t="s">
        <v>1455</v>
      </c>
      <c r="F755" s="1" t="s">
        <v>1456</v>
      </c>
      <c r="G755" s="8">
        <v>15</v>
      </c>
      <c r="H755" s="8">
        <v>15</v>
      </c>
      <c r="I755" s="115">
        <f>Table223[[#This Row],[Qty]]-Table223[[#This Row],[Issue Qty]]</f>
        <v>0</v>
      </c>
      <c r="J755" s="5">
        <v>35</v>
      </c>
      <c r="K755" s="5">
        <f t="shared" si="39"/>
        <v>525</v>
      </c>
      <c r="L755" s="82">
        <v>0.18</v>
      </c>
      <c r="M755" s="9">
        <f t="shared" si="40"/>
        <v>94.5</v>
      </c>
      <c r="N755" s="5">
        <v>0</v>
      </c>
      <c r="O755" s="5">
        <v>0</v>
      </c>
      <c r="P755" s="5">
        <f t="shared" si="41"/>
        <v>619.5</v>
      </c>
      <c r="Q755" s="1" t="s">
        <v>2887</v>
      </c>
      <c r="R755" s="1" t="s">
        <v>633</v>
      </c>
      <c r="S755" s="1" t="s">
        <v>444</v>
      </c>
      <c r="T755" s="6" t="s">
        <v>2547</v>
      </c>
      <c r="U755" s="6"/>
      <c r="V755" s="6"/>
      <c r="W755" s="21" t="s">
        <v>1345</v>
      </c>
      <c r="X755" s="60"/>
      <c r="Y755" s="8">
        <v>15</v>
      </c>
      <c r="Z755" s="57" t="s">
        <v>1382</v>
      </c>
      <c r="AA755" s="6"/>
      <c r="AB755" s="29"/>
      <c r="AC755" s="1"/>
      <c r="AD755" s="27"/>
    </row>
    <row r="756" spans="1:30" x14ac:dyDescent="0.25">
      <c r="A756" s="4"/>
      <c r="B756" s="4">
        <v>45929</v>
      </c>
      <c r="C756" s="1" t="s">
        <v>1683</v>
      </c>
      <c r="D756" s="177" t="s">
        <v>2551</v>
      </c>
      <c r="E756" s="1" t="s">
        <v>1457</v>
      </c>
      <c r="F756" s="1" t="s">
        <v>1458</v>
      </c>
      <c r="G756" s="8">
        <v>14</v>
      </c>
      <c r="H756" s="8">
        <v>14</v>
      </c>
      <c r="I756" s="115">
        <f>Table223[[#This Row],[Qty]]-Table223[[#This Row],[Issue Qty]]</f>
        <v>0</v>
      </c>
      <c r="J756" s="5">
        <v>43</v>
      </c>
      <c r="K756" s="5">
        <f t="shared" si="39"/>
        <v>602</v>
      </c>
      <c r="L756" s="82">
        <v>0.18</v>
      </c>
      <c r="M756" s="9">
        <f t="shared" si="40"/>
        <v>108.36</v>
      </c>
      <c r="N756" s="5">
        <v>0</v>
      </c>
      <c r="O756" s="5">
        <v>0</v>
      </c>
      <c r="P756" s="5">
        <f t="shared" si="41"/>
        <v>710.36</v>
      </c>
      <c r="Q756" s="1" t="s">
        <v>2887</v>
      </c>
      <c r="R756" s="1" t="s">
        <v>633</v>
      </c>
      <c r="S756" s="1" t="s">
        <v>444</v>
      </c>
      <c r="T756" s="6" t="s">
        <v>2547</v>
      </c>
      <c r="U756" s="6"/>
      <c r="V756" s="6"/>
      <c r="W756" s="21" t="s">
        <v>833</v>
      </c>
      <c r="X756" s="60"/>
      <c r="Y756" s="8">
        <v>15</v>
      </c>
      <c r="Z756" s="57" t="s">
        <v>1382</v>
      </c>
      <c r="AA756" s="6"/>
      <c r="AB756" s="29"/>
      <c r="AC756" s="1"/>
      <c r="AD756" s="27"/>
    </row>
    <row r="757" spans="1:30" x14ac:dyDescent="0.25">
      <c r="A757" s="4"/>
      <c r="B757" s="4">
        <v>45929</v>
      </c>
      <c r="C757" s="1" t="s">
        <v>1683</v>
      </c>
      <c r="D757" s="177" t="s">
        <v>2552</v>
      </c>
      <c r="E757" s="1" t="s">
        <v>1459</v>
      </c>
      <c r="F757" s="1" t="s">
        <v>1460</v>
      </c>
      <c r="G757" s="8">
        <v>14</v>
      </c>
      <c r="H757" s="8">
        <v>14</v>
      </c>
      <c r="I757" s="115">
        <f>Table223[[#This Row],[Qty]]-Table223[[#This Row],[Issue Qty]]</f>
        <v>0</v>
      </c>
      <c r="J757" s="5">
        <v>43</v>
      </c>
      <c r="K757" s="5">
        <f t="shared" si="39"/>
        <v>602</v>
      </c>
      <c r="L757" s="82">
        <v>0.18</v>
      </c>
      <c r="M757" s="9">
        <f t="shared" si="40"/>
        <v>108.36</v>
      </c>
      <c r="N757" s="5">
        <v>0</v>
      </c>
      <c r="O757" s="5">
        <v>0</v>
      </c>
      <c r="P757" s="5">
        <f t="shared" si="41"/>
        <v>710.36</v>
      </c>
      <c r="Q757" s="1" t="s">
        <v>2887</v>
      </c>
      <c r="R757" s="1" t="s">
        <v>633</v>
      </c>
      <c r="S757" s="1" t="s">
        <v>444</v>
      </c>
      <c r="T757" s="6" t="s">
        <v>2547</v>
      </c>
      <c r="U757" s="6"/>
      <c r="V757" s="6"/>
      <c r="W757" s="21" t="s">
        <v>1345</v>
      </c>
      <c r="X757" s="60"/>
      <c r="Y757" s="8">
        <v>15</v>
      </c>
      <c r="Z757" s="57" t="s">
        <v>1382</v>
      </c>
      <c r="AA757" s="6"/>
      <c r="AB757" s="29"/>
      <c r="AC757" s="1"/>
      <c r="AD757" s="27"/>
    </row>
    <row r="758" spans="1:30" x14ac:dyDescent="0.25">
      <c r="A758" s="4"/>
      <c r="B758" s="4">
        <v>45929</v>
      </c>
      <c r="C758" s="1" t="s">
        <v>1683</v>
      </c>
      <c r="D758" s="4" t="s">
        <v>2553</v>
      </c>
      <c r="E758" s="1" t="s">
        <v>1461</v>
      </c>
      <c r="F758" s="1" t="s">
        <v>1462</v>
      </c>
      <c r="G758" s="8">
        <v>6</v>
      </c>
      <c r="H758" s="8">
        <v>6</v>
      </c>
      <c r="I758" s="115">
        <f>Table223[[#This Row],[Qty]]-Table223[[#This Row],[Issue Qty]]</f>
        <v>0</v>
      </c>
      <c r="J758" s="5">
        <v>5350</v>
      </c>
      <c r="K758" s="5">
        <f t="shared" si="39"/>
        <v>32100</v>
      </c>
      <c r="L758" s="82">
        <v>0.18</v>
      </c>
      <c r="M758" s="9">
        <f t="shared" si="40"/>
        <v>5778</v>
      </c>
      <c r="N758" s="5">
        <v>0</v>
      </c>
      <c r="O758" s="5">
        <v>0</v>
      </c>
      <c r="P758" s="5">
        <f t="shared" si="41"/>
        <v>37878</v>
      </c>
      <c r="Q758" s="1" t="s">
        <v>2887</v>
      </c>
      <c r="R758" s="1" t="s">
        <v>633</v>
      </c>
      <c r="S758" s="1" t="s">
        <v>792</v>
      </c>
      <c r="T758" s="6" t="s">
        <v>2554</v>
      </c>
      <c r="U758" s="6"/>
      <c r="V758" s="6"/>
      <c r="W758" s="21" t="s">
        <v>3349</v>
      </c>
      <c r="X758" s="60"/>
      <c r="Y758" s="8">
        <v>6</v>
      </c>
      <c r="Z758" s="57" t="s">
        <v>3362</v>
      </c>
      <c r="AA758" s="6"/>
      <c r="AB758" s="29"/>
      <c r="AC758" s="1"/>
      <c r="AD758" s="27"/>
    </row>
    <row r="759" spans="1:30" x14ac:dyDescent="0.25">
      <c r="A759" s="4"/>
      <c r="B759" s="4">
        <v>45929</v>
      </c>
      <c r="C759" s="1" t="s">
        <v>1683</v>
      </c>
      <c r="D759" s="4" t="s">
        <v>2555</v>
      </c>
      <c r="E759" s="1" t="s">
        <v>1463</v>
      </c>
      <c r="F759" s="1" t="s">
        <v>1464</v>
      </c>
      <c r="G759" s="8">
        <v>1</v>
      </c>
      <c r="H759" s="8">
        <v>1</v>
      </c>
      <c r="I759" s="115">
        <f>Table223[[#This Row],[Qty]]-Table223[[#This Row],[Issue Qty]]</f>
        <v>0</v>
      </c>
      <c r="J759" s="5">
        <v>22500</v>
      </c>
      <c r="K759" s="5">
        <f t="shared" si="39"/>
        <v>22500</v>
      </c>
      <c r="L759" s="82">
        <v>0.18</v>
      </c>
      <c r="M759" s="9">
        <f t="shared" si="40"/>
        <v>4050</v>
      </c>
      <c r="N759" s="5">
        <v>0</v>
      </c>
      <c r="O759" s="5">
        <v>0</v>
      </c>
      <c r="P759" s="5">
        <f t="shared" si="41"/>
        <v>26550</v>
      </c>
      <c r="Q759" s="1" t="s">
        <v>2887</v>
      </c>
      <c r="R759" s="1" t="s">
        <v>633</v>
      </c>
      <c r="S759" s="1" t="s">
        <v>896</v>
      </c>
      <c r="T759" s="6" t="s">
        <v>2556</v>
      </c>
      <c r="U759" s="1"/>
      <c r="V759" s="27"/>
      <c r="W759" s="21"/>
      <c r="X759" s="28"/>
      <c r="Y759" s="21"/>
      <c r="Z759" s="12"/>
      <c r="AA759" s="12" t="s">
        <v>1465</v>
      </c>
      <c r="AB759" s="29"/>
      <c r="AC759" s="27"/>
      <c r="AD759" s="27"/>
    </row>
    <row r="760" spans="1:30" x14ac:dyDescent="0.25">
      <c r="A760" s="4"/>
      <c r="B760" s="4">
        <v>45930</v>
      </c>
      <c r="C760" s="1" t="s">
        <v>1693</v>
      </c>
      <c r="D760" s="4" t="s">
        <v>2557</v>
      </c>
      <c r="E760" s="1" t="s">
        <v>1466</v>
      </c>
      <c r="F760" s="1" t="s">
        <v>1467</v>
      </c>
      <c r="G760" s="8">
        <v>3</v>
      </c>
      <c r="H760" s="8">
        <v>3</v>
      </c>
      <c r="I760" s="115">
        <f>Table223[[#This Row],[Qty]]-Table223[[#This Row],[Issue Qty]]</f>
        <v>0</v>
      </c>
      <c r="J760" s="5">
        <v>27500</v>
      </c>
      <c r="K760" s="5">
        <f t="shared" si="39"/>
        <v>82500</v>
      </c>
      <c r="L760" s="82">
        <v>0.05</v>
      </c>
      <c r="M760" s="9">
        <f t="shared" si="40"/>
        <v>4125</v>
      </c>
      <c r="N760" s="5">
        <v>0</v>
      </c>
      <c r="O760" s="5">
        <v>0</v>
      </c>
      <c r="P760" s="5">
        <f t="shared" si="41"/>
        <v>86625</v>
      </c>
      <c r="Q760" s="1" t="s">
        <v>2887</v>
      </c>
      <c r="R760" s="1" t="s">
        <v>633</v>
      </c>
      <c r="S760" s="1" t="s">
        <v>794</v>
      </c>
      <c r="T760" s="6" t="s">
        <v>2558</v>
      </c>
      <c r="U760" s="6"/>
      <c r="V760" s="6"/>
      <c r="W760" s="21" t="s">
        <v>3349</v>
      </c>
      <c r="X760" s="60"/>
      <c r="Y760" s="8">
        <v>3</v>
      </c>
      <c r="Z760" s="57" t="s">
        <v>3402</v>
      </c>
      <c r="AA760" s="6"/>
      <c r="AB760" s="29"/>
      <c r="AC760" s="1"/>
      <c r="AD760" s="27"/>
    </row>
    <row r="761" spans="1:30" x14ac:dyDescent="0.25">
      <c r="A761" s="4"/>
      <c r="B761" s="4">
        <v>45930</v>
      </c>
      <c r="C761" s="1" t="s">
        <v>54</v>
      </c>
      <c r="D761" s="4" t="s">
        <v>2559</v>
      </c>
      <c r="E761" s="1" t="s">
        <v>3015</v>
      </c>
      <c r="F761" s="1" t="s">
        <v>1468</v>
      </c>
      <c r="G761" s="8">
        <v>2</v>
      </c>
      <c r="H761" s="8">
        <v>2</v>
      </c>
      <c r="I761" s="115">
        <f>Table223[[#This Row],[Qty]]-Table223[[#This Row],[Issue Qty]]</f>
        <v>0</v>
      </c>
      <c r="J761" s="5">
        <v>1130</v>
      </c>
      <c r="K761" s="5">
        <f t="shared" si="39"/>
        <v>2260</v>
      </c>
      <c r="L761" s="82">
        <v>0.18</v>
      </c>
      <c r="M761" s="9">
        <f t="shared" si="40"/>
        <v>406.8</v>
      </c>
      <c r="N761" s="5">
        <v>0</v>
      </c>
      <c r="O761" s="5">
        <v>0</v>
      </c>
      <c r="P761" s="5">
        <f t="shared" si="41"/>
        <v>2666.8</v>
      </c>
      <c r="Q761" s="1" t="s">
        <v>2887</v>
      </c>
      <c r="R761" s="1" t="s">
        <v>633</v>
      </c>
      <c r="S761" s="1" t="s">
        <v>551</v>
      </c>
      <c r="T761" s="6" t="s">
        <v>2560</v>
      </c>
      <c r="U761" s="6"/>
      <c r="V761" s="6"/>
      <c r="W761" s="21" t="s">
        <v>3349</v>
      </c>
      <c r="X761" s="8"/>
      <c r="Y761" s="8">
        <v>2</v>
      </c>
      <c r="Z761" s="57" t="s">
        <v>3392</v>
      </c>
      <c r="AA761" s="6"/>
      <c r="AB761" s="29"/>
      <c r="AC761" s="1"/>
      <c r="AD761" s="27"/>
    </row>
    <row r="762" spans="1:30" x14ac:dyDescent="0.25">
      <c r="A762" s="4"/>
      <c r="B762" s="4">
        <v>45930</v>
      </c>
      <c r="C762" s="1" t="s">
        <v>1683</v>
      </c>
      <c r="D762" s="4" t="s">
        <v>2179</v>
      </c>
      <c r="E762" s="180" t="s">
        <v>972</v>
      </c>
      <c r="F762" s="1" t="s">
        <v>972</v>
      </c>
      <c r="G762" s="8">
        <v>10</v>
      </c>
      <c r="H762" s="8">
        <v>10</v>
      </c>
      <c r="I762" s="115">
        <f>Table223[[#This Row],[Qty]]-Table223[[#This Row],[Issue Qty]]</f>
        <v>0</v>
      </c>
      <c r="J762" s="5">
        <v>94.48</v>
      </c>
      <c r="K762" s="5">
        <f t="shared" si="39"/>
        <v>944.80000000000007</v>
      </c>
      <c r="L762" s="82">
        <v>0.18</v>
      </c>
      <c r="M762" s="9">
        <f t="shared" si="40"/>
        <v>170.06399999999999</v>
      </c>
      <c r="N762" s="5">
        <v>84.16</v>
      </c>
      <c r="O762" s="5">
        <v>0</v>
      </c>
      <c r="P762" s="5">
        <f t="shared" si="41"/>
        <v>1199.0240000000001</v>
      </c>
      <c r="Q762" s="1" t="s">
        <v>2887</v>
      </c>
      <c r="R762" s="1" t="s">
        <v>633</v>
      </c>
      <c r="S762" s="1" t="s">
        <v>634</v>
      </c>
      <c r="T762" s="6" t="s">
        <v>2561</v>
      </c>
      <c r="U762" s="6"/>
      <c r="V762" s="6"/>
      <c r="W762" s="21" t="s">
        <v>650</v>
      </c>
      <c r="X762" s="60"/>
      <c r="Y762" s="8">
        <v>6</v>
      </c>
      <c r="Z762" s="57" t="s">
        <v>3315</v>
      </c>
      <c r="AA762" s="6"/>
      <c r="AB762" s="29"/>
      <c r="AC762" s="1"/>
      <c r="AD762" s="27"/>
    </row>
    <row r="763" spans="1:30" s="24" customFormat="1" x14ac:dyDescent="0.25">
      <c r="A763" s="4"/>
      <c r="B763" s="4">
        <v>45930</v>
      </c>
      <c r="C763" s="1" t="s">
        <v>54</v>
      </c>
      <c r="D763" s="4" t="s">
        <v>2562</v>
      </c>
      <c r="E763" s="1" t="s">
        <v>1470</v>
      </c>
      <c r="F763" s="1" t="s">
        <v>1470</v>
      </c>
      <c r="G763" s="8">
        <v>4</v>
      </c>
      <c r="H763" s="8">
        <v>4</v>
      </c>
      <c r="I763" s="115">
        <f>Table223[[#This Row],[Qty]]-Table223[[#This Row],[Issue Qty]]</f>
        <v>0</v>
      </c>
      <c r="J763" s="5">
        <v>5145</v>
      </c>
      <c r="K763" s="5">
        <f t="shared" si="39"/>
        <v>20580</v>
      </c>
      <c r="L763" s="82">
        <v>0.18</v>
      </c>
      <c r="M763" s="9">
        <f t="shared" si="40"/>
        <v>3704.3999999999996</v>
      </c>
      <c r="N763" s="5">
        <v>1062</v>
      </c>
      <c r="O763" s="5">
        <v>-1400.2</v>
      </c>
      <c r="P763" s="5">
        <f t="shared" si="41"/>
        <v>23946.2</v>
      </c>
      <c r="Q763" s="1" t="s">
        <v>2887</v>
      </c>
      <c r="R763" s="1" t="s">
        <v>633</v>
      </c>
      <c r="S763" s="1" t="s">
        <v>551</v>
      </c>
      <c r="T763" s="6" t="s">
        <v>2560</v>
      </c>
      <c r="U763" s="6"/>
      <c r="V763" s="6"/>
      <c r="W763" s="21" t="s">
        <v>3349</v>
      </c>
      <c r="X763" s="60"/>
      <c r="Y763" s="8">
        <v>4</v>
      </c>
      <c r="Z763" s="57" t="s">
        <v>1382</v>
      </c>
      <c r="AA763" s="6"/>
      <c r="AB763" s="29"/>
      <c r="AC763" s="1"/>
      <c r="AD763" s="2"/>
    </row>
    <row r="764" spans="1:30" x14ac:dyDescent="0.25">
      <c r="A764" s="4"/>
      <c r="B764" s="4">
        <v>45930</v>
      </c>
      <c r="C764" s="1" t="s">
        <v>1683</v>
      </c>
      <c r="D764" s="4" t="s">
        <v>2548</v>
      </c>
      <c r="E764" s="87" t="s">
        <v>1451</v>
      </c>
      <c r="F764" s="1" t="s">
        <v>1451</v>
      </c>
      <c r="G764" s="8">
        <v>15</v>
      </c>
      <c r="H764" s="8">
        <v>15</v>
      </c>
      <c r="I764" s="115">
        <f>Table223[[#This Row],[Qty]]-Table223[[#This Row],[Issue Qty]]</f>
        <v>0</v>
      </c>
      <c r="J764" s="5">
        <v>35.880000000000003</v>
      </c>
      <c r="K764" s="5">
        <f t="shared" si="39"/>
        <v>538.20000000000005</v>
      </c>
      <c r="L764" s="82">
        <v>0.18</v>
      </c>
      <c r="M764" s="9">
        <f t="shared" si="40"/>
        <v>96.876000000000005</v>
      </c>
      <c r="N764" s="5">
        <v>84.16</v>
      </c>
      <c r="O764" s="5">
        <v>0</v>
      </c>
      <c r="P764" s="5">
        <f t="shared" si="41"/>
        <v>719.23599999999999</v>
      </c>
      <c r="Q764" s="1" t="s">
        <v>2887</v>
      </c>
      <c r="R764" s="1" t="s">
        <v>633</v>
      </c>
      <c r="S764" s="1" t="s">
        <v>634</v>
      </c>
      <c r="T764" s="6" t="s">
        <v>2561</v>
      </c>
      <c r="U764" s="6"/>
      <c r="V764" s="6"/>
      <c r="W764" s="21" t="s">
        <v>1345</v>
      </c>
      <c r="X764" s="60"/>
      <c r="Y764" s="8">
        <v>15</v>
      </c>
      <c r="Z764" s="57" t="s">
        <v>1382</v>
      </c>
      <c r="AA764" s="6"/>
      <c r="AB764" s="29"/>
      <c r="AC764" s="1"/>
      <c r="AD764" s="27"/>
    </row>
    <row r="765" spans="1:30" x14ac:dyDescent="0.25">
      <c r="A765" s="4"/>
      <c r="B765" s="4">
        <v>45930</v>
      </c>
      <c r="C765" s="1" t="s">
        <v>1683</v>
      </c>
      <c r="D765" s="4" t="s">
        <v>2552</v>
      </c>
      <c r="E765" s="87" t="s">
        <v>1476</v>
      </c>
      <c r="F765" s="1" t="s">
        <v>1459</v>
      </c>
      <c r="G765" s="8">
        <v>15</v>
      </c>
      <c r="H765" s="8">
        <v>15</v>
      </c>
      <c r="I765" s="115">
        <f>Table223[[#This Row],[Qty]]-Table223[[#This Row],[Issue Qty]]</f>
        <v>0</v>
      </c>
      <c r="J765" s="5">
        <v>14.24</v>
      </c>
      <c r="K765" s="5">
        <f t="shared" si="39"/>
        <v>213.6</v>
      </c>
      <c r="L765" s="82">
        <v>0.18</v>
      </c>
      <c r="M765" s="9">
        <f t="shared" si="40"/>
        <v>38.448</v>
      </c>
      <c r="N765" s="5">
        <v>84.16</v>
      </c>
      <c r="O765" s="5">
        <v>0</v>
      </c>
      <c r="P765" s="5">
        <f t="shared" si="41"/>
        <v>336.20799999999997</v>
      </c>
      <c r="Q765" s="1" t="s">
        <v>2887</v>
      </c>
      <c r="R765" s="1" t="s">
        <v>633</v>
      </c>
      <c r="S765" s="1" t="s">
        <v>634</v>
      </c>
      <c r="T765" s="6" t="s">
        <v>2561</v>
      </c>
      <c r="U765" s="6"/>
      <c r="V765" s="6"/>
      <c r="W765" s="21" t="s">
        <v>1345</v>
      </c>
      <c r="X765" s="60"/>
      <c r="Y765" s="8">
        <v>15</v>
      </c>
      <c r="Z765" s="57" t="s">
        <v>1382</v>
      </c>
      <c r="AA765" s="6"/>
      <c r="AB765" s="29"/>
      <c r="AC765" s="1"/>
      <c r="AD765" s="27"/>
    </row>
    <row r="766" spans="1:30" x14ac:dyDescent="0.25">
      <c r="A766" s="4"/>
      <c r="B766" s="4">
        <v>45930</v>
      </c>
      <c r="C766" s="1" t="s">
        <v>1683</v>
      </c>
      <c r="D766" s="4" t="s">
        <v>2563</v>
      </c>
      <c r="E766" s="1" t="s">
        <v>1471</v>
      </c>
      <c r="F766" s="1" t="s">
        <v>1471</v>
      </c>
      <c r="G766" s="8">
        <v>10</v>
      </c>
      <c r="H766" s="8">
        <v>10</v>
      </c>
      <c r="I766" s="115">
        <f>Table223[[#This Row],[Qty]]-Table223[[#This Row],[Issue Qty]]</f>
        <v>0</v>
      </c>
      <c r="J766" s="5">
        <v>18203</v>
      </c>
      <c r="K766" s="5">
        <f t="shared" si="39"/>
        <v>182030</v>
      </c>
      <c r="L766" s="82">
        <v>0.05</v>
      </c>
      <c r="M766" s="9">
        <f t="shared" si="40"/>
        <v>9101.5</v>
      </c>
      <c r="N766" s="5">
        <v>767</v>
      </c>
      <c r="O766" s="5">
        <v>0</v>
      </c>
      <c r="P766" s="5">
        <f t="shared" si="41"/>
        <v>191898.5</v>
      </c>
      <c r="Q766" s="1" t="s">
        <v>2887</v>
      </c>
      <c r="R766" s="1" t="s">
        <v>633</v>
      </c>
      <c r="S766" s="1" t="s">
        <v>1060</v>
      </c>
      <c r="T766" s="6" t="s">
        <v>2564</v>
      </c>
      <c r="U766" s="6"/>
      <c r="V766" s="6"/>
      <c r="W766" s="21"/>
      <c r="X766" s="60"/>
      <c r="Y766" s="8">
        <v>10</v>
      </c>
      <c r="Z766" s="57" t="s">
        <v>3399</v>
      </c>
      <c r="AA766" s="6"/>
      <c r="AB766" s="29"/>
      <c r="AC766" s="1"/>
      <c r="AD766" s="27"/>
    </row>
    <row r="767" spans="1:30" s="24" customFormat="1" x14ac:dyDescent="0.25">
      <c r="A767" s="4"/>
      <c r="B767" s="4">
        <v>45930</v>
      </c>
      <c r="C767" s="1" t="s">
        <v>54</v>
      </c>
      <c r="D767" s="4" t="s">
        <v>2565</v>
      </c>
      <c r="E767" s="1" t="s">
        <v>1472</v>
      </c>
      <c r="F767" s="1" t="s">
        <v>1472</v>
      </c>
      <c r="G767" s="8">
        <v>4</v>
      </c>
      <c r="H767" s="8">
        <v>4</v>
      </c>
      <c r="I767" s="115">
        <f>Table223[[#This Row],[Qty]]-Table223[[#This Row],[Issue Qty]]</f>
        <v>0</v>
      </c>
      <c r="J767" s="5">
        <v>20511</v>
      </c>
      <c r="K767" s="5">
        <f t="shared" si="39"/>
        <v>82044</v>
      </c>
      <c r="L767" s="82">
        <v>0.05</v>
      </c>
      <c r="M767" s="9">
        <f t="shared" si="40"/>
        <v>4102.2</v>
      </c>
      <c r="N767" s="5">
        <v>767</v>
      </c>
      <c r="O767" s="5">
        <v>0</v>
      </c>
      <c r="P767" s="5">
        <f t="shared" si="41"/>
        <v>86913.2</v>
      </c>
      <c r="Q767" s="1" t="s">
        <v>2887</v>
      </c>
      <c r="R767" s="1" t="s">
        <v>633</v>
      </c>
      <c r="S767" s="1" t="s">
        <v>1060</v>
      </c>
      <c r="T767" s="6" t="s">
        <v>2564</v>
      </c>
      <c r="U767" s="6"/>
      <c r="V767" s="6"/>
      <c r="W767" s="21" t="s">
        <v>3349</v>
      </c>
      <c r="X767" s="60"/>
      <c r="Y767" s="8">
        <v>4</v>
      </c>
      <c r="Z767" s="57" t="s">
        <v>1473</v>
      </c>
      <c r="AA767" s="6"/>
      <c r="AB767" s="29"/>
      <c r="AC767" s="1"/>
      <c r="AD767" s="2"/>
    </row>
    <row r="768" spans="1:30" s="24" customFormat="1" x14ac:dyDescent="0.25">
      <c r="A768" s="4"/>
      <c r="B768" s="4">
        <v>45930</v>
      </c>
      <c r="C768" s="1" t="s">
        <v>54</v>
      </c>
      <c r="D768" s="4" t="s">
        <v>2566</v>
      </c>
      <c r="E768" s="1" t="s">
        <v>1474</v>
      </c>
      <c r="F768" s="1" t="s">
        <v>1474</v>
      </c>
      <c r="G768" s="8">
        <v>4</v>
      </c>
      <c r="H768" s="8"/>
      <c r="I768" s="115">
        <f>Table223[[#This Row],[Qty]]-Table223[[#This Row],[Issue Qty]]</f>
        <v>4</v>
      </c>
      <c r="J768" s="5">
        <v>17565</v>
      </c>
      <c r="K768" s="5">
        <f t="shared" si="39"/>
        <v>70260</v>
      </c>
      <c r="L768" s="82">
        <v>0.05</v>
      </c>
      <c r="M768" s="9">
        <f t="shared" si="40"/>
        <v>3513</v>
      </c>
      <c r="N768" s="5">
        <v>767</v>
      </c>
      <c r="O768" s="5">
        <v>0</v>
      </c>
      <c r="P768" s="5">
        <f t="shared" si="41"/>
        <v>74540</v>
      </c>
      <c r="Q768" s="1" t="s">
        <v>2887</v>
      </c>
      <c r="R768" s="1" t="s">
        <v>633</v>
      </c>
      <c r="S768" s="1" t="s">
        <v>1060</v>
      </c>
      <c r="T768" s="6" t="s">
        <v>2564</v>
      </c>
      <c r="U768" s="6"/>
      <c r="V768" s="6"/>
      <c r="W768" s="21" t="s">
        <v>126</v>
      </c>
      <c r="X768" s="60"/>
      <c r="Y768" s="8">
        <v>4</v>
      </c>
      <c r="Z768" s="57" t="s">
        <v>1382</v>
      </c>
      <c r="AA768" s="6"/>
      <c r="AB768" s="29"/>
      <c r="AC768" s="1"/>
      <c r="AD768" s="2"/>
    </row>
    <row r="769" spans="1:30" x14ac:dyDescent="0.25">
      <c r="A769" s="4"/>
      <c r="B769" s="4">
        <v>45930</v>
      </c>
      <c r="C769" s="1" t="s">
        <v>1693</v>
      </c>
      <c r="D769" s="4" t="s">
        <v>2567</v>
      </c>
      <c r="E769" s="1" t="s">
        <v>1475</v>
      </c>
      <c r="F769" s="1" t="s">
        <v>1475</v>
      </c>
      <c r="G769" s="8">
        <v>10</v>
      </c>
      <c r="H769" s="8"/>
      <c r="I769" s="115">
        <f>Table223[[#This Row],[Qty]]-Table223[[#This Row],[Issue Qty]]</f>
        <v>10</v>
      </c>
      <c r="J769" s="5">
        <v>5900.45</v>
      </c>
      <c r="K769" s="5">
        <f t="shared" si="39"/>
        <v>59004.5</v>
      </c>
      <c r="L769" s="82">
        <v>0.05</v>
      </c>
      <c r="M769" s="9">
        <f t="shared" si="40"/>
        <v>2950.2250000000004</v>
      </c>
      <c r="N769" s="5">
        <v>84.16</v>
      </c>
      <c r="O769" s="5">
        <v>0</v>
      </c>
      <c r="P769" s="5">
        <f t="shared" si="41"/>
        <v>62038.885000000002</v>
      </c>
      <c r="Q769" s="1" t="s">
        <v>2887</v>
      </c>
      <c r="R769" s="1" t="s">
        <v>633</v>
      </c>
      <c r="S769" s="1" t="s">
        <v>634</v>
      </c>
      <c r="T769" s="6" t="s">
        <v>2561</v>
      </c>
      <c r="U769" s="6"/>
      <c r="V769" s="6"/>
      <c r="W769" s="21" t="s">
        <v>650</v>
      </c>
      <c r="X769" s="60"/>
      <c r="Y769" s="8">
        <v>9</v>
      </c>
      <c r="Z769" s="57" t="s">
        <v>1382</v>
      </c>
      <c r="AA769" s="6"/>
      <c r="AB769" s="29"/>
      <c r="AC769" s="1"/>
      <c r="AD769" s="27"/>
    </row>
    <row r="770" spans="1:30" x14ac:dyDescent="0.25">
      <c r="A770" s="4"/>
      <c r="B770" s="4">
        <v>45930</v>
      </c>
      <c r="C770" s="1" t="s">
        <v>1683</v>
      </c>
      <c r="D770" s="4" t="s">
        <v>2568</v>
      </c>
      <c r="E770" s="1" t="s">
        <v>1476</v>
      </c>
      <c r="F770" s="1" t="s">
        <v>1476</v>
      </c>
      <c r="G770" s="8">
        <v>15</v>
      </c>
      <c r="H770" s="8">
        <v>15</v>
      </c>
      <c r="I770" s="115">
        <f>Table223[[#This Row],[Qty]]-Table223[[#This Row],[Issue Qty]]</f>
        <v>0</v>
      </c>
      <c r="J770" s="5">
        <v>35.89</v>
      </c>
      <c r="K770" s="5">
        <f t="shared" si="39"/>
        <v>538.35</v>
      </c>
      <c r="L770" s="82">
        <v>0.18</v>
      </c>
      <c r="M770" s="9">
        <f t="shared" si="40"/>
        <v>96.903000000000006</v>
      </c>
      <c r="N770" s="5">
        <v>84.16</v>
      </c>
      <c r="O770" s="5">
        <v>0</v>
      </c>
      <c r="P770" s="5">
        <f t="shared" si="41"/>
        <v>719.41300000000001</v>
      </c>
      <c r="Q770" s="1" t="s">
        <v>2887</v>
      </c>
      <c r="R770" s="1" t="s">
        <v>633</v>
      </c>
      <c r="S770" s="1" t="s">
        <v>634</v>
      </c>
      <c r="T770" s="6" t="s">
        <v>2561</v>
      </c>
      <c r="U770" s="6"/>
      <c r="V770" s="6"/>
      <c r="W770" s="21" t="s">
        <v>1345</v>
      </c>
      <c r="X770" s="60"/>
      <c r="Y770" s="8">
        <v>15</v>
      </c>
      <c r="Z770" s="57" t="s">
        <v>1382</v>
      </c>
      <c r="AA770" s="6"/>
      <c r="AB770" s="29"/>
      <c r="AC770" s="1"/>
      <c r="AD770" s="27"/>
    </row>
    <row r="771" spans="1:30" x14ac:dyDescent="0.25">
      <c r="A771" s="4"/>
      <c r="B771" s="4">
        <v>45936</v>
      </c>
      <c r="C771" s="1" t="s">
        <v>54</v>
      </c>
      <c r="D771" s="4" t="s">
        <v>2569</v>
      </c>
      <c r="E771" s="1" t="s">
        <v>1477</v>
      </c>
      <c r="F771" s="1" t="s">
        <v>1477</v>
      </c>
      <c r="G771" s="8">
        <v>2</v>
      </c>
      <c r="H771" s="8">
        <v>2</v>
      </c>
      <c r="I771" s="115">
        <f>Table223[[#This Row],[Qty]]-Table223[[#This Row],[Issue Qty]]</f>
        <v>0</v>
      </c>
      <c r="J771" s="5">
        <v>452</v>
      </c>
      <c r="K771" s="5">
        <f t="shared" si="39"/>
        <v>904</v>
      </c>
      <c r="L771" s="82">
        <v>0.18</v>
      </c>
      <c r="M771" s="9">
        <f t="shared" si="40"/>
        <v>162.72</v>
      </c>
      <c r="N771" s="5">
        <v>0</v>
      </c>
      <c r="O771" s="5">
        <v>0</v>
      </c>
      <c r="P771" s="5">
        <f t="shared" si="41"/>
        <v>1066.72</v>
      </c>
      <c r="Q771" s="1" t="s">
        <v>2887</v>
      </c>
      <c r="R771" s="1" t="s">
        <v>633</v>
      </c>
      <c r="S771" s="1" t="s">
        <v>601</v>
      </c>
      <c r="T771" s="1">
        <v>50556</v>
      </c>
      <c r="U771" s="1"/>
      <c r="V771" s="1"/>
      <c r="W771" s="21" t="s">
        <v>3349</v>
      </c>
      <c r="X771" s="8"/>
      <c r="Y771" s="8">
        <v>2</v>
      </c>
      <c r="Z771" s="22" t="s">
        <v>481</v>
      </c>
      <c r="AA771" s="1"/>
      <c r="AB771" s="29"/>
      <c r="AC771" s="1"/>
      <c r="AD771" s="27"/>
    </row>
    <row r="772" spans="1:30" x14ac:dyDescent="0.25">
      <c r="A772" s="110"/>
      <c r="B772" s="111">
        <v>45936</v>
      </c>
      <c r="C772" s="89" t="s">
        <v>54</v>
      </c>
      <c r="D772" s="111" t="s">
        <v>2570</v>
      </c>
      <c r="E772" s="152" t="s">
        <v>1478</v>
      </c>
      <c r="F772" s="89" t="s">
        <v>1478</v>
      </c>
      <c r="G772" s="92">
        <v>2</v>
      </c>
      <c r="H772" s="92">
        <v>2</v>
      </c>
      <c r="I772" s="115">
        <f>Table223[[#This Row],[Qty]]-Table223[[#This Row],[Issue Qty]]</f>
        <v>0</v>
      </c>
      <c r="J772" s="93">
        <v>628</v>
      </c>
      <c r="K772" s="93">
        <f t="shared" si="39"/>
        <v>1256</v>
      </c>
      <c r="L772" s="82">
        <v>0.18</v>
      </c>
      <c r="M772" s="9">
        <f t="shared" si="40"/>
        <v>226.07999999999998</v>
      </c>
      <c r="N772" s="5">
        <v>0</v>
      </c>
      <c r="O772" s="5">
        <v>0</v>
      </c>
      <c r="P772" s="5">
        <f t="shared" si="41"/>
        <v>1482.08</v>
      </c>
      <c r="Q772" s="1" t="s">
        <v>2887</v>
      </c>
      <c r="R772" s="1" t="s">
        <v>633</v>
      </c>
      <c r="S772" s="29" t="s">
        <v>601</v>
      </c>
      <c r="T772" s="89">
        <v>50556</v>
      </c>
      <c r="U772" s="89"/>
      <c r="V772" s="89"/>
      <c r="W772" s="21"/>
      <c r="X772" s="92"/>
      <c r="Y772" s="109">
        <v>2</v>
      </c>
      <c r="Z772" s="22" t="s">
        <v>3388</v>
      </c>
      <c r="AA772" s="1"/>
      <c r="AB772" s="29"/>
      <c r="AC772" s="1"/>
      <c r="AD772" s="27"/>
    </row>
    <row r="773" spans="1:30" x14ac:dyDescent="0.25">
      <c r="A773" s="110"/>
      <c r="B773" s="111">
        <v>45936</v>
      </c>
      <c r="C773" s="89" t="s">
        <v>54</v>
      </c>
      <c r="D773" s="111" t="s">
        <v>2571</v>
      </c>
      <c r="E773" s="89" t="s">
        <v>1479</v>
      </c>
      <c r="F773" s="89" t="s">
        <v>1479</v>
      </c>
      <c r="G773" s="92">
        <v>8</v>
      </c>
      <c r="H773" s="92">
        <v>8</v>
      </c>
      <c r="I773" s="115">
        <f>Table223[[#This Row],[Qty]]-Table223[[#This Row],[Issue Qty]]</f>
        <v>0</v>
      </c>
      <c r="J773" s="93">
        <v>119</v>
      </c>
      <c r="K773" s="93">
        <f t="shared" si="39"/>
        <v>952</v>
      </c>
      <c r="L773" s="82">
        <v>0.18</v>
      </c>
      <c r="M773" s="9">
        <f t="shared" si="40"/>
        <v>171.35999999999999</v>
      </c>
      <c r="N773" s="5">
        <v>0</v>
      </c>
      <c r="O773" s="5">
        <v>-0.16</v>
      </c>
      <c r="P773" s="5">
        <f t="shared" si="41"/>
        <v>1123.1999999999998</v>
      </c>
      <c r="Q773" s="1" t="s">
        <v>2887</v>
      </c>
      <c r="R773" s="1" t="s">
        <v>633</v>
      </c>
      <c r="S773" s="29" t="s">
        <v>601</v>
      </c>
      <c r="T773" s="89">
        <v>50556</v>
      </c>
      <c r="U773" s="89"/>
      <c r="V773" s="89"/>
      <c r="W773" s="21"/>
      <c r="X773" s="92"/>
      <c r="Y773" s="109">
        <v>8</v>
      </c>
      <c r="Z773" s="22" t="s">
        <v>3391</v>
      </c>
      <c r="AA773" s="1"/>
      <c r="AB773" s="29"/>
      <c r="AC773" s="1"/>
      <c r="AD773" s="27"/>
    </row>
    <row r="774" spans="1:30" x14ac:dyDescent="0.25">
      <c r="A774" s="110"/>
      <c r="B774" s="111">
        <v>45936</v>
      </c>
      <c r="C774" s="89" t="s">
        <v>54</v>
      </c>
      <c r="D774" s="111" t="s">
        <v>2572</v>
      </c>
      <c r="E774" s="89" t="s">
        <v>1480</v>
      </c>
      <c r="F774" s="89" t="s">
        <v>1480</v>
      </c>
      <c r="G774" s="92">
        <v>1</v>
      </c>
      <c r="H774" s="92">
        <v>1</v>
      </c>
      <c r="I774" s="115">
        <f>Table223[[#This Row],[Qty]]-Table223[[#This Row],[Issue Qty]]</f>
        <v>0</v>
      </c>
      <c r="J774" s="93">
        <v>150</v>
      </c>
      <c r="K774" s="93">
        <f t="shared" si="39"/>
        <v>150</v>
      </c>
      <c r="L774" s="82">
        <v>0</v>
      </c>
      <c r="M774" s="9">
        <f t="shared" si="40"/>
        <v>0</v>
      </c>
      <c r="N774" s="5">
        <v>0</v>
      </c>
      <c r="O774" s="5">
        <v>0</v>
      </c>
      <c r="P774" s="5">
        <f t="shared" si="41"/>
        <v>150</v>
      </c>
      <c r="Q774" s="1" t="s">
        <v>2887</v>
      </c>
      <c r="R774" s="1" t="s">
        <v>633</v>
      </c>
      <c r="S774" s="29" t="s">
        <v>1481</v>
      </c>
      <c r="T774" s="89" t="s">
        <v>37</v>
      </c>
      <c r="U774" s="89"/>
      <c r="V774" s="89"/>
      <c r="W774" s="21" t="s">
        <v>3349</v>
      </c>
      <c r="X774" s="92"/>
      <c r="Y774" s="109">
        <v>1</v>
      </c>
      <c r="Z774" s="22" t="s">
        <v>1469</v>
      </c>
      <c r="AA774" s="1"/>
      <c r="AB774" s="29"/>
      <c r="AC774" s="1"/>
      <c r="AD774" s="27"/>
    </row>
    <row r="775" spans="1:30" x14ac:dyDescent="0.25">
      <c r="A775" s="74"/>
      <c r="B775" s="111">
        <v>45936</v>
      </c>
      <c r="C775" s="89" t="s">
        <v>54</v>
      </c>
      <c r="D775" s="111" t="s">
        <v>2573</v>
      </c>
      <c r="E775" s="152" t="s">
        <v>1482</v>
      </c>
      <c r="F775" s="89" t="s">
        <v>1482</v>
      </c>
      <c r="G775" s="92">
        <v>1</v>
      </c>
      <c r="H775" s="92">
        <v>1</v>
      </c>
      <c r="I775" s="115">
        <f>Table223[[#This Row],[Qty]]-Table223[[#This Row],[Issue Qty]]</f>
        <v>0</v>
      </c>
      <c r="J775" s="93">
        <v>150</v>
      </c>
      <c r="K775" s="93">
        <f t="shared" si="39"/>
        <v>150</v>
      </c>
      <c r="L775" s="82">
        <v>0</v>
      </c>
      <c r="M775" s="61">
        <f t="shared" si="40"/>
        <v>0</v>
      </c>
      <c r="N775" s="76">
        <v>0</v>
      </c>
      <c r="O775" s="76">
        <v>0</v>
      </c>
      <c r="P775" s="76">
        <f t="shared" si="41"/>
        <v>150</v>
      </c>
      <c r="Q775" s="1" t="s">
        <v>2887</v>
      </c>
      <c r="R775" s="25" t="s">
        <v>633</v>
      </c>
      <c r="S775" s="25" t="s">
        <v>1481</v>
      </c>
      <c r="T775" s="89" t="s">
        <v>37</v>
      </c>
      <c r="U775" s="89"/>
      <c r="V775" s="89"/>
      <c r="W775" s="21" t="s">
        <v>3349</v>
      </c>
      <c r="X775" s="92"/>
      <c r="Y775" s="75">
        <v>1</v>
      </c>
      <c r="Z775" s="77" t="s">
        <v>3354</v>
      </c>
      <c r="AA775" s="25"/>
      <c r="AB775" s="25"/>
      <c r="AC775" s="1"/>
      <c r="AD775" s="27"/>
    </row>
    <row r="776" spans="1:30" x14ac:dyDescent="0.25">
      <c r="A776" s="110"/>
      <c r="B776" s="111">
        <v>45936</v>
      </c>
      <c r="C776" s="89" t="s">
        <v>1730</v>
      </c>
      <c r="D776" s="111" t="s">
        <v>2574</v>
      </c>
      <c r="E776" s="89" t="s">
        <v>1483</v>
      </c>
      <c r="F776" s="89" t="s">
        <v>1483</v>
      </c>
      <c r="G776" s="92">
        <v>1</v>
      </c>
      <c r="H776" s="92"/>
      <c r="I776" s="115">
        <f>Table223[[#This Row],[Qty]]-Table223[[#This Row],[Issue Qty]]</f>
        <v>1</v>
      </c>
      <c r="J776" s="93">
        <v>113.56</v>
      </c>
      <c r="K776" s="93">
        <f t="shared" si="39"/>
        <v>113.56</v>
      </c>
      <c r="L776" s="82">
        <v>0.18</v>
      </c>
      <c r="M776" s="9">
        <f t="shared" si="40"/>
        <v>20.440799999999999</v>
      </c>
      <c r="N776" s="5">
        <v>99</v>
      </c>
      <c r="O776" s="5">
        <v>0</v>
      </c>
      <c r="P776" s="5">
        <f t="shared" si="41"/>
        <v>233.0008</v>
      </c>
      <c r="Q776" s="1" t="s">
        <v>2887</v>
      </c>
      <c r="R776" s="1" t="s">
        <v>633</v>
      </c>
      <c r="S776" s="29" t="s">
        <v>634</v>
      </c>
      <c r="T776" s="89" t="s">
        <v>2575</v>
      </c>
      <c r="U776" s="89"/>
      <c r="V776" s="89"/>
      <c r="W776" s="21"/>
      <c r="X776" s="92"/>
      <c r="Y776" s="109">
        <v>1</v>
      </c>
      <c r="Z776" s="22" t="s">
        <v>1469</v>
      </c>
      <c r="AA776" s="1"/>
      <c r="AB776" s="29"/>
      <c r="AC776" s="1"/>
      <c r="AD776" s="27"/>
    </row>
    <row r="777" spans="1:30" s="24" customFormat="1" x14ac:dyDescent="0.25">
      <c r="A777" s="110"/>
      <c r="B777" s="111">
        <v>45937</v>
      </c>
      <c r="C777" s="89" t="s">
        <v>1683</v>
      </c>
      <c r="D777" s="111" t="s">
        <v>2576</v>
      </c>
      <c r="E777" s="89" t="s">
        <v>1484</v>
      </c>
      <c r="F777" s="89" t="s">
        <v>1484</v>
      </c>
      <c r="G777" s="92">
        <v>2</v>
      </c>
      <c r="H777" s="92">
        <v>2</v>
      </c>
      <c r="I777" s="115">
        <f>Table223[[#This Row],[Qty]]-Table223[[#This Row],[Issue Qty]]</f>
        <v>0</v>
      </c>
      <c r="J777" s="93">
        <v>38.14</v>
      </c>
      <c r="K777" s="93">
        <f t="shared" si="39"/>
        <v>76.28</v>
      </c>
      <c r="L777" s="82">
        <v>0.18</v>
      </c>
      <c r="M777" s="9">
        <f t="shared" si="40"/>
        <v>13.730399999999999</v>
      </c>
      <c r="N777" s="5">
        <v>58.88</v>
      </c>
      <c r="O777" s="5">
        <v>0</v>
      </c>
      <c r="P777" s="5">
        <f t="shared" si="41"/>
        <v>148.8904</v>
      </c>
      <c r="Q777" s="1" t="s">
        <v>980</v>
      </c>
      <c r="R777" s="1" t="s">
        <v>980</v>
      </c>
      <c r="S777" s="1" t="s">
        <v>788</v>
      </c>
      <c r="T777" s="1" t="s">
        <v>2577</v>
      </c>
      <c r="U777" s="1"/>
      <c r="V777" s="1"/>
      <c r="W777" s="21"/>
      <c r="X777" s="8"/>
      <c r="Y777" s="8">
        <v>2</v>
      </c>
      <c r="Z777" s="22" t="s">
        <v>1125</v>
      </c>
      <c r="AA777" s="1"/>
      <c r="AB777" s="29"/>
      <c r="AC777" s="1"/>
      <c r="AD777" s="2"/>
    </row>
    <row r="778" spans="1:30" ht="30" x14ac:dyDescent="0.25">
      <c r="A778" s="110"/>
      <c r="B778" s="111">
        <v>45938</v>
      </c>
      <c r="C778" s="89" t="s">
        <v>1695</v>
      </c>
      <c r="D778" s="111" t="s">
        <v>2578</v>
      </c>
      <c r="E778" s="89" t="s">
        <v>1485</v>
      </c>
      <c r="F778" s="89" t="s">
        <v>1485</v>
      </c>
      <c r="G778" s="92">
        <v>1</v>
      </c>
      <c r="H778" s="92"/>
      <c r="I778" s="115">
        <f>Table223[[#This Row],[Qty]]-Table223[[#This Row],[Issue Qty]]</f>
        <v>1</v>
      </c>
      <c r="J778" s="93">
        <v>371400</v>
      </c>
      <c r="K778" s="93">
        <f t="shared" si="39"/>
        <v>371400</v>
      </c>
      <c r="L778" s="82">
        <v>0.05</v>
      </c>
      <c r="M778" s="9">
        <f t="shared" si="40"/>
        <v>18570</v>
      </c>
      <c r="N778" s="5">
        <v>0</v>
      </c>
      <c r="O778" s="5">
        <v>0</v>
      </c>
      <c r="P778" s="5">
        <f t="shared" si="41"/>
        <v>389970</v>
      </c>
      <c r="Q778" s="1" t="s">
        <v>2887</v>
      </c>
      <c r="R778" s="1" t="s">
        <v>633</v>
      </c>
      <c r="S778" s="1" t="s">
        <v>1420</v>
      </c>
      <c r="T778" s="1" t="s">
        <v>2579</v>
      </c>
      <c r="U778" s="1"/>
      <c r="V778" s="1"/>
      <c r="W778" s="21" t="s">
        <v>313</v>
      </c>
      <c r="X778" s="8"/>
      <c r="Y778" s="8">
        <v>1</v>
      </c>
      <c r="Z778" s="22" t="s">
        <v>1469</v>
      </c>
      <c r="AA778" s="1"/>
      <c r="AB778" s="29"/>
      <c r="AC778" s="1"/>
      <c r="AD778" s="27"/>
    </row>
    <row r="779" spans="1:30" x14ac:dyDescent="0.25">
      <c r="A779" s="110"/>
      <c r="B779" s="111">
        <v>45939</v>
      </c>
      <c r="C779" s="89" t="s">
        <v>1683</v>
      </c>
      <c r="D779" s="111" t="s">
        <v>2195</v>
      </c>
      <c r="E779" s="26" t="s">
        <v>988</v>
      </c>
      <c r="F779" s="89" t="s">
        <v>988</v>
      </c>
      <c r="G779" s="92">
        <v>20</v>
      </c>
      <c r="H779" s="92"/>
      <c r="I779" s="115">
        <f>Table223[[#This Row],[Qty]]-Table223[[#This Row],[Issue Qty]]</f>
        <v>20</v>
      </c>
      <c r="J779" s="93">
        <v>11.97</v>
      </c>
      <c r="K779" s="93">
        <f t="shared" si="39"/>
        <v>239.4</v>
      </c>
      <c r="L779" s="82">
        <v>0.18</v>
      </c>
      <c r="M779" s="9">
        <f t="shared" si="40"/>
        <v>43.091999999999999</v>
      </c>
      <c r="N779" s="5">
        <v>0</v>
      </c>
      <c r="O779" s="5">
        <v>0.39</v>
      </c>
      <c r="P779" s="5">
        <f t="shared" si="41"/>
        <v>282.88200000000001</v>
      </c>
      <c r="Q779" s="1" t="s">
        <v>2887</v>
      </c>
      <c r="R779" s="1" t="s">
        <v>633</v>
      </c>
      <c r="S779" s="1" t="s">
        <v>312</v>
      </c>
      <c r="T779" s="1" t="s">
        <v>2580</v>
      </c>
      <c r="U779" s="1"/>
      <c r="V779" s="1"/>
      <c r="W779" s="21" t="s">
        <v>638</v>
      </c>
      <c r="X779" s="8" t="s">
        <v>1963</v>
      </c>
      <c r="Y779" s="8">
        <v>20</v>
      </c>
      <c r="Z779" s="22" t="s">
        <v>2931</v>
      </c>
      <c r="AA779" s="1"/>
      <c r="AB779" s="29"/>
      <c r="AC779" s="1"/>
      <c r="AD779" s="27"/>
    </row>
    <row r="780" spans="1:30" x14ac:dyDescent="0.25">
      <c r="A780" s="110"/>
      <c r="B780" s="111">
        <v>45939</v>
      </c>
      <c r="C780" s="89" t="s">
        <v>1683</v>
      </c>
      <c r="D780" s="111" t="s">
        <v>2198</v>
      </c>
      <c r="E780" s="178" t="s">
        <v>991</v>
      </c>
      <c r="F780" s="89" t="s">
        <v>991</v>
      </c>
      <c r="G780" s="92">
        <v>20</v>
      </c>
      <c r="H780" s="92">
        <v>20</v>
      </c>
      <c r="I780" s="115">
        <f>Table223[[#This Row],[Qty]]-Table223[[#This Row],[Issue Qty]]</f>
        <v>0</v>
      </c>
      <c r="J780" s="93">
        <v>38.950000000000003</v>
      </c>
      <c r="K780" s="93">
        <f t="shared" si="39"/>
        <v>779</v>
      </c>
      <c r="L780" s="82">
        <v>0.18</v>
      </c>
      <c r="M780" s="9">
        <f t="shared" si="40"/>
        <v>140.22</v>
      </c>
      <c r="N780" s="5">
        <v>0</v>
      </c>
      <c r="O780" s="5">
        <v>0</v>
      </c>
      <c r="P780" s="5">
        <f t="shared" si="41"/>
        <v>919.22</v>
      </c>
      <c r="Q780" s="1" t="s">
        <v>2887</v>
      </c>
      <c r="R780" s="1" t="s">
        <v>633</v>
      </c>
      <c r="S780" s="1" t="s">
        <v>312</v>
      </c>
      <c r="T780" s="1" t="s">
        <v>2580</v>
      </c>
      <c r="U780" s="1"/>
      <c r="V780" s="1"/>
      <c r="W780" s="21" t="s">
        <v>638</v>
      </c>
      <c r="X780" s="8" t="s">
        <v>1963</v>
      </c>
      <c r="Y780" s="8"/>
      <c r="Z780" s="22"/>
      <c r="AA780" s="1"/>
      <c r="AB780" s="29"/>
      <c r="AC780" s="1"/>
      <c r="AD780" s="27"/>
    </row>
    <row r="781" spans="1:30" x14ac:dyDescent="0.25">
      <c r="A781" s="110"/>
      <c r="B781" s="111">
        <v>45939</v>
      </c>
      <c r="C781" s="89" t="s">
        <v>1730</v>
      </c>
      <c r="D781" s="111" t="s">
        <v>2581</v>
      </c>
      <c r="E781" s="89" t="s">
        <v>1486</v>
      </c>
      <c r="F781" s="89" t="s">
        <v>1486</v>
      </c>
      <c r="G781" s="92">
        <v>1</v>
      </c>
      <c r="H781" s="92">
        <v>1</v>
      </c>
      <c r="I781" s="115">
        <f>Table223[[#This Row],[Qty]]-Table223[[#This Row],[Issue Qty]]</f>
        <v>0</v>
      </c>
      <c r="J781" s="93">
        <v>7500</v>
      </c>
      <c r="K781" s="93">
        <f t="shared" si="39"/>
        <v>7500</v>
      </c>
      <c r="L781" s="82">
        <v>0.18</v>
      </c>
      <c r="M781" s="9">
        <f t="shared" si="40"/>
        <v>1350</v>
      </c>
      <c r="N781" s="5">
        <v>0</v>
      </c>
      <c r="O781" s="5">
        <v>0</v>
      </c>
      <c r="P781" s="5">
        <f t="shared" si="41"/>
        <v>8850</v>
      </c>
      <c r="Q781" s="1" t="s">
        <v>2887</v>
      </c>
      <c r="R781" s="1" t="s">
        <v>633</v>
      </c>
      <c r="S781" s="1" t="s">
        <v>1210</v>
      </c>
      <c r="T781" s="1" t="s">
        <v>2582</v>
      </c>
      <c r="U781" s="1"/>
      <c r="V781" s="1"/>
      <c r="W781" s="21" t="s">
        <v>3179</v>
      </c>
      <c r="X781" s="8"/>
      <c r="Y781" s="8">
        <v>1</v>
      </c>
      <c r="Z781" s="22" t="s">
        <v>1469</v>
      </c>
      <c r="AA781" s="1"/>
      <c r="AB781" s="29"/>
      <c r="AC781" s="1"/>
      <c r="AD781" s="27"/>
    </row>
    <row r="782" spans="1:30" x14ac:dyDescent="0.25">
      <c r="A782" s="4"/>
      <c r="B782" s="4">
        <v>45939</v>
      </c>
      <c r="C782" s="1" t="s">
        <v>1730</v>
      </c>
      <c r="D782" s="4" t="s">
        <v>2583</v>
      </c>
      <c r="E782" s="1" t="s">
        <v>1487</v>
      </c>
      <c r="F782" s="1" t="s">
        <v>1487</v>
      </c>
      <c r="G782" s="8">
        <v>1</v>
      </c>
      <c r="H782" s="8">
        <v>1</v>
      </c>
      <c r="I782" s="115">
        <f>Table223[[#This Row],[Qty]]-Table223[[#This Row],[Issue Qty]]</f>
        <v>0</v>
      </c>
      <c r="J782" s="5">
        <v>1350</v>
      </c>
      <c r="K782" s="5">
        <f t="shared" si="39"/>
        <v>1350</v>
      </c>
      <c r="L782" s="82">
        <v>0.18</v>
      </c>
      <c r="M782" s="9">
        <f t="shared" si="40"/>
        <v>243</v>
      </c>
      <c r="N782" s="5">
        <v>0</v>
      </c>
      <c r="O782" s="5">
        <v>0</v>
      </c>
      <c r="P782" s="5">
        <f t="shared" si="41"/>
        <v>1593</v>
      </c>
      <c r="Q782" s="1" t="s">
        <v>2887</v>
      </c>
      <c r="R782" s="1" t="s">
        <v>633</v>
      </c>
      <c r="S782" s="1" t="s">
        <v>1210</v>
      </c>
      <c r="T782" s="1" t="s">
        <v>2582</v>
      </c>
      <c r="U782" s="1"/>
      <c r="V782" s="1"/>
      <c r="W782" s="21" t="s">
        <v>3179</v>
      </c>
      <c r="X782" s="8"/>
      <c r="Y782" s="8">
        <v>1</v>
      </c>
      <c r="Z782" s="22" t="s">
        <v>1469</v>
      </c>
      <c r="AA782" s="1"/>
      <c r="AB782" s="29"/>
      <c r="AC782" s="1"/>
      <c r="AD782" s="27"/>
    </row>
    <row r="783" spans="1:30" x14ac:dyDescent="0.25">
      <c r="A783" s="4"/>
      <c r="B783" s="4">
        <v>45939</v>
      </c>
      <c r="C783" s="1" t="s">
        <v>1730</v>
      </c>
      <c r="D783" s="4" t="s">
        <v>2584</v>
      </c>
      <c r="E783" s="1" t="s">
        <v>1488</v>
      </c>
      <c r="F783" s="1" t="s">
        <v>1488</v>
      </c>
      <c r="G783" s="8">
        <v>2</v>
      </c>
      <c r="H783" s="8">
        <v>1</v>
      </c>
      <c r="I783" s="115">
        <f>Table223[[#This Row],[Qty]]-Table223[[#This Row],[Issue Qty]]</f>
        <v>1</v>
      </c>
      <c r="J783" s="5">
        <v>4600</v>
      </c>
      <c r="K783" s="5">
        <f t="shared" si="39"/>
        <v>9200</v>
      </c>
      <c r="L783" s="82">
        <v>0.18</v>
      </c>
      <c r="M783" s="9">
        <f t="shared" si="40"/>
        <v>1656</v>
      </c>
      <c r="N783" s="5">
        <v>0</v>
      </c>
      <c r="O783" s="5">
        <v>0</v>
      </c>
      <c r="P783" s="5">
        <f t="shared" si="41"/>
        <v>10856</v>
      </c>
      <c r="Q783" s="1" t="s">
        <v>2887</v>
      </c>
      <c r="R783" s="1" t="s">
        <v>633</v>
      </c>
      <c r="S783" s="1" t="s">
        <v>1210</v>
      </c>
      <c r="T783" s="1" t="s">
        <v>2582</v>
      </c>
      <c r="U783" s="1"/>
      <c r="V783" s="1"/>
      <c r="W783" s="21" t="s">
        <v>3179</v>
      </c>
      <c r="X783" s="8"/>
      <c r="Y783" s="8">
        <v>1</v>
      </c>
      <c r="Z783" s="22" t="s">
        <v>1469</v>
      </c>
      <c r="AA783" s="1"/>
      <c r="AB783" s="29"/>
      <c r="AC783" s="1"/>
      <c r="AD783" s="27"/>
    </row>
    <row r="784" spans="1:30" x14ac:dyDescent="0.25">
      <c r="A784" s="4"/>
      <c r="B784" s="4">
        <v>45939</v>
      </c>
      <c r="C784" s="1" t="s">
        <v>1730</v>
      </c>
      <c r="D784" s="4" t="s">
        <v>2585</v>
      </c>
      <c r="E784" s="1" t="s">
        <v>1489</v>
      </c>
      <c r="F784" s="1" t="s">
        <v>1489</v>
      </c>
      <c r="G784" s="8">
        <v>2</v>
      </c>
      <c r="H784" s="8">
        <v>1</v>
      </c>
      <c r="I784" s="115">
        <f>Table223[[#This Row],[Qty]]-Table223[[#This Row],[Issue Qty]]</f>
        <v>1</v>
      </c>
      <c r="J784" s="5">
        <v>1200</v>
      </c>
      <c r="K784" s="5">
        <f t="shared" si="39"/>
        <v>2400</v>
      </c>
      <c r="L784" s="82">
        <v>0.18</v>
      </c>
      <c r="M784" s="9">
        <f t="shared" si="40"/>
        <v>432</v>
      </c>
      <c r="N784" s="5">
        <v>0</v>
      </c>
      <c r="O784" s="5">
        <v>0</v>
      </c>
      <c r="P784" s="5">
        <f t="shared" si="41"/>
        <v>2832</v>
      </c>
      <c r="Q784" s="1" t="s">
        <v>2887</v>
      </c>
      <c r="R784" s="1" t="s">
        <v>633</v>
      </c>
      <c r="S784" s="1" t="s">
        <v>1210</v>
      </c>
      <c r="T784" s="1" t="s">
        <v>2582</v>
      </c>
      <c r="U784" s="1"/>
      <c r="V784" s="1"/>
      <c r="W784" s="21" t="s">
        <v>3179</v>
      </c>
      <c r="X784" s="8"/>
      <c r="Y784" s="8">
        <v>1</v>
      </c>
      <c r="Z784" s="22" t="s">
        <v>1469</v>
      </c>
      <c r="AA784" s="1"/>
      <c r="AB784" s="29"/>
      <c r="AC784" s="1"/>
      <c r="AD784" s="27"/>
    </row>
    <row r="785" spans="1:30" x14ac:dyDescent="0.25">
      <c r="A785" s="4"/>
      <c r="B785" s="4">
        <v>45939</v>
      </c>
      <c r="C785" s="1" t="s">
        <v>1730</v>
      </c>
      <c r="D785" s="4" t="s">
        <v>2586</v>
      </c>
      <c r="E785" s="1" t="s">
        <v>1490</v>
      </c>
      <c r="F785" s="1" t="s">
        <v>1490</v>
      </c>
      <c r="G785" s="8">
        <v>2</v>
      </c>
      <c r="H785" s="8">
        <v>1</v>
      </c>
      <c r="I785" s="115">
        <f>Table223[[#This Row],[Qty]]-Table223[[#This Row],[Issue Qty]]</f>
        <v>1</v>
      </c>
      <c r="J785" s="5">
        <v>2100</v>
      </c>
      <c r="K785" s="5">
        <f t="shared" si="39"/>
        <v>4200</v>
      </c>
      <c r="L785" s="82">
        <v>0.18</v>
      </c>
      <c r="M785" s="9">
        <f t="shared" si="40"/>
        <v>756</v>
      </c>
      <c r="N785" s="5">
        <v>0</v>
      </c>
      <c r="O785" s="5">
        <v>0</v>
      </c>
      <c r="P785" s="5">
        <f t="shared" si="41"/>
        <v>4956</v>
      </c>
      <c r="Q785" s="1" t="s">
        <v>2887</v>
      </c>
      <c r="R785" s="1" t="s">
        <v>633</v>
      </c>
      <c r="S785" s="1" t="s">
        <v>1210</v>
      </c>
      <c r="T785" s="1" t="s">
        <v>2582</v>
      </c>
      <c r="U785" s="1"/>
      <c r="V785" s="1"/>
      <c r="W785" s="21" t="s">
        <v>3179</v>
      </c>
      <c r="X785" s="8"/>
      <c r="Y785" s="8">
        <v>1</v>
      </c>
      <c r="Z785" s="22" t="s">
        <v>1469</v>
      </c>
      <c r="AA785" s="1"/>
      <c r="AB785" s="29"/>
      <c r="AC785" s="1"/>
      <c r="AD785" s="27"/>
    </row>
    <row r="786" spans="1:30" ht="30" x14ac:dyDescent="0.25">
      <c r="A786" s="4"/>
      <c r="B786" s="4">
        <v>45939</v>
      </c>
      <c r="C786" s="1" t="s">
        <v>1693</v>
      </c>
      <c r="D786" s="4" t="s">
        <v>2587</v>
      </c>
      <c r="E786" s="1" t="s">
        <v>1491</v>
      </c>
      <c r="F786" s="1" t="s">
        <v>1491</v>
      </c>
      <c r="G786" s="8">
        <v>10</v>
      </c>
      <c r="H786" s="8">
        <v>10</v>
      </c>
      <c r="I786" s="115">
        <f>Table223[[#This Row],[Qty]]-Table223[[#This Row],[Issue Qty]]</f>
        <v>0</v>
      </c>
      <c r="J786" s="5">
        <v>3559</v>
      </c>
      <c r="K786" s="5">
        <f t="shared" si="39"/>
        <v>35590</v>
      </c>
      <c r="L786" s="82">
        <v>0.18</v>
      </c>
      <c r="M786" s="9">
        <f t="shared" si="40"/>
        <v>6406.2</v>
      </c>
      <c r="N786" s="5">
        <v>0</v>
      </c>
      <c r="O786" s="5">
        <v>0</v>
      </c>
      <c r="P786" s="5">
        <f t="shared" si="41"/>
        <v>41996.2</v>
      </c>
      <c r="Q786" s="1" t="s">
        <v>2887</v>
      </c>
      <c r="R786" s="1" t="s">
        <v>633</v>
      </c>
      <c r="S786" s="1" t="s">
        <v>1298</v>
      </c>
      <c r="T786" s="1">
        <v>1006761</v>
      </c>
      <c r="U786" s="1"/>
      <c r="V786" s="1"/>
      <c r="W786" s="21"/>
      <c r="X786" s="8"/>
      <c r="Y786" s="8">
        <v>10</v>
      </c>
      <c r="Z786" s="22" t="s">
        <v>3363</v>
      </c>
      <c r="AA786" s="1"/>
      <c r="AB786" s="29"/>
      <c r="AC786" s="1"/>
      <c r="AD786" s="27"/>
    </row>
    <row r="787" spans="1:30" x14ac:dyDescent="0.25">
      <c r="A787" s="4"/>
      <c r="B787" s="4">
        <v>45939</v>
      </c>
      <c r="C787" s="1" t="s">
        <v>1683</v>
      </c>
      <c r="D787" s="4" t="s">
        <v>2588</v>
      </c>
      <c r="E787" s="1" t="s">
        <v>1492</v>
      </c>
      <c r="F787" s="1" t="s">
        <v>1492</v>
      </c>
      <c r="G787" s="8">
        <v>20</v>
      </c>
      <c r="H787" s="8">
        <v>20</v>
      </c>
      <c r="I787" s="115">
        <f>Table223[[#This Row],[Qty]]-Table223[[#This Row],[Issue Qty]]</f>
        <v>0</v>
      </c>
      <c r="J787" s="5">
        <v>12.18</v>
      </c>
      <c r="K787" s="5">
        <f t="shared" si="39"/>
        <v>243.6</v>
      </c>
      <c r="L787" s="82">
        <v>0.18</v>
      </c>
      <c r="M787" s="9">
        <f t="shared" si="40"/>
        <v>43.847999999999999</v>
      </c>
      <c r="N787" s="5">
        <v>0</v>
      </c>
      <c r="O787" s="5">
        <v>0</v>
      </c>
      <c r="P787" s="5">
        <f t="shared" si="41"/>
        <v>287.44799999999998</v>
      </c>
      <c r="Q787" s="1" t="s">
        <v>2887</v>
      </c>
      <c r="R787" s="1" t="s">
        <v>633</v>
      </c>
      <c r="S787" s="1" t="s">
        <v>312</v>
      </c>
      <c r="T787" s="1" t="s">
        <v>2580</v>
      </c>
      <c r="U787" s="1"/>
      <c r="V787" s="1"/>
      <c r="W787" s="21" t="s">
        <v>638</v>
      </c>
      <c r="X787" s="8" t="s">
        <v>1963</v>
      </c>
      <c r="Y787" s="8">
        <v>6</v>
      </c>
      <c r="Z787" s="22" t="s">
        <v>2931</v>
      </c>
      <c r="AA787" s="1"/>
      <c r="AB787" s="29"/>
      <c r="AC787" s="1"/>
      <c r="AD787" s="27"/>
    </row>
    <row r="788" spans="1:30" x14ac:dyDescent="0.25">
      <c r="A788" s="4"/>
      <c r="B788" s="4">
        <v>45939</v>
      </c>
      <c r="C788" s="1" t="s">
        <v>1683</v>
      </c>
      <c r="D788" s="4" t="s">
        <v>2589</v>
      </c>
      <c r="E788" s="1" t="s">
        <v>1493</v>
      </c>
      <c r="F788" s="1" t="s">
        <v>1493</v>
      </c>
      <c r="G788" s="8">
        <v>20</v>
      </c>
      <c r="H788" s="8">
        <v>20</v>
      </c>
      <c r="I788" s="115">
        <f>Table223[[#This Row],[Qty]]-Table223[[#This Row],[Issue Qty]]</f>
        <v>0</v>
      </c>
      <c r="J788" s="5">
        <v>7.56</v>
      </c>
      <c r="K788" s="5">
        <f t="shared" si="39"/>
        <v>151.19999999999999</v>
      </c>
      <c r="L788" s="82">
        <v>0.18</v>
      </c>
      <c r="M788" s="9">
        <f t="shared" si="40"/>
        <v>27.215999999999998</v>
      </c>
      <c r="N788" s="5">
        <v>0</v>
      </c>
      <c r="O788" s="5">
        <v>0</v>
      </c>
      <c r="P788" s="5">
        <f t="shared" si="41"/>
        <v>178.416</v>
      </c>
      <c r="Q788" s="1" t="s">
        <v>2887</v>
      </c>
      <c r="R788" s="1" t="s">
        <v>633</v>
      </c>
      <c r="S788" s="1" t="s">
        <v>312</v>
      </c>
      <c r="T788" s="1" t="s">
        <v>2580</v>
      </c>
      <c r="U788" s="1"/>
      <c r="V788" s="1"/>
      <c r="W788" s="21"/>
      <c r="X788" s="8"/>
      <c r="Y788" s="8">
        <v>20</v>
      </c>
      <c r="Z788" s="22" t="s">
        <v>1382</v>
      </c>
      <c r="AA788" s="1"/>
      <c r="AB788" s="29"/>
      <c r="AC788" s="1"/>
      <c r="AD788" s="27"/>
    </row>
    <row r="789" spans="1:30" x14ac:dyDescent="0.25">
      <c r="A789" s="4"/>
      <c r="B789" s="4">
        <v>45939</v>
      </c>
      <c r="C789" s="1" t="s">
        <v>1683</v>
      </c>
      <c r="D789" s="4" t="s">
        <v>2590</v>
      </c>
      <c r="E789" s="1" t="s">
        <v>1494</v>
      </c>
      <c r="F789" s="1" t="s">
        <v>1494</v>
      </c>
      <c r="G789" s="8">
        <v>20</v>
      </c>
      <c r="H789" s="8">
        <v>20</v>
      </c>
      <c r="I789" s="115">
        <f>Table223[[#This Row],[Qty]]-Table223[[#This Row],[Issue Qty]]</f>
        <v>0</v>
      </c>
      <c r="J789" s="5">
        <v>12.29</v>
      </c>
      <c r="K789" s="5">
        <f t="shared" si="39"/>
        <v>245.79999999999998</v>
      </c>
      <c r="L789" s="82">
        <v>0.18</v>
      </c>
      <c r="M789" s="9">
        <f t="shared" si="40"/>
        <v>44.243999999999993</v>
      </c>
      <c r="N789" s="5">
        <v>0</v>
      </c>
      <c r="O789" s="5">
        <v>0</v>
      </c>
      <c r="P789" s="5">
        <f t="shared" si="41"/>
        <v>290.04399999999998</v>
      </c>
      <c r="Q789" s="1" t="s">
        <v>2887</v>
      </c>
      <c r="R789" s="1" t="s">
        <v>633</v>
      </c>
      <c r="S789" s="1" t="s">
        <v>312</v>
      </c>
      <c r="T789" s="1" t="s">
        <v>2580</v>
      </c>
      <c r="U789" s="1"/>
      <c r="V789" s="1"/>
      <c r="W789" s="21" t="s">
        <v>638</v>
      </c>
      <c r="X789" s="8" t="s">
        <v>1963</v>
      </c>
      <c r="Y789" s="8">
        <v>20</v>
      </c>
      <c r="Z789" s="22" t="s">
        <v>1382</v>
      </c>
      <c r="AA789" s="1"/>
      <c r="AB789" s="29"/>
      <c r="AC789" s="1"/>
      <c r="AD789" s="27"/>
    </row>
    <row r="790" spans="1:30" x14ac:dyDescent="0.25">
      <c r="A790" s="4"/>
      <c r="B790" s="4">
        <v>45939</v>
      </c>
      <c r="C790" s="1" t="s">
        <v>1683</v>
      </c>
      <c r="D790" s="4" t="s">
        <v>2591</v>
      </c>
      <c r="E790" s="87" t="s">
        <v>1495</v>
      </c>
      <c r="F790" s="1" t="s">
        <v>1495</v>
      </c>
      <c r="G790" s="8">
        <v>20</v>
      </c>
      <c r="H790" s="8">
        <v>20</v>
      </c>
      <c r="I790" s="115">
        <f>Table223[[#This Row],[Qty]]-Table223[[#This Row],[Issue Qty]]</f>
        <v>0</v>
      </c>
      <c r="J790" s="5">
        <v>13.51</v>
      </c>
      <c r="K790" s="5">
        <f t="shared" si="39"/>
        <v>270.2</v>
      </c>
      <c r="L790" s="82">
        <v>0.18</v>
      </c>
      <c r="M790" s="9">
        <f t="shared" si="40"/>
        <v>48.635999999999996</v>
      </c>
      <c r="N790" s="5">
        <v>0</v>
      </c>
      <c r="O790" s="5">
        <v>0</v>
      </c>
      <c r="P790" s="5">
        <f t="shared" si="41"/>
        <v>318.83600000000001</v>
      </c>
      <c r="Q790" s="1" t="s">
        <v>2887</v>
      </c>
      <c r="R790" s="1" t="s">
        <v>633</v>
      </c>
      <c r="S790" s="1" t="s">
        <v>312</v>
      </c>
      <c r="T790" s="1" t="s">
        <v>2580</v>
      </c>
      <c r="U790" s="1"/>
      <c r="V790" s="1"/>
      <c r="W790" s="21" t="s">
        <v>638</v>
      </c>
      <c r="X790" s="8" t="s">
        <v>1963</v>
      </c>
      <c r="Y790" s="8">
        <v>20</v>
      </c>
      <c r="Z790" s="22" t="s">
        <v>2931</v>
      </c>
      <c r="AA790" s="1"/>
      <c r="AB790" s="29"/>
      <c r="AC790" s="1"/>
      <c r="AD790" s="27"/>
    </row>
    <row r="791" spans="1:30" x14ac:dyDescent="0.25">
      <c r="A791" s="4"/>
      <c r="B791" s="4">
        <v>45939</v>
      </c>
      <c r="C791" s="1" t="s">
        <v>1683</v>
      </c>
      <c r="D791" s="4" t="s">
        <v>2592</v>
      </c>
      <c r="E791" s="1" t="s">
        <v>1496</v>
      </c>
      <c r="F791" s="1" t="s">
        <v>1496</v>
      </c>
      <c r="G791" s="8">
        <v>20</v>
      </c>
      <c r="H791" s="8">
        <v>20</v>
      </c>
      <c r="I791" s="115">
        <f>Table223[[#This Row],[Qty]]-Table223[[#This Row],[Issue Qty]]</f>
        <v>0</v>
      </c>
      <c r="J791" s="5">
        <v>117.18</v>
      </c>
      <c r="K791" s="5">
        <f t="shared" si="39"/>
        <v>2343.6000000000004</v>
      </c>
      <c r="L791" s="82">
        <v>0.18</v>
      </c>
      <c r="M791" s="9">
        <f t="shared" si="40"/>
        <v>421.84800000000007</v>
      </c>
      <c r="N791" s="5">
        <v>0</v>
      </c>
      <c r="O791" s="5">
        <v>0</v>
      </c>
      <c r="P791" s="5">
        <f t="shared" si="41"/>
        <v>2765.4480000000003</v>
      </c>
      <c r="Q791" s="1" t="s">
        <v>2887</v>
      </c>
      <c r="R791" s="1" t="s">
        <v>633</v>
      </c>
      <c r="S791" s="1" t="s">
        <v>312</v>
      </c>
      <c r="T791" s="1" t="s">
        <v>2580</v>
      </c>
      <c r="U791" s="1"/>
      <c r="V791" s="1"/>
      <c r="W791" s="21"/>
      <c r="X791" s="8"/>
      <c r="Y791" s="8">
        <v>20</v>
      </c>
      <c r="Z791" s="22" t="s">
        <v>2937</v>
      </c>
      <c r="AA791" s="1"/>
      <c r="AB791" s="29"/>
      <c r="AC791" s="1"/>
      <c r="AD791" s="27"/>
    </row>
    <row r="792" spans="1:30" x14ac:dyDescent="0.25">
      <c r="A792" s="4"/>
      <c r="B792" s="4">
        <v>45939</v>
      </c>
      <c r="C792" s="1" t="s">
        <v>1683</v>
      </c>
      <c r="D792" s="4" t="s">
        <v>2593</v>
      </c>
      <c r="E792" s="1" t="s">
        <v>1497</v>
      </c>
      <c r="F792" s="1" t="s">
        <v>1497</v>
      </c>
      <c r="G792" s="8">
        <v>20</v>
      </c>
      <c r="H792" s="8">
        <v>20</v>
      </c>
      <c r="I792" s="115">
        <f>Table223[[#This Row],[Qty]]-Table223[[#This Row],[Issue Qty]]</f>
        <v>0</v>
      </c>
      <c r="J792" s="5">
        <v>46.09</v>
      </c>
      <c r="K792" s="5">
        <f t="shared" si="39"/>
        <v>921.80000000000007</v>
      </c>
      <c r="L792" s="82">
        <v>0.18</v>
      </c>
      <c r="M792" s="9">
        <f t="shared" si="40"/>
        <v>165.92400000000001</v>
      </c>
      <c r="N792" s="5">
        <v>0</v>
      </c>
      <c r="O792" s="5">
        <v>0</v>
      </c>
      <c r="P792" s="5">
        <f t="shared" si="41"/>
        <v>1087.7240000000002</v>
      </c>
      <c r="Q792" s="1" t="s">
        <v>2887</v>
      </c>
      <c r="R792" s="1" t="s">
        <v>633</v>
      </c>
      <c r="S792" s="1" t="s">
        <v>312</v>
      </c>
      <c r="T792" s="1" t="s">
        <v>2580</v>
      </c>
      <c r="U792" s="1"/>
      <c r="V792" s="1"/>
      <c r="W792" s="21" t="s">
        <v>3349</v>
      </c>
      <c r="X792" s="8"/>
      <c r="Y792" s="8">
        <v>20</v>
      </c>
      <c r="Z792" s="22" t="s">
        <v>1382</v>
      </c>
      <c r="AA792" s="1"/>
      <c r="AB792" s="29"/>
      <c r="AC792" s="1"/>
      <c r="AD792" s="27"/>
    </row>
    <row r="793" spans="1:30" x14ac:dyDescent="0.25">
      <c r="A793" s="4"/>
      <c r="B793" s="4">
        <v>45939</v>
      </c>
      <c r="C793" s="1" t="s">
        <v>1683</v>
      </c>
      <c r="D793" s="4" t="s">
        <v>2594</v>
      </c>
      <c r="E793" s="1" t="s">
        <v>1498</v>
      </c>
      <c r="F793" s="1" t="s">
        <v>1498</v>
      </c>
      <c r="G793" s="8">
        <v>20</v>
      </c>
      <c r="H793" s="8">
        <v>16</v>
      </c>
      <c r="I793" s="115">
        <f>Table223[[#This Row],[Qty]]-Table223[[#This Row],[Issue Qty]]</f>
        <v>4</v>
      </c>
      <c r="J793" s="5">
        <v>7.25</v>
      </c>
      <c r="K793" s="5">
        <f t="shared" si="39"/>
        <v>145</v>
      </c>
      <c r="L793" s="82">
        <v>0.18</v>
      </c>
      <c r="M793" s="9">
        <f t="shared" si="40"/>
        <v>26.099999999999998</v>
      </c>
      <c r="N793" s="5">
        <v>0</v>
      </c>
      <c r="O793" s="5">
        <v>0</v>
      </c>
      <c r="P793" s="5">
        <f t="shared" si="41"/>
        <v>171.1</v>
      </c>
      <c r="Q793" s="1" t="s">
        <v>2887</v>
      </c>
      <c r="R793" s="1" t="s">
        <v>633</v>
      </c>
      <c r="S793" s="1" t="s">
        <v>312</v>
      </c>
      <c r="T793" s="1" t="s">
        <v>2580</v>
      </c>
      <c r="U793" s="1"/>
      <c r="V793" s="1"/>
      <c r="W793" s="21" t="s">
        <v>638</v>
      </c>
      <c r="X793" s="8" t="s">
        <v>1963</v>
      </c>
      <c r="Y793" s="8">
        <v>20</v>
      </c>
      <c r="Z793" s="22" t="s">
        <v>2932</v>
      </c>
      <c r="AA793" s="1"/>
      <c r="AB793" s="29"/>
      <c r="AC793" s="1"/>
      <c r="AD793" s="27"/>
    </row>
    <row r="794" spans="1:30" s="24" customFormat="1" ht="45" x14ac:dyDescent="0.25">
      <c r="A794" s="4"/>
      <c r="B794" s="4">
        <v>45939</v>
      </c>
      <c r="C794" s="1" t="s">
        <v>1683</v>
      </c>
      <c r="D794" s="4" t="s">
        <v>2595</v>
      </c>
      <c r="E794" s="1" t="s">
        <v>1499</v>
      </c>
      <c r="F794" s="1" t="s">
        <v>1499</v>
      </c>
      <c r="G794" s="8">
        <v>10</v>
      </c>
      <c r="H794" s="8">
        <v>6</v>
      </c>
      <c r="I794" s="115">
        <f>Table223[[#This Row],[Qty]]-Table223[[#This Row],[Issue Qty]]</f>
        <v>4</v>
      </c>
      <c r="J794" s="5">
        <v>2723.38</v>
      </c>
      <c r="K794" s="5">
        <f t="shared" si="39"/>
        <v>27233.800000000003</v>
      </c>
      <c r="L794" s="82">
        <v>0.18</v>
      </c>
      <c r="M794" s="9">
        <f t="shared" si="40"/>
        <v>4902.0840000000007</v>
      </c>
      <c r="N794" s="5">
        <v>0</v>
      </c>
      <c r="O794" s="5">
        <v>0</v>
      </c>
      <c r="P794" s="5">
        <f t="shared" si="41"/>
        <v>32135.884000000005</v>
      </c>
      <c r="Q794" s="1" t="s">
        <v>2887</v>
      </c>
      <c r="R794" s="1" t="s">
        <v>633</v>
      </c>
      <c r="S794" s="1" t="s">
        <v>312</v>
      </c>
      <c r="T794" s="1" t="s">
        <v>2580</v>
      </c>
      <c r="U794" s="1"/>
      <c r="V794" s="1"/>
      <c r="W794" s="21" t="s">
        <v>89</v>
      </c>
      <c r="X794" s="8"/>
      <c r="Y794" s="8">
        <v>6</v>
      </c>
      <c r="Z794" s="22" t="s">
        <v>3352</v>
      </c>
      <c r="AA794" s="1"/>
      <c r="AB794" s="29"/>
      <c r="AC794" s="1"/>
      <c r="AD794" s="2"/>
    </row>
    <row r="795" spans="1:30" x14ac:dyDescent="0.25">
      <c r="A795" s="4"/>
      <c r="B795" s="4">
        <v>45939</v>
      </c>
      <c r="C795" s="1" t="s">
        <v>54</v>
      </c>
      <c r="D795" s="4" t="s">
        <v>2596</v>
      </c>
      <c r="E795" s="1" t="s">
        <v>1500</v>
      </c>
      <c r="F795" s="1" t="s">
        <v>1500</v>
      </c>
      <c r="G795" s="8">
        <v>2</v>
      </c>
      <c r="H795" s="8">
        <v>2</v>
      </c>
      <c r="I795" s="115">
        <f>Table223[[#This Row],[Qty]]-Table223[[#This Row],[Issue Qty]]</f>
        <v>0</v>
      </c>
      <c r="J795" s="5">
        <v>4850</v>
      </c>
      <c r="K795" s="5">
        <f t="shared" si="39"/>
        <v>9700</v>
      </c>
      <c r="L795" s="82">
        <v>0.18</v>
      </c>
      <c r="M795" s="9">
        <f t="shared" si="40"/>
        <v>1746</v>
      </c>
      <c r="N795" s="5">
        <v>0</v>
      </c>
      <c r="O795" s="5">
        <v>0</v>
      </c>
      <c r="P795" s="5">
        <f t="shared" si="41"/>
        <v>11446</v>
      </c>
      <c r="Q795" s="1" t="s">
        <v>2887</v>
      </c>
      <c r="R795" s="1" t="s">
        <v>633</v>
      </c>
      <c r="S795" s="1" t="s">
        <v>764</v>
      </c>
      <c r="T795" s="1" t="s">
        <v>2597</v>
      </c>
      <c r="U795" s="1"/>
      <c r="V795" s="1"/>
      <c r="W795" s="21" t="s">
        <v>3349</v>
      </c>
      <c r="X795" s="8"/>
      <c r="Y795" s="8">
        <v>2</v>
      </c>
      <c r="Z795" s="22" t="s">
        <v>3352</v>
      </c>
      <c r="AA795" s="1"/>
      <c r="AB795" s="29"/>
      <c r="AC795" s="1"/>
      <c r="AD795" s="27"/>
    </row>
    <row r="796" spans="1:30" s="24" customFormat="1" x14ac:dyDescent="0.25">
      <c r="A796" s="4"/>
      <c r="B796" s="4">
        <v>45939</v>
      </c>
      <c r="C796" s="1" t="s">
        <v>54</v>
      </c>
      <c r="D796" s="4" t="s">
        <v>2598</v>
      </c>
      <c r="E796" s="1" t="s">
        <v>1501</v>
      </c>
      <c r="F796" s="1" t="s">
        <v>1501</v>
      </c>
      <c r="G796" s="8">
        <v>2</v>
      </c>
      <c r="H796" s="8">
        <v>2</v>
      </c>
      <c r="I796" s="115">
        <f>Table223[[#This Row],[Qty]]-Table223[[#This Row],[Issue Qty]]</f>
        <v>0</v>
      </c>
      <c r="J796" s="5">
        <v>4700</v>
      </c>
      <c r="K796" s="5">
        <f t="shared" si="39"/>
        <v>9400</v>
      </c>
      <c r="L796" s="82">
        <v>0.18</v>
      </c>
      <c r="M796" s="9">
        <f t="shared" si="40"/>
        <v>1692</v>
      </c>
      <c r="N796" s="5">
        <v>0</v>
      </c>
      <c r="O796" s="5">
        <v>0</v>
      </c>
      <c r="P796" s="5">
        <f t="shared" si="41"/>
        <v>11092</v>
      </c>
      <c r="Q796" s="1" t="s">
        <v>2887</v>
      </c>
      <c r="R796" s="1" t="s">
        <v>633</v>
      </c>
      <c r="S796" s="1" t="s">
        <v>764</v>
      </c>
      <c r="T796" s="1" t="s">
        <v>2597</v>
      </c>
      <c r="U796" s="1"/>
      <c r="V796" s="1"/>
      <c r="W796" s="21" t="s">
        <v>3349</v>
      </c>
      <c r="X796" s="8"/>
      <c r="Y796" s="8">
        <v>2</v>
      </c>
      <c r="Z796" s="22" t="s">
        <v>3352</v>
      </c>
      <c r="AA796" s="1"/>
      <c r="AB796" s="29"/>
      <c r="AC796" s="1"/>
      <c r="AD796" s="2"/>
    </row>
    <row r="797" spans="1:30" ht="30" x14ac:dyDescent="0.25">
      <c r="A797" s="4"/>
      <c r="B797" s="4">
        <v>45940</v>
      </c>
      <c r="C797" s="1" t="s">
        <v>1730</v>
      </c>
      <c r="D797" s="4" t="s">
        <v>2599</v>
      </c>
      <c r="E797" s="87" t="s">
        <v>1502</v>
      </c>
      <c r="F797" s="1" t="s">
        <v>1502</v>
      </c>
      <c r="G797" s="8">
        <v>5</v>
      </c>
      <c r="H797" s="8"/>
      <c r="I797" s="115">
        <f>Table223[[#This Row],[Qty]]-Table223[[#This Row],[Issue Qty]]</f>
        <v>5</v>
      </c>
      <c r="J797" s="5">
        <v>95.97</v>
      </c>
      <c r="K797" s="5">
        <f t="shared" si="39"/>
        <v>479.85</v>
      </c>
      <c r="L797" s="82">
        <v>0</v>
      </c>
      <c r="M797" s="9">
        <f t="shared" si="40"/>
        <v>0</v>
      </c>
      <c r="N797" s="5">
        <v>1200</v>
      </c>
      <c r="O797" s="5">
        <v>0</v>
      </c>
      <c r="P797" s="5">
        <f t="shared" si="41"/>
        <v>1679.85</v>
      </c>
      <c r="Q797" s="1" t="s">
        <v>2887</v>
      </c>
      <c r="R797" s="1" t="s">
        <v>633</v>
      </c>
      <c r="S797" s="1" t="s">
        <v>1503</v>
      </c>
      <c r="T797" s="1">
        <v>116829160</v>
      </c>
      <c r="U797" s="1"/>
      <c r="V797" s="1"/>
      <c r="W797" s="21" t="s">
        <v>650</v>
      </c>
      <c r="X797" s="8"/>
      <c r="Y797" s="8">
        <v>1</v>
      </c>
      <c r="Z797" s="22" t="s">
        <v>1382</v>
      </c>
      <c r="AA797" s="1"/>
      <c r="AB797" s="29"/>
      <c r="AC797" s="1"/>
      <c r="AD797" s="27"/>
    </row>
    <row r="798" spans="1:30" ht="30" x14ac:dyDescent="0.25">
      <c r="A798" s="4"/>
      <c r="B798" s="4">
        <v>45940</v>
      </c>
      <c r="C798" s="1" t="s">
        <v>1730</v>
      </c>
      <c r="D798" s="4" t="s">
        <v>2600</v>
      </c>
      <c r="E798" s="180" t="s">
        <v>1504</v>
      </c>
      <c r="F798" s="1" t="s">
        <v>1504</v>
      </c>
      <c r="G798" s="8">
        <v>4</v>
      </c>
      <c r="H798" s="8">
        <v>4</v>
      </c>
      <c r="I798" s="115">
        <f>Table223[[#This Row],[Qty]]-Table223[[#This Row],[Issue Qty]]</f>
        <v>0</v>
      </c>
      <c r="J798" s="5">
        <v>393.75</v>
      </c>
      <c r="K798" s="5">
        <f t="shared" si="39"/>
        <v>1575</v>
      </c>
      <c r="L798" s="82">
        <v>0</v>
      </c>
      <c r="M798" s="9">
        <f t="shared" si="40"/>
        <v>0</v>
      </c>
      <c r="N798" s="5">
        <v>0</v>
      </c>
      <c r="O798" s="5">
        <v>0</v>
      </c>
      <c r="P798" s="5">
        <f t="shared" si="41"/>
        <v>1575</v>
      </c>
      <c r="Q798" s="1" t="s">
        <v>2887</v>
      </c>
      <c r="R798" s="1" t="s">
        <v>633</v>
      </c>
      <c r="S798" s="1" t="s">
        <v>1503</v>
      </c>
      <c r="T798" s="1">
        <v>116829160</v>
      </c>
      <c r="U798" s="1"/>
      <c r="V798" s="1"/>
      <c r="W798" s="21" t="s">
        <v>650</v>
      </c>
      <c r="X798" s="8"/>
      <c r="Y798" s="8">
        <v>1</v>
      </c>
      <c r="Z798" s="22" t="s">
        <v>1382</v>
      </c>
      <c r="AA798" s="1"/>
      <c r="AB798" s="29"/>
      <c r="AC798" s="1"/>
      <c r="AD798" s="27"/>
    </row>
    <row r="799" spans="1:30" x14ac:dyDescent="0.25">
      <c r="A799" s="4"/>
      <c r="B799" s="4">
        <v>45940</v>
      </c>
      <c r="C799" s="1" t="s">
        <v>54</v>
      </c>
      <c r="D799" s="4" t="s">
        <v>2601</v>
      </c>
      <c r="E799" s="1" t="s">
        <v>1505</v>
      </c>
      <c r="F799" s="1" t="s">
        <v>1505</v>
      </c>
      <c r="G799" s="8">
        <v>7</v>
      </c>
      <c r="H799" s="8">
        <v>7</v>
      </c>
      <c r="I799" s="115">
        <f>Table223[[#This Row],[Qty]]-Table223[[#This Row],[Issue Qty]]</f>
        <v>0</v>
      </c>
      <c r="J799" s="5">
        <v>167.29</v>
      </c>
      <c r="K799" s="5">
        <f t="shared" si="39"/>
        <v>1171.03</v>
      </c>
      <c r="L799" s="82">
        <v>0.18</v>
      </c>
      <c r="M799" s="9">
        <f t="shared" si="40"/>
        <v>210.78539999999998</v>
      </c>
      <c r="N799" s="5">
        <v>0</v>
      </c>
      <c r="O799" s="5">
        <v>0</v>
      </c>
      <c r="P799" s="5">
        <f t="shared" si="41"/>
        <v>1381.8154</v>
      </c>
      <c r="Q799" s="1" t="s">
        <v>2887</v>
      </c>
      <c r="R799" s="1" t="s">
        <v>633</v>
      </c>
      <c r="S799" s="1" t="s">
        <v>358</v>
      </c>
      <c r="T799" s="1" t="s">
        <v>2602</v>
      </c>
      <c r="U799" s="1"/>
      <c r="V799" s="1"/>
      <c r="W799" s="21" t="s">
        <v>3349</v>
      </c>
      <c r="X799" s="8"/>
      <c r="Y799" s="8">
        <v>7</v>
      </c>
      <c r="Z799" s="22" t="s">
        <v>3394</v>
      </c>
      <c r="AA799" s="1"/>
      <c r="AB799" s="29"/>
      <c r="AC799" s="1"/>
      <c r="AD799" s="27"/>
    </row>
    <row r="800" spans="1:30" s="24" customFormat="1" x14ac:dyDescent="0.25">
      <c r="A800" s="4"/>
      <c r="B800" s="4">
        <v>45940</v>
      </c>
      <c r="C800" s="1" t="s">
        <v>54</v>
      </c>
      <c r="D800" s="4" t="s">
        <v>2603</v>
      </c>
      <c r="E800" s="1" t="s">
        <v>1506</v>
      </c>
      <c r="F800" s="1" t="s">
        <v>1506</v>
      </c>
      <c r="G800" s="8">
        <v>1</v>
      </c>
      <c r="H800" s="8">
        <v>1</v>
      </c>
      <c r="I800" s="115">
        <f>Table223[[#This Row],[Qty]]-Table223[[#This Row],[Issue Qty]]</f>
        <v>0</v>
      </c>
      <c r="J800" s="5">
        <v>5882.72</v>
      </c>
      <c r="K800" s="5">
        <f t="shared" si="39"/>
        <v>5882.72</v>
      </c>
      <c r="L800" s="82">
        <v>0.18</v>
      </c>
      <c r="M800" s="9">
        <f t="shared" si="40"/>
        <v>1058.8896</v>
      </c>
      <c r="N800" s="5">
        <v>0</v>
      </c>
      <c r="O800" s="5">
        <v>0</v>
      </c>
      <c r="P800" s="5">
        <f t="shared" si="41"/>
        <v>6941.6095999999998</v>
      </c>
      <c r="Q800" s="1" t="s">
        <v>2887</v>
      </c>
      <c r="R800" s="1" t="s">
        <v>633</v>
      </c>
      <c r="S800" s="1" t="s">
        <v>358</v>
      </c>
      <c r="T800" s="1" t="s">
        <v>2602</v>
      </c>
      <c r="U800" s="1"/>
      <c r="V800" s="1"/>
      <c r="W800" s="21" t="s">
        <v>3349</v>
      </c>
      <c r="X800" s="8"/>
      <c r="Y800" s="8">
        <v>1</v>
      </c>
      <c r="Z800" s="22" t="s">
        <v>3352</v>
      </c>
      <c r="AA800" s="1"/>
      <c r="AB800" s="29"/>
      <c r="AC800" s="1"/>
      <c r="AD800" s="2"/>
    </row>
    <row r="801" spans="1:30" x14ac:dyDescent="0.25">
      <c r="A801" s="4"/>
      <c r="B801" s="4">
        <v>45940</v>
      </c>
      <c r="C801" s="1" t="s">
        <v>54</v>
      </c>
      <c r="D801" s="4" t="s">
        <v>2604</v>
      </c>
      <c r="E801" s="1" t="s">
        <v>1507</v>
      </c>
      <c r="F801" s="1" t="s">
        <v>1507</v>
      </c>
      <c r="G801" s="8">
        <v>1</v>
      </c>
      <c r="H801" s="8">
        <v>1</v>
      </c>
      <c r="I801" s="115">
        <f>Table223[[#This Row],[Qty]]-Table223[[#This Row],[Issue Qty]]</f>
        <v>0</v>
      </c>
      <c r="J801" s="5">
        <v>11206.37</v>
      </c>
      <c r="K801" s="5">
        <f t="shared" si="39"/>
        <v>11206.37</v>
      </c>
      <c r="L801" s="82">
        <v>0.18</v>
      </c>
      <c r="M801" s="9">
        <f t="shared" si="40"/>
        <v>2017.1466</v>
      </c>
      <c r="N801" s="5">
        <v>0</v>
      </c>
      <c r="O801" s="5">
        <v>0</v>
      </c>
      <c r="P801" s="5">
        <f t="shared" si="41"/>
        <v>13223.516600000001</v>
      </c>
      <c r="Q801" s="1" t="s">
        <v>2887</v>
      </c>
      <c r="R801" s="1" t="s">
        <v>633</v>
      </c>
      <c r="S801" s="1" t="s">
        <v>358</v>
      </c>
      <c r="T801" s="1" t="s">
        <v>2602</v>
      </c>
      <c r="U801" s="1"/>
      <c r="V801" s="1"/>
      <c r="W801" s="21" t="s">
        <v>3349</v>
      </c>
      <c r="X801" s="8"/>
      <c r="Y801" s="8">
        <v>1</v>
      </c>
      <c r="Z801" s="22" t="s">
        <v>3352</v>
      </c>
      <c r="AA801" s="1"/>
      <c r="AB801" s="29"/>
      <c r="AC801" s="1"/>
      <c r="AD801" s="27"/>
    </row>
    <row r="802" spans="1:30" x14ac:dyDescent="0.25">
      <c r="A802" s="4"/>
      <c r="B802" s="4">
        <v>45940</v>
      </c>
      <c r="C802" s="1" t="s">
        <v>54</v>
      </c>
      <c r="D802" s="4" t="s">
        <v>2605</v>
      </c>
      <c r="E802" s="1" t="s">
        <v>1508</v>
      </c>
      <c r="F802" s="1" t="s">
        <v>1508</v>
      </c>
      <c r="G802" s="8">
        <v>1</v>
      </c>
      <c r="H802" s="8">
        <v>1</v>
      </c>
      <c r="I802" s="115">
        <f>Table223[[#This Row],[Qty]]-Table223[[#This Row],[Issue Qty]]</f>
        <v>0</v>
      </c>
      <c r="J802" s="5">
        <v>238.36</v>
      </c>
      <c r="K802" s="5">
        <f t="shared" si="39"/>
        <v>238.36</v>
      </c>
      <c r="L802" s="82">
        <v>0.18</v>
      </c>
      <c r="M802" s="9">
        <f t="shared" si="40"/>
        <v>42.904800000000002</v>
      </c>
      <c r="N802" s="5">
        <v>0</v>
      </c>
      <c r="O802" s="5">
        <v>0</v>
      </c>
      <c r="P802" s="5">
        <f t="shared" si="41"/>
        <v>281.26480000000004</v>
      </c>
      <c r="Q802" s="1" t="s">
        <v>2887</v>
      </c>
      <c r="R802" s="1" t="s">
        <v>633</v>
      </c>
      <c r="S802" s="1" t="s">
        <v>358</v>
      </c>
      <c r="T802" s="1" t="s">
        <v>2602</v>
      </c>
      <c r="U802" s="1"/>
      <c r="V802" s="1"/>
      <c r="W802" s="21" t="s">
        <v>3349</v>
      </c>
      <c r="X802" s="8"/>
      <c r="Y802" s="8">
        <v>1</v>
      </c>
      <c r="Z802" s="22" t="s">
        <v>3352</v>
      </c>
      <c r="AA802" s="1"/>
      <c r="AB802" s="29"/>
      <c r="AC802" s="1"/>
      <c r="AD802" s="27"/>
    </row>
    <row r="803" spans="1:30" x14ac:dyDescent="0.25">
      <c r="A803" s="4"/>
      <c r="B803" s="4">
        <v>45940</v>
      </c>
      <c r="C803" s="1" t="s">
        <v>54</v>
      </c>
      <c r="D803" s="4" t="s">
        <v>2606</v>
      </c>
      <c r="E803" s="1" t="s">
        <v>1509</v>
      </c>
      <c r="F803" s="1" t="s">
        <v>1509</v>
      </c>
      <c r="G803" s="8">
        <v>2</v>
      </c>
      <c r="H803" s="8">
        <v>2</v>
      </c>
      <c r="I803" s="115">
        <f>Table223[[#This Row],[Qty]]-Table223[[#This Row],[Issue Qty]]</f>
        <v>0</v>
      </c>
      <c r="J803" s="5">
        <v>421.31</v>
      </c>
      <c r="K803" s="5">
        <f t="shared" si="39"/>
        <v>842.62</v>
      </c>
      <c r="L803" s="82">
        <v>0.18</v>
      </c>
      <c r="M803" s="9">
        <f t="shared" si="40"/>
        <v>151.67159999999998</v>
      </c>
      <c r="N803" s="5">
        <v>0</v>
      </c>
      <c r="O803" s="5">
        <v>0</v>
      </c>
      <c r="P803" s="5">
        <f t="shared" si="41"/>
        <v>994.29160000000002</v>
      </c>
      <c r="Q803" s="1" t="s">
        <v>2887</v>
      </c>
      <c r="R803" s="1" t="s">
        <v>633</v>
      </c>
      <c r="S803" s="1" t="s">
        <v>358</v>
      </c>
      <c r="T803" s="1" t="s">
        <v>2602</v>
      </c>
      <c r="U803" s="1"/>
      <c r="V803" s="1"/>
      <c r="W803" s="21" t="s">
        <v>3349</v>
      </c>
      <c r="X803" s="8"/>
      <c r="Y803" s="8">
        <v>2</v>
      </c>
      <c r="Z803" s="22" t="s">
        <v>3352</v>
      </c>
      <c r="AA803" s="1"/>
      <c r="AB803" s="29"/>
      <c r="AC803" s="1"/>
      <c r="AD803" s="27"/>
    </row>
    <row r="804" spans="1:30" s="24" customFormat="1" x14ac:dyDescent="0.25">
      <c r="A804" s="4"/>
      <c r="B804" s="4">
        <v>45940</v>
      </c>
      <c r="C804" s="1" t="s">
        <v>54</v>
      </c>
      <c r="D804" s="4" t="s">
        <v>2607</v>
      </c>
      <c r="E804" s="1" t="s">
        <v>1510</v>
      </c>
      <c r="F804" s="1" t="s">
        <v>1510</v>
      </c>
      <c r="G804" s="8">
        <v>4</v>
      </c>
      <c r="H804" s="8">
        <v>4</v>
      </c>
      <c r="I804" s="115">
        <f>Table223[[#This Row],[Qty]]-Table223[[#This Row],[Issue Qty]]</f>
        <v>0</v>
      </c>
      <c r="J804" s="5">
        <v>3000</v>
      </c>
      <c r="K804" s="5">
        <f t="shared" si="39"/>
        <v>12000</v>
      </c>
      <c r="L804" s="82">
        <v>0.18</v>
      </c>
      <c r="M804" s="9">
        <f t="shared" si="40"/>
        <v>2160</v>
      </c>
      <c r="N804" s="5">
        <v>0</v>
      </c>
      <c r="O804" s="5">
        <v>0</v>
      </c>
      <c r="P804" s="5">
        <f t="shared" si="41"/>
        <v>14160</v>
      </c>
      <c r="Q804" s="1" t="s">
        <v>2887</v>
      </c>
      <c r="R804" s="1" t="s">
        <v>633</v>
      </c>
      <c r="S804" s="1" t="s">
        <v>1511</v>
      </c>
      <c r="T804" s="1">
        <v>5660000093</v>
      </c>
      <c r="U804" s="1"/>
      <c r="V804" s="1"/>
      <c r="W804" s="21" t="s">
        <v>3349</v>
      </c>
      <c r="X804" s="8"/>
      <c r="Y804" s="8">
        <v>4</v>
      </c>
      <c r="Z804" s="22" t="s">
        <v>3357</v>
      </c>
      <c r="AA804" s="1"/>
      <c r="AB804" s="29"/>
      <c r="AC804" s="1"/>
      <c r="AD804" s="2"/>
    </row>
    <row r="805" spans="1:30" x14ac:dyDescent="0.25">
      <c r="A805" s="4"/>
      <c r="B805" s="4">
        <v>45940</v>
      </c>
      <c r="C805" s="1" t="s">
        <v>1683</v>
      </c>
      <c r="D805" s="4" t="s">
        <v>2608</v>
      </c>
      <c r="E805" s="1" t="s">
        <v>1512</v>
      </c>
      <c r="F805" s="1" t="s">
        <v>1512</v>
      </c>
      <c r="G805" s="8">
        <v>1</v>
      </c>
      <c r="H805" s="8">
        <v>1</v>
      </c>
      <c r="I805" s="115">
        <f>Table223[[#This Row],[Qty]]-Table223[[#This Row],[Issue Qty]]</f>
        <v>0</v>
      </c>
      <c r="J805" s="5">
        <v>27000</v>
      </c>
      <c r="K805" s="5">
        <f t="shared" si="39"/>
        <v>27000</v>
      </c>
      <c r="L805" s="82">
        <v>0.18</v>
      </c>
      <c r="M805" s="9">
        <f t="shared" si="40"/>
        <v>4860</v>
      </c>
      <c r="N805" s="5">
        <v>0</v>
      </c>
      <c r="O805" s="5">
        <v>0</v>
      </c>
      <c r="P805" s="5">
        <f t="shared" si="41"/>
        <v>31860</v>
      </c>
      <c r="Q805" s="1" t="s">
        <v>2887</v>
      </c>
      <c r="R805" s="1" t="s">
        <v>633</v>
      </c>
      <c r="S805" s="1" t="s">
        <v>896</v>
      </c>
      <c r="T805" s="1" t="s">
        <v>2609</v>
      </c>
      <c r="U805" s="1"/>
      <c r="V805" s="2"/>
      <c r="W805" s="21"/>
      <c r="X805" s="21"/>
      <c r="Y805" s="21"/>
      <c r="Z805" s="12"/>
      <c r="AA805" s="2"/>
      <c r="AB805" s="29"/>
      <c r="AC805" s="2"/>
      <c r="AD805" s="27"/>
    </row>
    <row r="806" spans="1:30" x14ac:dyDescent="0.25">
      <c r="A806" s="4"/>
      <c r="B806" s="4">
        <v>45940</v>
      </c>
      <c r="C806" s="1" t="s">
        <v>1693</v>
      </c>
      <c r="D806" s="4" t="s">
        <v>2610</v>
      </c>
      <c r="E806" s="1" t="s">
        <v>1513</v>
      </c>
      <c r="F806" s="1" t="s">
        <v>1513</v>
      </c>
      <c r="G806" s="8">
        <v>2</v>
      </c>
      <c r="H806" s="8">
        <v>2</v>
      </c>
      <c r="I806" s="115">
        <f>Table223[[#This Row],[Qty]]-Table223[[#This Row],[Issue Qty]]</f>
        <v>0</v>
      </c>
      <c r="J806" s="5">
        <v>17433.23</v>
      </c>
      <c r="K806" s="5">
        <f t="shared" si="39"/>
        <v>34866.46</v>
      </c>
      <c r="L806" s="82">
        <v>0.18</v>
      </c>
      <c r="M806" s="9">
        <f t="shared" si="40"/>
        <v>6275.9627999999993</v>
      </c>
      <c r="N806" s="5">
        <v>0</v>
      </c>
      <c r="O806" s="5">
        <v>-0.42</v>
      </c>
      <c r="P806" s="5">
        <f t="shared" si="41"/>
        <v>41142.002800000002</v>
      </c>
      <c r="Q806" s="1" t="s">
        <v>2887</v>
      </c>
      <c r="R806" s="1" t="s">
        <v>633</v>
      </c>
      <c r="S806" s="1" t="s">
        <v>893</v>
      </c>
      <c r="T806" s="1" t="s">
        <v>2611</v>
      </c>
      <c r="U806" s="1"/>
      <c r="V806" s="1"/>
      <c r="W806" s="21" t="s">
        <v>107</v>
      </c>
      <c r="X806" s="8"/>
      <c r="Y806" s="8">
        <v>2</v>
      </c>
      <c r="Z806" s="22" t="s">
        <v>1382</v>
      </c>
      <c r="AA806" s="1"/>
      <c r="AB806" s="29"/>
      <c r="AC806" s="1"/>
      <c r="AD806" s="27"/>
    </row>
    <row r="807" spans="1:30" s="24" customFormat="1" x14ac:dyDescent="0.25">
      <c r="A807" s="4"/>
      <c r="B807" s="4">
        <v>45940</v>
      </c>
      <c r="C807" s="1" t="s">
        <v>54</v>
      </c>
      <c r="D807" s="4" t="s">
        <v>2596</v>
      </c>
      <c r="E807" s="1" t="s">
        <v>1500</v>
      </c>
      <c r="F807" s="1" t="s">
        <v>1500</v>
      </c>
      <c r="G807" s="8">
        <v>1</v>
      </c>
      <c r="H807" s="8">
        <v>1</v>
      </c>
      <c r="I807" s="115">
        <f>Table223[[#This Row],[Qty]]-Table223[[#This Row],[Issue Qty]]</f>
        <v>0</v>
      </c>
      <c r="J807" s="5">
        <v>4850</v>
      </c>
      <c r="K807" s="5">
        <f t="shared" si="39"/>
        <v>4850</v>
      </c>
      <c r="L807" s="82">
        <v>0.18</v>
      </c>
      <c r="M807" s="9">
        <f t="shared" si="40"/>
        <v>873</v>
      </c>
      <c r="N807" s="5">
        <v>0</v>
      </c>
      <c r="O807" s="5">
        <v>0</v>
      </c>
      <c r="P807" s="5">
        <f t="shared" si="41"/>
        <v>5723</v>
      </c>
      <c r="Q807" s="1" t="s">
        <v>2887</v>
      </c>
      <c r="R807" s="1" t="s">
        <v>633</v>
      </c>
      <c r="S807" s="1" t="s">
        <v>764</v>
      </c>
      <c r="T807" s="1" t="s">
        <v>2597</v>
      </c>
      <c r="U807" s="1"/>
      <c r="V807" s="1"/>
      <c r="W807" s="21" t="s">
        <v>3349</v>
      </c>
      <c r="X807" s="8"/>
      <c r="Y807" s="8">
        <v>1</v>
      </c>
      <c r="Z807" s="22" t="s">
        <v>3352</v>
      </c>
      <c r="AA807" s="1"/>
      <c r="AB807" s="29"/>
      <c r="AC807" s="1"/>
      <c r="AD807" s="2"/>
    </row>
    <row r="808" spans="1:30" s="24" customFormat="1" x14ac:dyDescent="0.25">
      <c r="A808" s="4"/>
      <c r="B808" s="4">
        <v>45940</v>
      </c>
      <c r="C808" s="1" t="s">
        <v>54</v>
      </c>
      <c r="D808" s="4" t="s">
        <v>2598</v>
      </c>
      <c r="E808" s="1" t="s">
        <v>1501</v>
      </c>
      <c r="F808" s="1" t="s">
        <v>1501</v>
      </c>
      <c r="G808" s="8">
        <v>1</v>
      </c>
      <c r="H808" s="8">
        <v>1</v>
      </c>
      <c r="I808" s="115">
        <f>Table223[[#This Row],[Qty]]-Table223[[#This Row],[Issue Qty]]</f>
        <v>0</v>
      </c>
      <c r="J808" s="5">
        <v>4700</v>
      </c>
      <c r="K808" s="5">
        <f t="shared" si="39"/>
        <v>4700</v>
      </c>
      <c r="L808" s="82">
        <v>0.18</v>
      </c>
      <c r="M808" s="9">
        <f t="shared" si="40"/>
        <v>846</v>
      </c>
      <c r="N808" s="5">
        <v>0</v>
      </c>
      <c r="O808" s="5">
        <v>0</v>
      </c>
      <c r="P808" s="5">
        <f t="shared" si="41"/>
        <v>5546</v>
      </c>
      <c r="Q808" s="1" t="s">
        <v>2887</v>
      </c>
      <c r="R808" s="1" t="s">
        <v>633</v>
      </c>
      <c r="S808" s="1" t="s">
        <v>764</v>
      </c>
      <c r="T808" s="1" t="s">
        <v>2597</v>
      </c>
      <c r="U808" s="1"/>
      <c r="V808" s="1"/>
      <c r="W808" s="21" t="s">
        <v>3349</v>
      </c>
      <c r="X808" s="8"/>
      <c r="Y808" s="8">
        <v>1</v>
      </c>
      <c r="Z808" s="22" t="s">
        <v>3352</v>
      </c>
      <c r="AA808" s="1"/>
      <c r="AB808" s="29"/>
      <c r="AC808" s="1"/>
      <c r="AD808" s="2"/>
    </row>
    <row r="809" spans="1:30" x14ac:dyDescent="0.25">
      <c r="A809" s="4"/>
      <c r="B809" s="4">
        <v>45941</v>
      </c>
      <c r="C809" s="1" t="s">
        <v>54</v>
      </c>
      <c r="D809" s="4" t="s">
        <v>2601</v>
      </c>
      <c r="E809" s="1" t="s">
        <v>1505</v>
      </c>
      <c r="F809" s="1" t="s">
        <v>1505</v>
      </c>
      <c r="G809" s="8">
        <v>1</v>
      </c>
      <c r="H809" s="8">
        <v>1</v>
      </c>
      <c r="I809" s="115">
        <f>Table223[[#This Row],[Qty]]-Table223[[#This Row],[Issue Qty]]</f>
        <v>0</v>
      </c>
      <c r="J809" s="5">
        <v>154</v>
      </c>
      <c r="K809" s="5">
        <f t="shared" si="39"/>
        <v>154</v>
      </c>
      <c r="L809" s="82">
        <v>0.18</v>
      </c>
      <c r="M809" s="9">
        <f t="shared" si="40"/>
        <v>27.72</v>
      </c>
      <c r="N809" s="5">
        <v>0</v>
      </c>
      <c r="O809" s="5">
        <v>0</v>
      </c>
      <c r="P809" s="5">
        <f t="shared" si="41"/>
        <v>181.72</v>
      </c>
      <c r="Q809" s="1" t="s">
        <v>2887</v>
      </c>
      <c r="R809" s="1" t="s">
        <v>633</v>
      </c>
      <c r="S809" s="1" t="s">
        <v>358</v>
      </c>
      <c r="T809" s="1" t="s">
        <v>2602</v>
      </c>
      <c r="U809" s="1"/>
      <c r="V809" s="1"/>
      <c r="W809" s="21" t="s">
        <v>3349</v>
      </c>
      <c r="X809" s="8"/>
      <c r="Y809" s="8">
        <v>1</v>
      </c>
      <c r="Z809" s="22" t="s">
        <v>3394</v>
      </c>
      <c r="AA809" s="1"/>
      <c r="AB809" s="29"/>
      <c r="AC809" s="1"/>
      <c r="AD809" s="27"/>
    </row>
    <row r="810" spans="1:30" s="24" customFormat="1" x14ac:dyDescent="0.25">
      <c r="A810" s="4"/>
      <c r="B810" s="4">
        <v>45941</v>
      </c>
      <c r="C810" s="1" t="s">
        <v>54</v>
      </c>
      <c r="D810" s="4" t="s">
        <v>2605</v>
      </c>
      <c r="E810" s="1" t="s">
        <v>1508</v>
      </c>
      <c r="F810" s="1" t="s">
        <v>1508</v>
      </c>
      <c r="G810" s="8">
        <v>1</v>
      </c>
      <c r="H810" s="8">
        <v>1</v>
      </c>
      <c r="I810" s="115">
        <f>Table223[[#This Row],[Qty]]-Table223[[#This Row],[Issue Qty]]</f>
        <v>0</v>
      </c>
      <c r="J810" s="5">
        <v>105.5</v>
      </c>
      <c r="K810" s="5">
        <f t="shared" si="39"/>
        <v>105.5</v>
      </c>
      <c r="L810" s="82">
        <v>0.18</v>
      </c>
      <c r="M810" s="9">
        <f t="shared" si="40"/>
        <v>18.989999999999998</v>
      </c>
      <c r="N810" s="5">
        <v>0</v>
      </c>
      <c r="O810" s="5">
        <v>0</v>
      </c>
      <c r="P810" s="5">
        <f t="shared" si="41"/>
        <v>124.49</v>
      </c>
      <c r="Q810" s="1" t="s">
        <v>2887</v>
      </c>
      <c r="R810" s="1" t="s">
        <v>633</v>
      </c>
      <c r="S810" s="1" t="s">
        <v>358</v>
      </c>
      <c r="T810" s="1" t="s">
        <v>2602</v>
      </c>
      <c r="U810" s="1"/>
      <c r="V810" s="1"/>
      <c r="W810" s="21" t="s">
        <v>3349</v>
      </c>
      <c r="X810" s="8"/>
      <c r="Y810" s="8">
        <v>1</v>
      </c>
      <c r="Z810" s="22" t="s">
        <v>3352</v>
      </c>
      <c r="AA810" s="1"/>
      <c r="AB810" s="29"/>
      <c r="AC810" s="1"/>
      <c r="AD810" s="2"/>
    </row>
    <row r="811" spans="1:30" x14ac:dyDescent="0.25">
      <c r="A811" s="4"/>
      <c r="B811" s="4">
        <v>45941</v>
      </c>
      <c r="C811" s="1" t="s">
        <v>54</v>
      </c>
      <c r="D811" s="4" t="s">
        <v>2606</v>
      </c>
      <c r="E811" s="1" t="s">
        <v>1509</v>
      </c>
      <c r="F811" s="1" t="s">
        <v>1509</v>
      </c>
      <c r="G811" s="8">
        <v>2</v>
      </c>
      <c r="H811" s="8">
        <v>2</v>
      </c>
      <c r="I811" s="115">
        <f>Table223[[#This Row],[Qty]]-Table223[[#This Row],[Issue Qty]]</f>
        <v>0</v>
      </c>
      <c r="J811" s="5">
        <v>265.7</v>
      </c>
      <c r="K811" s="5">
        <f t="shared" si="39"/>
        <v>531.4</v>
      </c>
      <c r="L811" s="82">
        <v>0.18</v>
      </c>
      <c r="M811" s="9">
        <f t="shared" si="40"/>
        <v>95.651999999999987</v>
      </c>
      <c r="N811" s="5">
        <v>0</v>
      </c>
      <c r="O811" s="5">
        <v>0</v>
      </c>
      <c r="P811" s="5">
        <f t="shared" si="41"/>
        <v>627.05199999999991</v>
      </c>
      <c r="Q811" s="1" t="s">
        <v>2887</v>
      </c>
      <c r="R811" s="1" t="s">
        <v>633</v>
      </c>
      <c r="S811" s="1" t="s">
        <v>358</v>
      </c>
      <c r="T811" s="1" t="s">
        <v>2602</v>
      </c>
      <c r="U811" s="1"/>
      <c r="V811" s="1"/>
      <c r="W811" s="21" t="s">
        <v>3349</v>
      </c>
      <c r="X811" s="8"/>
      <c r="Y811" s="8">
        <v>2</v>
      </c>
      <c r="Z811" s="22" t="s">
        <v>3352</v>
      </c>
      <c r="AA811" s="1"/>
      <c r="AB811" s="29"/>
      <c r="AC811" s="1"/>
      <c r="AD811" s="27"/>
    </row>
    <row r="812" spans="1:30" x14ac:dyDescent="0.25">
      <c r="A812" s="4"/>
      <c r="B812" s="4">
        <v>45943</v>
      </c>
      <c r="C812" s="1" t="s">
        <v>1730</v>
      </c>
      <c r="D812" s="4" t="s">
        <v>2166</v>
      </c>
      <c r="E812" s="169" t="s">
        <v>957</v>
      </c>
      <c r="F812" s="1" t="s">
        <v>957</v>
      </c>
      <c r="G812" s="8">
        <v>2</v>
      </c>
      <c r="H812" s="8">
        <v>2</v>
      </c>
      <c r="I812" s="115">
        <f>Table223[[#This Row],[Qty]]-Table223[[#This Row],[Issue Qty]]</f>
        <v>0</v>
      </c>
      <c r="J812" s="5">
        <v>283</v>
      </c>
      <c r="K812" s="5">
        <f t="shared" si="39"/>
        <v>566</v>
      </c>
      <c r="L812" s="82">
        <v>0.05</v>
      </c>
      <c r="M812" s="9">
        <f t="shared" si="40"/>
        <v>28.3</v>
      </c>
      <c r="N812" s="5">
        <v>0</v>
      </c>
      <c r="O812" s="5">
        <v>0.2</v>
      </c>
      <c r="P812" s="5">
        <f t="shared" si="41"/>
        <v>594.5</v>
      </c>
      <c r="Q812" s="1" t="s">
        <v>606</v>
      </c>
      <c r="R812" s="1" t="s">
        <v>606</v>
      </c>
      <c r="S812" s="1" t="s">
        <v>444</v>
      </c>
      <c r="T812" s="1" t="s">
        <v>2612</v>
      </c>
      <c r="U812" s="1"/>
      <c r="V812" s="27"/>
      <c r="W812" s="21" t="s">
        <v>445</v>
      </c>
      <c r="X812" s="28"/>
      <c r="Y812" s="21">
        <v>2</v>
      </c>
      <c r="Z812" s="12" t="s">
        <v>1514</v>
      </c>
      <c r="AA812" s="27"/>
      <c r="AB812" s="29"/>
      <c r="AC812" s="27"/>
      <c r="AD812" s="27"/>
    </row>
    <row r="813" spans="1:30" s="24" customFormat="1" ht="45" x14ac:dyDescent="0.25">
      <c r="A813" s="4"/>
      <c r="B813" s="4">
        <v>45943</v>
      </c>
      <c r="C813" s="1" t="s">
        <v>1695</v>
      </c>
      <c r="D813" s="4" t="s">
        <v>2613</v>
      </c>
      <c r="E813" s="1" t="s">
        <v>1515</v>
      </c>
      <c r="F813" s="1" t="s">
        <v>1515</v>
      </c>
      <c r="G813" s="8">
        <v>1</v>
      </c>
      <c r="H813" s="8"/>
      <c r="I813" s="115">
        <f>Table223[[#This Row],[Qty]]-Table223[[#This Row],[Issue Qty]]</f>
        <v>1</v>
      </c>
      <c r="J813" s="5">
        <v>49350</v>
      </c>
      <c r="K813" s="5">
        <f t="shared" si="39"/>
        <v>49350</v>
      </c>
      <c r="L813" s="82">
        <v>0.05</v>
      </c>
      <c r="M813" s="9">
        <f t="shared" si="40"/>
        <v>2467.5</v>
      </c>
      <c r="N813" s="5">
        <v>0</v>
      </c>
      <c r="O813" s="5">
        <v>0</v>
      </c>
      <c r="P813" s="5">
        <f t="shared" si="41"/>
        <v>51817.5</v>
      </c>
      <c r="Q813" s="1" t="s">
        <v>606</v>
      </c>
      <c r="R813" s="1" t="s">
        <v>606</v>
      </c>
      <c r="S813" s="1" t="s">
        <v>444</v>
      </c>
      <c r="T813" s="1" t="s">
        <v>2612</v>
      </c>
      <c r="U813" s="1"/>
      <c r="V813" s="1"/>
      <c r="W813" s="21"/>
      <c r="X813" s="8"/>
      <c r="Y813" s="8">
        <v>1</v>
      </c>
      <c r="Z813" s="22" t="s">
        <v>2896</v>
      </c>
      <c r="AA813" s="1"/>
      <c r="AB813" s="29"/>
      <c r="AC813" s="1"/>
      <c r="AD813" s="2"/>
    </row>
    <row r="814" spans="1:30" s="24" customFormat="1" x14ac:dyDescent="0.25">
      <c r="A814" s="4"/>
      <c r="B814" s="4">
        <v>45945</v>
      </c>
      <c r="C814" s="1" t="s">
        <v>1730</v>
      </c>
      <c r="D814" s="4" t="s">
        <v>2581</v>
      </c>
      <c r="E814" s="1" t="s">
        <v>1486</v>
      </c>
      <c r="F814" s="1" t="s">
        <v>1486</v>
      </c>
      <c r="G814" s="8">
        <v>1</v>
      </c>
      <c r="H814" s="8">
        <v>1</v>
      </c>
      <c r="I814" s="115">
        <f>Table223[[#This Row],[Qty]]-Table223[[#This Row],[Issue Qty]]</f>
        <v>0</v>
      </c>
      <c r="J814" s="5">
        <v>9600</v>
      </c>
      <c r="K814" s="5">
        <f t="shared" si="39"/>
        <v>9600</v>
      </c>
      <c r="L814" s="82">
        <v>0.18</v>
      </c>
      <c r="M814" s="9">
        <f t="shared" si="40"/>
        <v>1728</v>
      </c>
      <c r="N814" s="5">
        <f>5900/2</f>
        <v>2950</v>
      </c>
      <c r="O814" s="5"/>
      <c r="P814" s="5">
        <f t="shared" si="41"/>
        <v>14278</v>
      </c>
      <c r="Q814" s="1" t="s">
        <v>2887</v>
      </c>
      <c r="R814" s="1" t="s">
        <v>633</v>
      </c>
      <c r="S814" s="1" t="s">
        <v>1210</v>
      </c>
      <c r="T814" s="1" t="s">
        <v>2614</v>
      </c>
      <c r="U814" s="1"/>
      <c r="V814" s="1"/>
      <c r="W814" s="21" t="s">
        <v>3179</v>
      </c>
      <c r="X814" s="8"/>
      <c r="Y814" s="8">
        <v>1</v>
      </c>
      <c r="Z814" s="22" t="s">
        <v>1382</v>
      </c>
      <c r="AA814" s="1"/>
      <c r="AB814" s="29"/>
      <c r="AC814" s="1"/>
      <c r="AD814" s="2"/>
    </row>
    <row r="815" spans="1:30" x14ac:dyDescent="0.25">
      <c r="A815" s="4"/>
      <c r="B815" s="4">
        <v>45945</v>
      </c>
      <c r="C815" s="1" t="s">
        <v>1730</v>
      </c>
      <c r="D815" s="4" t="s">
        <v>2583</v>
      </c>
      <c r="E815" s="1" t="s">
        <v>1487</v>
      </c>
      <c r="F815" s="1" t="s">
        <v>1487</v>
      </c>
      <c r="G815" s="8">
        <v>1</v>
      </c>
      <c r="H815" s="8">
        <v>1</v>
      </c>
      <c r="I815" s="115">
        <f>Table223[[#This Row],[Qty]]-Table223[[#This Row],[Issue Qty]]</f>
        <v>0</v>
      </c>
      <c r="J815" s="5">
        <v>3700</v>
      </c>
      <c r="K815" s="5">
        <f t="shared" si="39"/>
        <v>3700</v>
      </c>
      <c r="L815" s="82">
        <v>0.18</v>
      </c>
      <c r="M815" s="9">
        <f t="shared" si="40"/>
        <v>666</v>
      </c>
      <c r="N815" s="5">
        <v>2950</v>
      </c>
      <c r="O815" s="5"/>
      <c r="P815" s="5">
        <f t="shared" si="41"/>
        <v>7316</v>
      </c>
      <c r="Q815" s="1" t="s">
        <v>2887</v>
      </c>
      <c r="R815" s="1" t="s">
        <v>633</v>
      </c>
      <c r="S815" s="1" t="s">
        <v>1210</v>
      </c>
      <c r="T815" s="1" t="s">
        <v>2614</v>
      </c>
      <c r="U815" s="1"/>
      <c r="V815" s="1"/>
      <c r="W815" s="21" t="s">
        <v>3179</v>
      </c>
      <c r="X815" s="8"/>
      <c r="Y815" s="8">
        <v>1</v>
      </c>
      <c r="Z815" s="22" t="s">
        <v>1382</v>
      </c>
      <c r="AA815" s="1"/>
      <c r="AB815" s="29"/>
      <c r="AC815" s="1"/>
      <c r="AD815" s="27"/>
    </row>
    <row r="816" spans="1:30" x14ac:dyDescent="0.25">
      <c r="A816" s="4"/>
      <c r="B816" s="4">
        <v>45945</v>
      </c>
      <c r="C816" s="1" t="s">
        <v>1730</v>
      </c>
      <c r="D816" s="4" t="s">
        <v>2615</v>
      </c>
      <c r="E816" s="1" t="s">
        <v>1516</v>
      </c>
      <c r="F816" s="1" t="s">
        <v>1516</v>
      </c>
      <c r="G816" s="8">
        <v>1</v>
      </c>
      <c r="H816" s="8">
        <v>1</v>
      </c>
      <c r="I816" s="115">
        <f>Table223[[#This Row],[Qty]]-Table223[[#This Row],[Issue Qty]]</f>
        <v>0</v>
      </c>
      <c r="J816" s="5">
        <v>3559</v>
      </c>
      <c r="K816" s="5">
        <f t="shared" si="39"/>
        <v>3559</v>
      </c>
      <c r="L816" s="82">
        <v>0.18</v>
      </c>
      <c r="M816" s="9">
        <f t="shared" si="40"/>
        <v>640.62</v>
      </c>
      <c r="N816" s="5"/>
      <c r="O816" s="5"/>
      <c r="P816" s="5">
        <f t="shared" si="41"/>
        <v>4199.62</v>
      </c>
      <c r="Q816" s="1" t="s">
        <v>2887</v>
      </c>
      <c r="R816" s="1" t="s">
        <v>633</v>
      </c>
      <c r="S816" s="1" t="s">
        <v>1517</v>
      </c>
      <c r="T816" s="1">
        <v>197</v>
      </c>
      <c r="U816" s="1"/>
      <c r="V816" s="1"/>
      <c r="W816" s="21" t="s">
        <v>3179</v>
      </c>
      <c r="X816" s="8"/>
      <c r="Y816" s="8">
        <v>1</v>
      </c>
      <c r="Z816" s="22" t="s">
        <v>1382</v>
      </c>
      <c r="AA816" s="1"/>
      <c r="AB816" s="29"/>
      <c r="AC816" s="1"/>
      <c r="AD816" s="27"/>
    </row>
    <row r="817" spans="1:30" s="24" customFormat="1" x14ac:dyDescent="0.25">
      <c r="A817" s="4"/>
      <c r="B817" s="4">
        <v>45946</v>
      </c>
      <c r="C817" s="1" t="s">
        <v>54</v>
      </c>
      <c r="D817" s="1" t="s">
        <v>2596</v>
      </c>
      <c r="E817" s="1" t="s">
        <v>1500</v>
      </c>
      <c r="F817" s="1" t="s">
        <v>1500</v>
      </c>
      <c r="G817" s="8">
        <v>3</v>
      </c>
      <c r="H817" s="8">
        <v>3</v>
      </c>
      <c r="I817" s="115">
        <f>Table223[[#This Row],[Qty]]-Table223[[#This Row],[Issue Qty]]</f>
        <v>0</v>
      </c>
      <c r="J817" s="5">
        <v>4850</v>
      </c>
      <c r="K817" s="5">
        <f t="shared" ref="K817:K880" si="42">G817*J817</f>
        <v>14550</v>
      </c>
      <c r="L817" s="82">
        <v>0.18</v>
      </c>
      <c r="M817" s="9">
        <f t="shared" ref="M817:M880" si="43">K817*L817</f>
        <v>2619</v>
      </c>
      <c r="N817" s="5"/>
      <c r="O817" s="5"/>
      <c r="P817" s="5">
        <f t="shared" ref="P817:P880" si="44">K817+M817+N817+O817</f>
        <v>17169</v>
      </c>
      <c r="Q817" s="1" t="s">
        <v>2887</v>
      </c>
      <c r="R817" s="1" t="s">
        <v>633</v>
      </c>
      <c r="S817" s="1" t="s">
        <v>764</v>
      </c>
      <c r="T817" s="1" t="s">
        <v>2597</v>
      </c>
      <c r="U817" s="1"/>
      <c r="V817" s="1"/>
      <c r="W817" s="21" t="s">
        <v>3349</v>
      </c>
      <c r="X817" s="8"/>
      <c r="Y817" s="8">
        <v>3</v>
      </c>
      <c r="Z817" s="22" t="s">
        <v>3397</v>
      </c>
      <c r="AA817" s="1"/>
      <c r="AB817" s="29"/>
      <c r="AC817" s="1"/>
      <c r="AD817" s="2"/>
    </row>
    <row r="818" spans="1:30" s="24" customFormat="1" x14ac:dyDescent="0.25">
      <c r="A818" s="4"/>
      <c r="B818" s="4">
        <v>45946</v>
      </c>
      <c r="C818" s="1" t="s">
        <v>54</v>
      </c>
      <c r="D818" s="1" t="s">
        <v>2598</v>
      </c>
      <c r="E818" s="1" t="s">
        <v>1501</v>
      </c>
      <c r="F818" s="1" t="s">
        <v>1501</v>
      </c>
      <c r="G818" s="8">
        <v>3</v>
      </c>
      <c r="H818" s="8">
        <v>3</v>
      </c>
      <c r="I818" s="115">
        <f>Table223[[#This Row],[Qty]]-Table223[[#This Row],[Issue Qty]]</f>
        <v>0</v>
      </c>
      <c r="J818" s="5">
        <v>4700</v>
      </c>
      <c r="K818" s="5">
        <f t="shared" si="42"/>
        <v>14100</v>
      </c>
      <c r="L818" s="82">
        <v>0.18</v>
      </c>
      <c r="M818" s="9">
        <f t="shared" si="43"/>
        <v>2538</v>
      </c>
      <c r="N818" s="5"/>
      <c r="O818" s="5"/>
      <c r="P818" s="5">
        <f t="shared" si="44"/>
        <v>16638</v>
      </c>
      <c r="Q818" s="1" t="s">
        <v>2887</v>
      </c>
      <c r="R818" s="1" t="s">
        <v>633</v>
      </c>
      <c r="S818" s="1" t="s">
        <v>764</v>
      </c>
      <c r="T818" s="1" t="s">
        <v>2597</v>
      </c>
      <c r="U818" s="1"/>
      <c r="V818" s="1"/>
      <c r="W818" s="21" t="s">
        <v>3349</v>
      </c>
      <c r="X818" s="8"/>
      <c r="Y818" s="8">
        <v>3</v>
      </c>
      <c r="Z818" s="22" t="s">
        <v>3352</v>
      </c>
      <c r="AA818" s="1"/>
      <c r="AB818" s="29"/>
      <c r="AC818" s="1"/>
      <c r="AD818" s="2"/>
    </row>
    <row r="819" spans="1:30" x14ac:dyDescent="0.25">
      <c r="A819" s="4"/>
      <c r="B819" s="4">
        <v>45946</v>
      </c>
      <c r="C819" s="1" t="s">
        <v>54</v>
      </c>
      <c r="D819" s="4" t="s">
        <v>2616</v>
      </c>
      <c r="E819" s="1" t="s">
        <v>1518</v>
      </c>
      <c r="F819" s="1" t="s">
        <v>1518</v>
      </c>
      <c r="G819" s="8">
        <v>2</v>
      </c>
      <c r="H819" s="8">
        <v>2</v>
      </c>
      <c r="I819" s="115">
        <f>Table223[[#This Row],[Qty]]-Table223[[#This Row],[Issue Qty]]</f>
        <v>0</v>
      </c>
      <c r="J819" s="5">
        <v>4900</v>
      </c>
      <c r="K819" s="5">
        <f t="shared" si="42"/>
        <v>9800</v>
      </c>
      <c r="L819" s="82">
        <v>0.18</v>
      </c>
      <c r="M819" s="9">
        <f t="shared" si="43"/>
        <v>1764</v>
      </c>
      <c r="N819" s="5"/>
      <c r="O819" s="5"/>
      <c r="P819" s="5">
        <f t="shared" si="44"/>
        <v>11564</v>
      </c>
      <c r="Q819" s="1" t="s">
        <v>2887</v>
      </c>
      <c r="R819" s="1" t="s">
        <v>633</v>
      </c>
      <c r="S819" s="1" t="s">
        <v>1519</v>
      </c>
      <c r="T819" s="1">
        <v>170</v>
      </c>
      <c r="U819" s="1"/>
      <c r="V819" s="1"/>
      <c r="W819" s="21" t="s">
        <v>3349</v>
      </c>
      <c r="X819" s="8"/>
      <c r="Y819" s="8">
        <v>2</v>
      </c>
      <c r="Z819" s="22" t="s">
        <v>3352</v>
      </c>
      <c r="AA819" s="1"/>
      <c r="AB819" s="29"/>
      <c r="AC819" s="1"/>
      <c r="AD819" s="27"/>
    </row>
    <row r="820" spans="1:30" s="24" customFormat="1" x14ac:dyDescent="0.25">
      <c r="A820" s="4"/>
      <c r="B820" s="4">
        <v>45946</v>
      </c>
      <c r="C820" s="1" t="s">
        <v>54</v>
      </c>
      <c r="D820" s="4" t="s">
        <v>2617</v>
      </c>
      <c r="E820" s="1" t="s">
        <v>1520</v>
      </c>
      <c r="F820" s="1" t="s">
        <v>1520</v>
      </c>
      <c r="G820" s="8">
        <v>4</v>
      </c>
      <c r="H820" s="8"/>
      <c r="I820" s="115">
        <f>Table223[[#This Row],[Qty]]-Table223[[#This Row],[Issue Qty]]</f>
        <v>4</v>
      </c>
      <c r="J820" s="5">
        <v>1141.9000000000001</v>
      </c>
      <c r="K820" s="5">
        <f t="shared" si="42"/>
        <v>4567.6000000000004</v>
      </c>
      <c r="L820" s="82">
        <v>0.05</v>
      </c>
      <c r="M820" s="9">
        <f t="shared" si="43"/>
        <v>228.38000000000002</v>
      </c>
      <c r="N820" s="5">
        <v>78.84</v>
      </c>
      <c r="O820" s="5"/>
      <c r="P820" s="5">
        <f t="shared" si="44"/>
        <v>4874.8200000000006</v>
      </c>
      <c r="Q820" s="1" t="s">
        <v>536</v>
      </c>
      <c r="R820" s="1" t="s">
        <v>536</v>
      </c>
      <c r="S820" s="1" t="s">
        <v>788</v>
      </c>
      <c r="T820" s="1"/>
      <c r="U820" s="1"/>
      <c r="V820" s="1"/>
      <c r="W820" s="21" t="s">
        <v>3199</v>
      </c>
      <c r="X820" s="8"/>
      <c r="Y820" s="8">
        <v>4</v>
      </c>
      <c r="Z820" s="22" t="s">
        <v>536</v>
      </c>
      <c r="AA820" s="1"/>
      <c r="AB820" s="29"/>
      <c r="AC820" s="1"/>
      <c r="AD820" s="2"/>
    </row>
    <row r="821" spans="1:30" x14ac:dyDescent="0.25">
      <c r="A821" s="4"/>
      <c r="B821" s="4">
        <v>45946</v>
      </c>
      <c r="C821" s="1" t="s">
        <v>1730</v>
      </c>
      <c r="D821" s="4" t="s">
        <v>2618</v>
      </c>
      <c r="E821" s="1" t="s">
        <v>1521</v>
      </c>
      <c r="F821" s="1" t="s">
        <v>1522</v>
      </c>
      <c r="G821" s="8">
        <v>4</v>
      </c>
      <c r="H821" s="8">
        <v>4</v>
      </c>
      <c r="I821" s="115">
        <f>Table223[[#This Row],[Qty]]-Table223[[#This Row],[Issue Qty]]</f>
        <v>0</v>
      </c>
      <c r="J821" s="5">
        <f>2240/4</f>
        <v>560</v>
      </c>
      <c r="K821" s="5">
        <f t="shared" si="42"/>
        <v>2240</v>
      </c>
      <c r="L821" s="82">
        <v>0.18</v>
      </c>
      <c r="M821" s="9">
        <f t="shared" si="43"/>
        <v>403.2</v>
      </c>
      <c r="N821" s="5"/>
      <c r="O821" s="5"/>
      <c r="P821" s="5">
        <f t="shared" si="44"/>
        <v>2643.2</v>
      </c>
      <c r="Q821" s="1" t="s">
        <v>2887</v>
      </c>
      <c r="R821" s="1" t="s">
        <v>633</v>
      </c>
      <c r="S821" s="1" t="s">
        <v>1519</v>
      </c>
      <c r="T821" s="1">
        <v>170</v>
      </c>
      <c r="U821" s="1"/>
      <c r="V821" s="1"/>
      <c r="W821" s="21" t="s">
        <v>1358</v>
      </c>
      <c r="X821" s="8"/>
      <c r="Y821" s="8">
        <v>4</v>
      </c>
      <c r="Z821" s="22" t="s">
        <v>1382</v>
      </c>
      <c r="AA821" s="1"/>
      <c r="AB821" s="29"/>
      <c r="AC821" s="1"/>
      <c r="AD821" s="27"/>
    </row>
    <row r="822" spans="1:30" x14ac:dyDescent="0.25">
      <c r="A822" s="4"/>
      <c r="B822" s="4">
        <v>45946</v>
      </c>
      <c r="C822" s="1" t="s">
        <v>1730</v>
      </c>
      <c r="D822" s="4" t="s">
        <v>2619</v>
      </c>
      <c r="E822" s="1" t="s">
        <v>1523</v>
      </c>
      <c r="F822" s="1" t="s">
        <v>1524</v>
      </c>
      <c r="G822" s="8">
        <v>20</v>
      </c>
      <c r="H822" s="8">
        <v>20</v>
      </c>
      <c r="I822" s="115">
        <f>Table223[[#This Row],[Qty]]-Table223[[#This Row],[Issue Qty]]</f>
        <v>0</v>
      </c>
      <c r="J822" s="5">
        <f>8200/20</f>
        <v>410</v>
      </c>
      <c r="K822" s="5">
        <f t="shared" si="42"/>
        <v>8200</v>
      </c>
      <c r="L822" s="82">
        <v>0.18</v>
      </c>
      <c r="M822" s="9">
        <f t="shared" si="43"/>
        <v>1476</v>
      </c>
      <c r="N822" s="5"/>
      <c r="O822" s="5"/>
      <c r="P822" s="5">
        <f t="shared" si="44"/>
        <v>9676</v>
      </c>
      <c r="Q822" s="1" t="s">
        <v>2887</v>
      </c>
      <c r="R822" s="1" t="s">
        <v>633</v>
      </c>
      <c r="S822" s="1" t="s">
        <v>1519</v>
      </c>
      <c r="T822" s="1">
        <v>170</v>
      </c>
      <c r="U822" s="1"/>
      <c r="V822" s="1"/>
      <c r="W822" s="21" t="s">
        <v>1358</v>
      </c>
      <c r="X822" s="8"/>
      <c r="Y822" s="8">
        <v>20</v>
      </c>
      <c r="Z822" s="22" t="s">
        <v>1382</v>
      </c>
      <c r="AA822" s="1"/>
      <c r="AB822" s="29"/>
      <c r="AC822" s="1"/>
      <c r="AD822" s="27"/>
    </row>
    <row r="823" spans="1:30" x14ac:dyDescent="0.25">
      <c r="A823" s="4"/>
      <c r="B823" s="4">
        <v>45947</v>
      </c>
      <c r="C823" s="1" t="s">
        <v>54</v>
      </c>
      <c r="D823" s="4" t="s">
        <v>2603</v>
      </c>
      <c r="E823" s="1" t="s">
        <v>1506</v>
      </c>
      <c r="F823" s="1" t="s">
        <v>1506</v>
      </c>
      <c r="G823" s="8">
        <v>1</v>
      </c>
      <c r="H823" s="8">
        <v>1</v>
      </c>
      <c r="I823" s="115">
        <f>Table223[[#This Row],[Qty]]-Table223[[#This Row],[Issue Qty]]</f>
        <v>0</v>
      </c>
      <c r="J823" s="5">
        <v>3332.5</v>
      </c>
      <c r="K823" s="5">
        <f t="shared" si="42"/>
        <v>3332.5</v>
      </c>
      <c r="L823" s="82">
        <v>0.18</v>
      </c>
      <c r="M823" s="9">
        <f t="shared" si="43"/>
        <v>599.85</v>
      </c>
      <c r="N823" s="5"/>
      <c r="O823" s="5"/>
      <c r="P823" s="5">
        <f t="shared" si="44"/>
        <v>3932.35</v>
      </c>
      <c r="Q823" s="1" t="s">
        <v>2887</v>
      </c>
      <c r="R823" s="1" t="s">
        <v>633</v>
      </c>
      <c r="S823" s="1" t="s">
        <v>358</v>
      </c>
      <c r="T823" s="1" t="s">
        <v>2620</v>
      </c>
      <c r="U823" s="1"/>
      <c r="V823" s="1"/>
      <c r="W823" s="21" t="s">
        <v>3349</v>
      </c>
      <c r="X823" s="8"/>
      <c r="Y823" s="8">
        <v>1</v>
      </c>
      <c r="Z823" s="22" t="s">
        <v>3352</v>
      </c>
      <c r="AA823" s="1"/>
      <c r="AB823" s="29"/>
      <c r="AC823" s="1"/>
      <c r="AD823" s="27"/>
    </row>
    <row r="824" spans="1:30" x14ac:dyDescent="0.25">
      <c r="A824" s="4"/>
      <c r="B824" s="4">
        <v>45947</v>
      </c>
      <c r="C824" s="1" t="s">
        <v>54</v>
      </c>
      <c r="D824" s="4" t="s">
        <v>2604</v>
      </c>
      <c r="E824" s="1" t="s">
        <v>1507</v>
      </c>
      <c r="F824" s="1" t="s">
        <v>1507</v>
      </c>
      <c r="G824" s="8">
        <v>1</v>
      </c>
      <c r="H824" s="8">
        <v>1</v>
      </c>
      <c r="I824" s="115">
        <f>Table223[[#This Row],[Qty]]-Table223[[#This Row],[Issue Qty]]</f>
        <v>0</v>
      </c>
      <c r="J824" s="5">
        <v>6398.4</v>
      </c>
      <c r="K824" s="5">
        <f t="shared" si="42"/>
        <v>6398.4</v>
      </c>
      <c r="L824" s="82">
        <v>0.18</v>
      </c>
      <c r="M824" s="9">
        <f t="shared" si="43"/>
        <v>1151.712</v>
      </c>
      <c r="N824" s="5"/>
      <c r="O824" s="5"/>
      <c r="P824" s="5">
        <f t="shared" si="44"/>
        <v>7550.1119999999992</v>
      </c>
      <c r="Q824" s="1" t="s">
        <v>2887</v>
      </c>
      <c r="R824" s="1" t="s">
        <v>633</v>
      </c>
      <c r="S824" s="1" t="s">
        <v>358</v>
      </c>
      <c r="T824" s="1" t="s">
        <v>2620</v>
      </c>
      <c r="U824" s="1"/>
      <c r="V824" s="1"/>
      <c r="W824" s="21" t="s">
        <v>3349</v>
      </c>
      <c r="X824" s="8"/>
      <c r="Y824" s="8">
        <v>1</v>
      </c>
      <c r="Z824" s="22" t="s">
        <v>3352</v>
      </c>
      <c r="AA824" s="1"/>
      <c r="AB824" s="29"/>
      <c r="AC824" s="1"/>
      <c r="AD824" s="27"/>
    </row>
    <row r="825" spans="1:30" x14ac:dyDescent="0.25">
      <c r="A825" s="4"/>
      <c r="B825" s="4">
        <v>45947</v>
      </c>
      <c r="C825" s="1" t="s">
        <v>1683</v>
      </c>
      <c r="D825" s="4" t="s">
        <v>2608</v>
      </c>
      <c r="E825" s="1" t="s">
        <v>1512</v>
      </c>
      <c r="F825" s="1" t="s">
        <v>1512</v>
      </c>
      <c r="G825" s="8">
        <v>6</v>
      </c>
      <c r="H825" s="8">
        <v>0</v>
      </c>
      <c r="I825" s="115">
        <f>Table223[[#This Row],[Qty]]-Table223[[#This Row],[Issue Qty]]</f>
        <v>6</v>
      </c>
      <c r="J825" s="5">
        <v>27000</v>
      </c>
      <c r="K825" s="5">
        <f t="shared" si="42"/>
        <v>162000</v>
      </c>
      <c r="L825" s="82">
        <v>0.18</v>
      </c>
      <c r="M825" s="9">
        <f t="shared" si="43"/>
        <v>29160</v>
      </c>
      <c r="N825" s="5"/>
      <c r="O825" s="5"/>
      <c r="P825" s="5">
        <f t="shared" si="44"/>
        <v>191160</v>
      </c>
      <c r="Q825" s="1" t="s">
        <v>2887</v>
      </c>
      <c r="R825" s="1" t="s">
        <v>633</v>
      </c>
      <c r="S825" s="1" t="s">
        <v>896</v>
      </c>
      <c r="T825" s="1" t="s">
        <v>2621</v>
      </c>
      <c r="U825" s="1"/>
      <c r="V825" s="2"/>
      <c r="W825" s="21" t="s">
        <v>3367</v>
      </c>
      <c r="X825" s="21"/>
      <c r="Y825" s="21">
        <v>5</v>
      </c>
      <c r="Z825" s="12" t="s">
        <v>3368</v>
      </c>
      <c r="AA825" s="2"/>
      <c r="AB825" s="29"/>
      <c r="AC825" s="2"/>
      <c r="AD825" s="27"/>
    </row>
    <row r="826" spans="1:30" s="24" customFormat="1" x14ac:dyDescent="0.25">
      <c r="A826" s="4"/>
      <c r="B826" s="4">
        <v>45947</v>
      </c>
      <c r="C826" s="1" t="s">
        <v>1730</v>
      </c>
      <c r="D826" s="4" t="s">
        <v>2622</v>
      </c>
      <c r="E826" s="1" t="s">
        <v>1525</v>
      </c>
      <c r="F826" s="1" t="s">
        <v>1525</v>
      </c>
      <c r="G826" s="8">
        <v>1</v>
      </c>
      <c r="H826" s="8">
        <v>1</v>
      </c>
      <c r="I826" s="115">
        <f>Table223[[#This Row],[Qty]]-Table223[[#This Row],[Issue Qty]]</f>
        <v>0</v>
      </c>
      <c r="J826" s="5">
        <v>8500</v>
      </c>
      <c r="K826" s="5">
        <f t="shared" si="42"/>
        <v>8500</v>
      </c>
      <c r="L826" s="82">
        <v>0.18</v>
      </c>
      <c r="M826" s="9">
        <f t="shared" si="43"/>
        <v>1530</v>
      </c>
      <c r="N826" s="5"/>
      <c r="O826" s="5"/>
      <c r="P826" s="5">
        <f t="shared" si="44"/>
        <v>10030</v>
      </c>
      <c r="Q826" s="1" t="s">
        <v>2887</v>
      </c>
      <c r="R826" s="1" t="s">
        <v>633</v>
      </c>
      <c r="S826" s="1" t="s">
        <v>1526</v>
      </c>
      <c r="T826" s="1">
        <v>3399</v>
      </c>
      <c r="U826" s="1"/>
      <c r="V826" s="1"/>
      <c r="W826" s="21" t="s">
        <v>3179</v>
      </c>
      <c r="X826" s="8"/>
      <c r="Y826" s="8">
        <v>1</v>
      </c>
      <c r="Z826" s="22" t="s">
        <v>1469</v>
      </c>
      <c r="AA826" s="1"/>
      <c r="AB826" s="29"/>
      <c r="AC826" s="1"/>
      <c r="AD826" s="2"/>
    </row>
    <row r="827" spans="1:30" s="24" customFormat="1" x14ac:dyDescent="0.25">
      <c r="A827" s="4"/>
      <c r="B827" s="4">
        <v>45947</v>
      </c>
      <c r="C827" s="1" t="s">
        <v>1730</v>
      </c>
      <c r="D827" s="4" t="s">
        <v>2623</v>
      </c>
      <c r="E827" s="1" t="s">
        <v>1527</v>
      </c>
      <c r="F827" s="1" t="s">
        <v>1527</v>
      </c>
      <c r="G827" s="8">
        <v>1</v>
      </c>
      <c r="H827" s="8">
        <v>1</v>
      </c>
      <c r="I827" s="115">
        <f>Table223[[#This Row],[Qty]]-Table223[[#This Row],[Issue Qty]]</f>
        <v>0</v>
      </c>
      <c r="J827" s="5">
        <v>8500</v>
      </c>
      <c r="K827" s="5">
        <f t="shared" si="42"/>
        <v>8500</v>
      </c>
      <c r="L827" s="82">
        <v>0.18</v>
      </c>
      <c r="M827" s="9">
        <f t="shared" si="43"/>
        <v>1530</v>
      </c>
      <c r="N827" s="5"/>
      <c r="O827" s="5"/>
      <c r="P827" s="5">
        <f t="shared" si="44"/>
        <v>10030</v>
      </c>
      <c r="Q827" s="1" t="s">
        <v>2887</v>
      </c>
      <c r="R827" s="1" t="s">
        <v>633</v>
      </c>
      <c r="S827" s="1" t="s">
        <v>1526</v>
      </c>
      <c r="T827" s="1">
        <v>3399</v>
      </c>
      <c r="U827" s="1"/>
      <c r="V827" s="1"/>
      <c r="W827" s="21" t="s">
        <v>3179</v>
      </c>
      <c r="X827" s="8"/>
      <c r="Y827" s="8">
        <v>1</v>
      </c>
      <c r="Z827" s="22" t="s">
        <v>1469</v>
      </c>
      <c r="AA827" s="1"/>
      <c r="AB827" s="29"/>
      <c r="AC827" s="1"/>
      <c r="AD827" s="2"/>
    </row>
    <row r="828" spans="1:30" s="24" customFormat="1" x14ac:dyDescent="0.25">
      <c r="A828" s="4"/>
      <c r="B828" s="4">
        <v>45955</v>
      </c>
      <c r="C828" s="1" t="s">
        <v>54</v>
      </c>
      <c r="D828" s="4" t="s">
        <v>2559</v>
      </c>
      <c r="E828" s="1" t="s">
        <v>3015</v>
      </c>
      <c r="F828" s="1" t="s">
        <v>1528</v>
      </c>
      <c r="G828" s="8">
        <v>4</v>
      </c>
      <c r="H828" s="8">
        <v>4</v>
      </c>
      <c r="I828" s="115">
        <f>Table223[[#This Row],[Qty]]-Table223[[#This Row],[Issue Qty]]</f>
        <v>0</v>
      </c>
      <c r="J828" s="5">
        <v>150</v>
      </c>
      <c r="K828" s="5">
        <f t="shared" si="42"/>
        <v>600</v>
      </c>
      <c r="L828" s="82">
        <v>0.18</v>
      </c>
      <c r="M828" s="9">
        <f t="shared" si="43"/>
        <v>108</v>
      </c>
      <c r="N828" s="5"/>
      <c r="O828" s="5"/>
      <c r="P828" s="5">
        <f t="shared" si="44"/>
        <v>708</v>
      </c>
      <c r="Q828" s="1" t="s">
        <v>2887</v>
      </c>
      <c r="R828" s="1" t="s">
        <v>633</v>
      </c>
      <c r="S828" s="1" t="s">
        <v>764</v>
      </c>
      <c r="T828" s="1" t="s">
        <v>2624</v>
      </c>
      <c r="U828" s="1"/>
      <c r="V828" s="1"/>
      <c r="W828" s="21" t="s">
        <v>3349</v>
      </c>
      <c r="X828" s="8"/>
      <c r="Y828" s="8">
        <v>4</v>
      </c>
      <c r="Z828" s="22" t="s">
        <v>1529</v>
      </c>
      <c r="AA828" s="1"/>
      <c r="AB828" s="29"/>
      <c r="AC828" s="1" t="s">
        <v>1637</v>
      </c>
      <c r="AD828" s="2"/>
    </row>
    <row r="829" spans="1:30" x14ac:dyDescent="0.25">
      <c r="A829" s="4"/>
      <c r="B829" s="4">
        <v>45955</v>
      </c>
      <c r="C829" s="1" t="s">
        <v>54</v>
      </c>
      <c r="D829" s="4" t="s">
        <v>2559</v>
      </c>
      <c r="E829" s="153" t="s">
        <v>3015</v>
      </c>
      <c r="F829" s="1" t="s">
        <v>1530</v>
      </c>
      <c r="G829" s="8">
        <v>4</v>
      </c>
      <c r="H829" s="8">
        <v>4</v>
      </c>
      <c r="I829" s="115">
        <f>Table223[[#This Row],[Qty]]-Table223[[#This Row],[Issue Qty]]</f>
        <v>0</v>
      </c>
      <c r="J829" s="5">
        <v>150</v>
      </c>
      <c r="K829" s="5">
        <f t="shared" si="42"/>
        <v>600</v>
      </c>
      <c r="L829" s="82">
        <v>0.18</v>
      </c>
      <c r="M829" s="9">
        <f t="shared" si="43"/>
        <v>108</v>
      </c>
      <c r="N829" s="5"/>
      <c r="O829" s="5"/>
      <c r="P829" s="5">
        <f t="shared" si="44"/>
        <v>708</v>
      </c>
      <c r="Q829" s="1" t="s">
        <v>2887</v>
      </c>
      <c r="R829" s="1" t="s">
        <v>633</v>
      </c>
      <c r="S829" s="1" t="s">
        <v>764</v>
      </c>
      <c r="T829" s="1" t="s">
        <v>2624</v>
      </c>
      <c r="U829" s="1"/>
      <c r="V829" s="1"/>
      <c r="W829" s="21" t="s">
        <v>3353</v>
      </c>
      <c r="X829" s="8"/>
      <c r="Y829" s="8">
        <v>4</v>
      </c>
      <c r="Z829" s="22" t="s">
        <v>3348</v>
      </c>
      <c r="AA829" s="1"/>
      <c r="AB829" s="29"/>
      <c r="AC829" s="1" t="s">
        <v>1637</v>
      </c>
      <c r="AD829" s="27"/>
    </row>
    <row r="830" spans="1:30" s="24" customFormat="1" x14ac:dyDescent="0.25">
      <c r="A830" s="4"/>
      <c r="B830" s="4">
        <v>45955</v>
      </c>
      <c r="C830" s="1" t="s">
        <v>54</v>
      </c>
      <c r="D830" s="4" t="s">
        <v>2572</v>
      </c>
      <c r="E830" s="39" t="s">
        <v>1480</v>
      </c>
      <c r="F830" s="1" t="s">
        <v>1480</v>
      </c>
      <c r="G830" s="8">
        <v>1</v>
      </c>
      <c r="H830" s="8">
        <v>1</v>
      </c>
      <c r="I830" s="115">
        <f>Table223[[#This Row],[Qty]]-Table223[[#This Row],[Issue Qty]]</f>
        <v>0</v>
      </c>
      <c r="J830" s="5">
        <v>730</v>
      </c>
      <c r="K830" s="5">
        <f t="shared" si="42"/>
        <v>730</v>
      </c>
      <c r="L830" s="82">
        <v>0.18</v>
      </c>
      <c r="M830" s="9">
        <f t="shared" si="43"/>
        <v>131.4</v>
      </c>
      <c r="N830" s="5"/>
      <c r="O830" s="5"/>
      <c r="P830" s="5">
        <f t="shared" si="44"/>
        <v>861.4</v>
      </c>
      <c r="Q830" s="1" t="s">
        <v>2887</v>
      </c>
      <c r="R830" s="1" t="s">
        <v>633</v>
      </c>
      <c r="S830" s="1" t="s">
        <v>764</v>
      </c>
      <c r="T830" s="1" t="s">
        <v>2625</v>
      </c>
      <c r="U830" s="1"/>
      <c r="V830" s="1"/>
      <c r="W830" s="21" t="s">
        <v>3349</v>
      </c>
      <c r="X830" s="8"/>
      <c r="Y830" s="8">
        <v>1</v>
      </c>
      <c r="Z830" s="22" t="s">
        <v>481</v>
      </c>
      <c r="AA830" s="1"/>
      <c r="AB830" s="29"/>
      <c r="AC830" s="1"/>
      <c r="AD830" s="2"/>
    </row>
    <row r="831" spans="1:30" s="24" customFormat="1" x14ac:dyDescent="0.25">
      <c r="A831" s="4"/>
      <c r="B831" s="4">
        <v>45955</v>
      </c>
      <c r="C831" s="1" t="s">
        <v>54</v>
      </c>
      <c r="D831" s="4" t="s">
        <v>2601</v>
      </c>
      <c r="E831" s="1" t="s">
        <v>1505</v>
      </c>
      <c r="F831" s="1" t="s">
        <v>1505</v>
      </c>
      <c r="G831" s="8">
        <v>4</v>
      </c>
      <c r="H831" s="8">
        <v>4</v>
      </c>
      <c r="I831" s="115">
        <f>Table223[[#This Row],[Qty]]-Table223[[#This Row],[Issue Qty]]</f>
        <v>0</v>
      </c>
      <c r="J831" s="5">
        <v>100</v>
      </c>
      <c r="K831" s="5">
        <f t="shared" si="42"/>
        <v>400</v>
      </c>
      <c r="L831" s="82">
        <v>0.18</v>
      </c>
      <c r="M831" s="9">
        <f t="shared" si="43"/>
        <v>72</v>
      </c>
      <c r="N831" s="5"/>
      <c r="O831" s="5"/>
      <c r="P831" s="5">
        <f t="shared" si="44"/>
        <v>472</v>
      </c>
      <c r="Q831" s="1" t="s">
        <v>2887</v>
      </c>
      <c r="R831" s="1" t="s">
        <v>633</v>
      </c>
      <c r="S831" s="1" t="s">
        <v>358</v>
      </c>
      <c r="T831" s="1" t="s">
        <v>2626</v>
      </c>
      <c r="U831" s="1"/>
      <c r="V831" s="1"/>
      <c r="W831" s="21" t="s">
        <v>3349</v>
      </c>
      <c r="X831" s="8"/>
      <c r="Y831" s="8">
        <v>4</v>
      </c>
      <c r="Z831" s="22" t="s">
        <v>3394</v>
      </c>
      <c r="AA831" s="1"/>
      <c r="AB831" s="29"/>
      <c r="AC831" s="1"/>
      <c r="AD831" s="2"/>
    </row>
    <row r="832" spans="1:30" x14ac:dyDescent="0.25">
      <c r="A832" s="4"/>
      <c r="B832" s="4">
        <v>45955</v>
      </c>
      <c r="C832" s="1" t="s">
        <v>54</v>
      </c>
      <c r="D832" s="4" t="s">
        <v>2603</v>
      </c>
      <c r="E832" s="1" t="s">
        <v>1506</v>
      </c>
      <c r="F832" s="1" t="s">
        <v>1506</v>
      </c>
      <c r="G832" s="8">
        <v>1</v>
      </c>
      <c r="H832" s="8">
        <v>1</v>
      </c>
      <c r="I832" s="115">
        <f>Table223[[#This Row],[Qty]]-Table223[[#This Row],[Issue Qty]]</f>
        <v>0</v>
      </c>
      <c r="J832" s="5">
        <v>3423</v>
      </c>
      <c r="K832" s="5">
        <f t="shared" si="42"/>
        <v>3423</v>
      </c>
      <c r="L832" s="82">
        <v>0.18</v>
      </c>
      <c r="M832" s="9">
        <f t="shared" si="43"/>
        <v>616.14</v>
      </c>
      <c r="N832" s="5"/>
      <c r="O832" s="5"/>
      <c r="P832" s="5">
        <f t="shared" si="44"/>
        <v>4039.14</v>
      </c>
      <c r="Q832" s="1" t="s">
        <v>2887</v>
      </c>
      <c r="R832" s="1" t="s">
        <v>633</v>
      </c>
      <c r="S832" s="1" t="s">
        <v>358</v>
      </c>
      <c r="T832" s="1" t="s">
        <v>2626</v>
      </c>
      <c r="U832" s="1"/>
      <c r="V832" s="1"/>
      <c r="W832" s="21" t="s">
        <v>3349</v>
      </c>
      <c r="X832" s="8"/>
      <c r="Y832" s="8">
        <v>1</v>
      </c>
      <c r="Z832" s="22" t="s">
        <v>3352</v>
      </c>
      <c r="AA832" s="1"/>
      <c r="AB832" s="29"/>
      <c r="AC832" s="1"/>
      <c r="AD832" s="27"/>
    </row>
    <row r="833" spans="1:30" s="24" customFormat="1" x14ac:dyDescent="0.25">
      <c r="A833" s="4"/>
      <c r="B833" s="4">
        <v>45955</v>
      </c>
      <c r="C833" s="1" t="s">
        <v>54</v>
      </c>
      <c r="D833" s="4" t="s">
        <v>2604</v>
      </c>
      <c r="E833" s="1" t="s">
        <v>1507</v>
      </c>
      <c r="F833" s="1" t="s">
        <v>1507</v>
      </c>
      <c r="G833" s="8">
        <v>1</v>
      </c>
      <c r="H833" s="8">
        <v>1</v>
      </c>
      <c r="I833" s="115">
        <f>Table223[[#This Row],[Qty]]-Table223[[#This Row],[Issue Qty]]</f>
        <v>0</v>
      </c>
      <c r="J833" s="5">
        <v>5518.8</v>
      </c>
      <c r="K833" s="5">
        <f t="shared" si="42"/>
        <v>5518.8</v>
      </c>
      <c r="L833" s="82">
        <v>0.18</v>
      </c>
      <c r="M833" s="9">
        <f t="shared" si="43"/>
        <v>993.38400000000001</v>
      </c>
      <c r="N833" s="5"/>
      <c r="O833" s="5"/>
      <c r="P833" s="5">
        <f t="shared" si="44"/>
        <v>6512.1840000000002</v>
      </c>
      <c r="Q833" s="1" t="s">
        <v>2887</v>
      </c>
      <c r="R833" s="1" t="s">
        <v>633</v>
      </c>
      <c r="S833" s="1" t="s">
        <v>358</v>
      </c>
      <c r="T833" s="1" t="s">
        <v>2626</v>
      </c>
      <c r="U833" s="1"/>
      <c r="V833" s="1"/>
      <c r="W833" s="21" t="s">
        <v>3349</v>
      </c>
      <c r="X833" s="8"/>
      <c r="Y833" s="8">
        <v>1</v>
      </c>
      <c r="Z833" s="22" t="s">
        <v>3352</v>
      </c>
      <c r="AA833" s="1"/>
      <c r="AB833" s="29"/>
      <c r="AC833" s="1"/>
      <c r="AD833" s="2"/>
    </row>
    <row r="834" spans="1:30" s="24" customFormat="1" x14ac:dyDescent="0.25">
      <c r="A834" s="4"/>
      <c r="B834" s="4">
        <v>45955</v>
      </c>
      <c r="C834" s="1" t="s">
        <v>54</v>
      </c>
      <c r="D834" s="4" t="s">
        <v>2605</v>
      </c>
      <c r="E834" s="1" t="s">
        <v>1508</v>
      </c>
      <c r="F834" s="1" t="s">
        <v>1508</v>
      </c>
      <c r="G834" s="8">
        <v>2</v>
      </c>
      <c r="H834" s="8">
        <v>2</v>
      </c>
      <c r="I834" s="115">
        <f>Table223[[#This Row],[Qty]]-Table223[[#This Row],[Issue Qty]]</f>
        <v>0</v>
      </c>
      <c r="J834" s="5">
        <v>144</v>
      </c>
      <c r="K834" s="5">
        <f t="shared" si="42"/>
        <v>288</v>
      </c>
      <c r="L834" s="82">
        <v>0.18</v>
      </c>
      <c r="M834" s="9">
        <f t="shared" si="43"/>
        <v>51.839999999999996</v>
      </c>
      <c r="N834" s="5"/>
      <c r="O834" s="5"/>
      <c r="P834" s="5">
        <f t="shared" si="44"/>
        <v>339.84</v>
      </c>
      <c r="Q834" s="1" t="s">
        <v>2887</v>
      </c>
      <c r="R834" s="1" t="s">
        <v>633</v>
      </c>
      <c r="S834" s="1" t="s">
        <v>358</v>
      </c>
      <c r="T834" s="1" t="s">
        <v>2626</v>
      </c>
      <c r="U834" s="1"/>
      <c r="V834" s="1"/>
      <c r="W834" s="21" t="s">
        <v>3349</v>
      </c>
      <c r="X834" s="8"/>
      <c r="Y834" s="8">
        <v>2</v>
      </c>
      <c r="Z834" s="22" t="s">
        <v>3352</v>
      </c>
      <c r="AA834" s="1"/>
      <c r="AB834" s="29"/>
      <c r="AC834" s="1"/>
      <c r="AD834" s="2"/>
    </row>
    <row r="835" spans="1:30" s="24" customFormat="1" x14ac:dyDescent="0.25">
      <c r="A835" s="4"/>
      <c r="B835" s="4">
        <v>45955</v>
      </c>
      <c r="C835" s="1" t="s">
        <v>54</v>
      </c>
      <c r="D835" s="4" t="s">
        <v>2606</v>
      </c>
      <c r="E835" s="1" t="s">
        <v>1509</v>
      </c>
      <c r="F835" s="1" t="s">
        <v>1509</v>
      </c>
      <c r="G835" s="8">
        <v>2</v>
      </c>
      <c r="H835" s="8">
        <v>2</v>
      </c>
      <c r="I835" s="115">
        <f>Table223[[#This Row],[Qty]]-Table223[[#This Row],[Issue Qty]]</f>
        <v>0</v>
      </c>
      <c r="J835" s="5">
        <v>260</v>
      </c>
      <c r="K835" s="5">
        <f t="shared" si="42"/>
        <v>520</v>
      </c>
      <c r="L835" s="82">
        <v>0.18</v>
      </c>
      <c r="M835" s="9">
        <f t="shared" si="43"/>
        <v>93.6</v>
      </c>
      <c r="N835" s="5"/>
      <c r="O835" s="5"/>
      <c r="P835" s="5">
        <f t="shared" si="44"/>
        <v>613.6</v>
      </c>
      <c r="Q835" s="1" t="s">
        <v>2887</v>
      </c>
      <c r="R835" s="1" t="s">
        <v>633</v>
      </c>
      <c r="S835" s="1" t="s">
        <v>358</v>
      </c>
      <c r="T835" s="1" t="s">
        <v>2626</v>
      </c>
      <c r="U835" s="1"/>
      <c r="V835" s="1"/>
      <c r="W835" s="21" t="s">
        <v>3349</v>
      </c>
      <c r="X835" s="8"/>
      <c r="Y835" s="8">
        <v>2</v>
      </c>
      <c r="Z835" s="22" t="s">
        <v>3352</v>
      </c>
      <c r="AA835" s="1"/>
      <c r="AB835" s="29"/>
      <c r="AC835" s="1"/>
      <c r="AD835" s="2"/>
    </row>
    <row r="836" spans="1:30" s="24" customFormat="1" x14ac:dyDescent="0.25">
      <c r="A836" s="4"/>
      <c r="B836" s="4">
        <v>45955</v>
      </c>
      <c r="C836" s="1" t="s">
        <v>54</v>
      </c>
      <c r="D836" s="4" t="s">
        <v>2596</v>
      </c>
      <c r="E836" s="153" t="s">
        <v>1500</v>
      </c>
      <c r="F836" s="1" t="s">
        <v>1500</v>
      </c>
      <c r="G836" s="8">
        <v>4</v>
      </c>
      <c r="H836" s="8">
        <v>4</v>
      </c>
      <c r="I836" s="115">
        <f>Table223[[#This Row],[Qty]]-Table223[[#This Row],[Issue Qty]]</f>
        <v>0</v>
      </c>
      <c r="J836" s="5">
        <v>4400</v>
      </c>
      <c r="K836" s="5">
        <f t="shared" si="42"/>
        <v>17600</v>
      </c>
      <c r="L836" s="82">
        <v>0.18</v>
      </c>
      <c r="M836" s="9">
        <f t="shared" si="43"/>
        <v>3168</v>
      </c>
      <c r="N836" s="5"/>
      <c r="O836" s="5"/>
      <c r="P836" s="5">
        <f t="shared" si="44"/>
        <v>20768</v>
      </c>
      <c r="Q836" s="1" t="s">
        <v>2887</v>
      </c>
      <c r="R836" s="1" t="s">
        <v>633</v>
      </c>
      <c r="S836" s="1" t="s">
        <v>764</v>
      </c>
      <c r="T836" s="1" t="s">
        <v>2627</v>
      </c>
      <c r="U836" s="1"/>
      <c r="V836" s="1"/>
      <c r="W836" s="21" t="s">
        <v>268</v>
      </c>
      <c r="X836" s="8"/>
      <c r="Y836" s="8">
        <v>4</v>
      </c>
      <c r="Z836" s="22" t="s">
        <v>3348</v>
      </c>
      <c r="AA836" s="1"/>
      <c r="AB836" s="29"/>
      <c r="AC836" s="1"/>
      <c r="AD836" s="2"/>
    </row>
    <row r="837" spans="1:30" s="24" customFormat="1" x14ac:dyDescent="0.25">
      <c r="A837" s="4"/>
      <c r="B837" s="4">
        <v>45955</v>
      </c>
      <c r="C837" s="1" t="s">
        <v>54</v>
      </c>
      <c r="D837" s="4" t="s">
        <v>2598</v>
      </c>
      <c r="E837" s="1" t="s">
        <v>1501</v>
      </c>
      <c r="F837" s="1" t="s">
        <v>1501</v>
      </c>
      <c r="G837" s="8">
        <v>4</v>
      </c>
      <c r="H837" s="8">
        <v>4</v>
      </c>
      <c r="I837" s="115">
        <f>Table223[[#This Row],[Qty]]-Table223[[#This Row],[Issue Qty]]</f>
        <v>0</v>
      </c>
      <c r="J837" s="5">
        <v>4250</v>
      </c>
      <c r="K837" s="5">
        <f t="shared" si="42"/>
        <v>17000</v>
      </c>
      <c r="L837" s="82">
        <v>0.18</v>
      </c>
      <c r="M837" s="9">
        <f t="shared" si="43"/>
        <v>3060</v>
      </c>
      <c r="N837" s="5"/>
      <c r="O837" s="5"/>
      <c r="P837" s="5">
        <f t="shared" si="44"/>
        <v>20060</v>
      </c>
      <c r="Q837" s="1" t="s">
        <v>2887</v>
      </c>
      <c r="R837" s="1" t="s">
        <v>633</v>
      </c>
      <c r="S837" s="1" t="s">
        <v>764</v>
      </c>
      <c r="T837" s="1" t="s">
        <v>2627</v>
      </c>
      <c r="U837" s="1"/>
      <c r="V837" s="1"/>
      <c r="W837" s="21" t="s">
        <v>3349</v>
      </c>
      <c r="X837" s="8"/>
      <c r="Y837" s="8">
        <v>4</v>
      </c>
      <c r="Z837" s="22" t="s">
        <v>3352</v>
      </c>
      <c r="AA837" s="1"/>
      <c r="AB837" s="29"/>
      <c r="AC837" s="1"/>
      <c r="AD837" s="2"/>
    </row>
    <row r="838" spans="1:30" s="24" customFormat="1" x14ac:dyDescent="0.25">
      <c r="A838" s="4"/>
      <c r="B838" s="4">
        <v>45955</v>
      </c>
      <c r="C838" s="1" t="s">
        <v>54</v>
      </c>
      <c r="D838" s="4" t="s">
        <v>2616</v>
      </c>
      <c r="E838" s="1" t="s">
        <v>1518</v>
      </c>
      <c r="F838" s="1" t="s">
        <v>1518</v>
      </c>
      <c r="G838" s="8">
        <v>2</v>
      </c>
      <c r="H838" s="8">
        <v>2</v>
      </c>
      <c r="I838" s="115">
        <f>Table223[[#This Row],[Qty]]-Table223[[#This Row],[Issue Qty]]</f>
        <v>0</v>
      </c>
      <c r="J838" s="5">
        <v>4500</v>
      </c>
      <c r="K838" s="5">
        <f t="shared" si="42"/>
        <v>9000</v>
      </c>
      <c r="L838" s="82">
        <v>0.18</v>
      </c>
      <c r="M838" s="9">
        <f t="shared" si="43"/>
        <v>1620</v>
      </c>
      <c r="N838" s="5"/>
      <c r="O838" s="5"/>
      <c r="P838" s="5">
        <f t="shared" si="44"/>
        <v>10620</v>
      </c>
      <c r="Q838" s="1" t="s">
        <v>2887</v>
      </c>
      <c r="R838" s="1" t="s">
        <v>633</v>
      </c>
      <c r="S838" s="1" t="s">
        <v>764</v>
      </c>
      <c r="T838" s="1" t="s">
        <v>2627</v>
      </c>
      <c r="U838" s="1"/>
      <c r="V838" s="1"/>
      <c r="W838" s="21" t="s">
        <v>3349</v>
      </c>
      <c r="X838" s="8"/>
      <c r="Y838" s="8">
        <v>2</v>
      </c>
      <c r="Z838" s="22" t="s">
        <v>3352</v>
      </c>
      <c r="AA838" s="1"/>
      <c r="AB838" s="29"/>
      <c r="AC838" s="1"/>
      <c r="AD838" s="2"/>
    </row>
    <row r="839" spans="1:30" s="24" customFormat="1" x14ac:dyDescent="0.25">
      <c r="A839" s="4"/>
      <c r="B839" s="4">
        <v>45955</v>
      </c>
      <c r="C839" s="1" t="s">
        <v>54</v>
      </c>
      <c r="D839" s="4" t="s">
        <v>2628</v>
      </c>
      <c r="E839" s="39" t="s">
        <v>1531</v>
      </c>
      <c r="F839" s="1" t="s">
        <v>1532</v>
      </c>
      <c r="G839" s="8">
        <v>4</v>
      </c>
      <c r="H839" s="8">
        <v>4</v>
      </c>
      <c r="I839" s="115">
        <f>Table223[[#This Row],[Qty]]-Table223[[#This Row],[Issue Qty]]</f>
        <v>0</v>
      </c>
      <c r="J839" s="5">
        <v>3700</v>
      </c>
      <c r="K839" s="5">
        <f t="shared" si="42"/>
        <v>14800</v>
      </c>
      <c r="L839" s="82">
        <v>0.18</v>
      </c>
      <c r="M839" s="9">
        <f t="shared" si="43"/>
        <v>2664</v>
      </c>
      <c r="N839" s="5"/>
      <c r="O839" s="5"/>
      <c r="P839" s="5">
        <f t="shared" si="44"/>
        <v>17464</v>
      </c>
      <c r="Q839" s="1" t="s">
        <v>2887</v>
      </c>
      <c r="R839" s="1" t="s">
        <v>633</v>
      </c>
      <c r="S839" s="1" t="s">
        <v>764</v>
      </c>
      <c r="T839" s="1" t="s">
        <v>2625</v>
      </c>
      <c r="U839" s="1"/>
      <c r="V839" s="1"/>
      <c r="W839" s="21"/>
      <c r="X839" s="8"/>
      <c r="Y839" s="8">
        <v>4</v>
      </c>
      <c r="Z839" s="22" t="s">
        <v>3389</v>
      </c>
      <c r="AA839" s="1"/>
      <c r="AB839" s="29"/>
      <c r="AC839" s="1"/>
      <c r="AD839" s="2"/>
    </row>
    <row r="840" spans="1:30" s="24" customFormat="1" x14ac:dyDescent="0.25">
      <c r="A840" s="4"/>
      <c r="B840" s="4">
        <v>45955</v>
      </c>
      <c r="C840" s="1" t="s">
        <v>54</v>
      </c>
      <c r="D840" s="4" t="s">
        <v>2629</v>
      </c>
      <c r="E840" s="39" t="s">
        <v>1533</v>
      </c>
      <c r="F840" s="1" t="s">
        <v>1534</v>
      </c>
      <c r="G840" s="8">
        <v>4</v>
      </c>
      <c r="H840" s="8">
        <v>4</v>
      </c>
      <c r="I840" s="115">
        <f>Table223[[#This Row],[Qty]]-Table223[[#This Row],[Issue Qty]]</f>
        <v>0</v>
      </c>
      <c r="J840" s="5">
        <v>3700</v>
      </c>
      <c r="K840" s="5">
        <f t="shared" si="42"/>
        <v>14800</v>
      </c>
      <c r="L840" s="82">
        <v>0.18</v>
      </c>
      <c r="M840" s="9">
        <f t="shared" si="43"/>
        <v>2664</v>
      </c>
      <c r="N840" s="5"/>
      <c r="O840" s="5"/>
      <c r="P840" s="5">
        <f t="shared" si="44"/>
        <v>17464</v>
      </c>
      <c r="Q840" s="1" t="s">
        <v>2887</v>
      </c>
      <c r="R840" s="1" t="s">
        <v>633</v>
      </c>
      <c r="S840" s="1" t="s">
        <v>764</v>
      </c>
      <c r="T840" s="1" t="s">
        <v>2625</v>
      </c>
      <c r="U840" s="1"/>
      <c r="V840" s="1"/>
      <c r="W840" s="21"/>
      <c r="X840" s="8"/>
      <c r="Y840" s="8">
        <v>4</v>
      </c>
      <c r="Z840" s="22" t="s">
        <v>3390</v>
      </c>
      <c r="AA840" s="1"/>
      <c r="AB840" s="29"/>
      <c r="AC840" s="1"/>
      <c r="AD840" s="2"/>
    </row>
    <row r="841" spans="1:30" s="24" customFormat="1" x14ac:dyDescent="0.25">
      <c r="A841" s="4"/>
      <c r="B841" s="4">
        <v>45955</v>
      </c>
      <c r="C841" s="1" t="s">
        <v>1730</v>
      </c>
      <c r="D841" s="4" t="s">
        <v>2630</v>
      </c>
      <c r="E841" s="1" t="s">
        <v>1535</v>
      </c>
      <c r="F841" s="1" t="s">
        <v>1535</v>
      </c>
      <c r="G841" s="8">
        <v>1</v>
      </c>
      <c r="H841" s="8">
        <v>1</v>
      </c>
      <c r="I841" s="115">
        <f>Table223[[#This Row],[Qty]]-Table223[[#This Row],[Issue Qty]]</f>
        <v>0</v>
      </c>
      <c r="J841" s="5">
        <v>9500</v>
      </c>
      <c r="K841" s="5">
        <f t="shared" si="42"/>
        <v>9500</v>
      </c>
      <c r="L841" s="82">
        <v>0.18</v>
      </c>
      <c r="M841" s="9">
        <f t="shared" si="43"/>
        <v>1710</v>
      </c>
      <c r="N841" s="5"/>
      <c r="O841" s="5"/>
      <c r="P841" s="5">
        <f t="shared" si="44"/>
        <v>11210</v>
      </c>
      <c r="Q841" s="1" t="s">
        <v>2887</v>
      </c>
      <c r="R841" s="1" t="s">
        <v>633</v>
      </c>
      <c r="S841" s="1" t="s">
        <v>1526</v>
      </c>
      <c r="T841" s="1">
        <v>3404</v>
      </c>
      <c r="U841" s="1"/>
      <c r="V841" s="1"/>
      <c r="W841" s="21" t="s">
        <v>3179</v>
      </c>
      <c r="X841" s="8"/>
      <c r="Y841" s="8">
        <v>1</v>
      </c>
      <c r="Z841" s="22" t="s">
        <v>1469</v>
      </c>
      <c r="AA841" s="1"/>
      <c r="AB841" s="29"/>
      <c r="AC841" s="1"/>
      <c r="AD841" s="2"/>
    </row>
    <row r="842" spans="1:30" s="24" customFormat="1" x14ac:dyDescent="0.25">
      <c r="A842" s="4"/>
      <c r="B842" s="4">
        <v>45955</v>
      </c>
      <c r="C842" s="1" t="s">
        <v>1730</v>
      </c>
      <c r="D842" s="4" t="s">
        <v>2631</v>
      </c>
      <c r="E842" s="1" t="s">
        <v>1536</v>
      </c>
      <c r="F842" s="1" t="s">
        <v>1536</v>
      </c>
      <c r="G842" s="8">
        <v>1</v>
      </c>
      <c r="H842" s="8">
        <v>1</v>
      </c>
      <c r="I842" s="115">
        <f>Table223[[#This Row],[Qty]]-Table223[[#This Row],[Issue Qty]]</f>
        <v>0</v>
      </c>
      <c r="J842" s="5">
        <v>9500</v>
      </c>
      <c r="K842" s="5">
        <f t="shared" si="42"/>
        <v>9500</v>
      </c>
      <c r="L842" s="82">
        <v>0.18</v>
      </c>
      <c r="M842" s="9">
        <f t="shared" si="43"/>
        <v>1710</v>
      </c>
      <c r="N842" s="5"/>
      <c r="O842" s="5"/>
      <c r="P842" s="5">
        <f t="shared" si="44"/>
        <v>11210</v>
      </c>
      <c r="Q842" s="1" t="s">
        <v>2887</v>
      </c>
      <c r="R842" s="1" t="s">
        <v>633</v>
      </c>
      <c r="S842" s="1" t="s">
        <v>1526</v>
      </c>
      <c r="T842" s="1">
        <v>3404</v>
      </c>
      <c r="U842" s="1"/>
      <c r="V842" s="1"/>
      <c r="W842" s="21" t="s">
        <v>3179</v>
      </c>
      <c r="X842" s="8"/>
      <c r="Y842" s="8">
        <v>1</v>
      </c>
      <c r="Z842" s="22" t="s">
        <v>1469</v>
      </c>
      <c r="AA842" s="1"/>
      <c r="AB842" s="29"/>
      <c r="AC842" s="1"/>
      <c r="AD842" s="2"/>
    </row>
    <row r="843" spans="1:30" s="24" customFormat="1" x14ac:dyDescent="0.25">
      <c r="A843" s="4"/>
      <c r="B843" s="4">
        <v>45955</v>
      </c>
      <c r="C843" s="1" t="s">
        <v>54</v>
      </c>
      <c r="D843" s="4" t="s">
        <v>2632</v>
      </c>
      <c r="E843" s="1" t="s">
        <v>1537</v>
      </c>
      <c r="F843" s="1" t="s">
        <v>1537</v>
      </c>
      <c r="G843" s="8">
        <v>1</v>
      </c>
      <c r="H843" s="8">
        <v>1</v>
      </c>
      <c r="I843" s="115">
        <f>Table223[[#This Row],[Qty]]-Table223[[#This Row],[Issue Qty]]</f>
        <v>0</v>
      </c>
      <c r="J843" s="5">
        <v>524</v>
      </c>
      <c r="K843" s="5">
        <f t="shared" si="42"/>
        <v>524</v>
      </c>
      <c r="L843" s="82">
        <v>0.18</v>
      </c>
      <c r="M843" s="9">
        <f t="shared" si="43"/>
        <v>94.32</v>
      </c>
      <c r="N843" s="5"/>
      <c r="O843" s="5"/>
      <c r="P843" s="5">
        <f t="shared" si="44"/>
        <v>618.31999999999994</v>
      </c>
      <c r="Q843" s="1" t="s">
        <v>2887</v>
      </c>
      <c r="R843" s="1" t="s">
        <v>633</v>
      </c>
      <c r="S843" s="1" t="s">
        <v>358</v>
      </c>
      <c r="T843" s="1" t="s">
        <v>2626</v>
      </c>
      <c r="U843" s="1"/>
      <c r="V843" s="1"/>
      <c r="W843" s="21" t="s">
        <v>313</v>
      </c>
      <c r="X843" s="8"/>
      <c r="Y843" s="8">
        <v>1</v>
      </c>
      <c r="Z843" s="22" t="s">
        <v>1469</v>
      </c>
      <c r="AA843" s="1"/>
      <c r="AB843" s="29"/>
      <c r="AC843" s="1"/>
      <c r="AD843" s="2"/>
    </row>
    <row r="844" spans="1:30" s="24" customFormat="1" x14ac:dyDescent="0.25">
      <c r="A844" s="4"/>
      <c r="B844" s="4">
        <v>45955</v>
      </c>
      <c r="C844" s="1" t="s">
        <v>54</v>
      </c>
      <c r="D844" s="4" t="s">
        <v>2633</v>
      </c>
      <c r="E844" s="1" t="s">
        <v>1538</v>
      </c>
      <c r="F844" s="1" t="s">
        <v>1538</v>
      </c>
      <c r="G844" s="8">
        <v>1</v>
      </c>
      <c r="H844" s="8">
        <v>1</v>
      </c>
      <c r="I844" s="115">
        <f>Table223[[#This Row],[Qty]]-Table223[[#This Row],[Issue Qty]]</f>
        <v>0</v>
      </c>
      <c r="J844" s="5">
        <v>424</v>
      </c>
      <c r="K844" s="5">
        <f t="shared" si="42"/>
        <v>424</v>
      </c>
      <c r="L844" s="82">
        <v>0.18</v>
      </c>
      <c r="M844" s="9">
        <f t="shared" si="43"/>
        <v>76.319999999999993</v>
      </c>
      <c r="N844" s="5"/>
      <c r="O844" s="5"/>
      <c r="P844" s="5">
        <f t="shared" si="44"/>
        <v>500.32</v>
      </c>
      <c r="Q844" s="1" t="s">
        <v>1434</v>
      </c>
      <c r="R844" s="1" t="s">
        <v>1434</v>
      </c>
      <c r="S844" s="1" t="s">
        <v>601</v>
      </c>
      <c r="T844" s="1">
        <v>50606</v>
      </c>
      <c r="U844" s="1"/>
      <c r="V844" s="1"/>
      <c r="W844" s="21" t="s">
        <v>3195</v>
      </c>
      <c r="X844" s="8"/>
      <c r="Y844" s="8">
        <v>1</v>
      </c>
      <c r="Z844" s="22" t="s">
        <v>145</v>
      </c>
      <c r="AA844" s="1"/>
      <c r="AB844" s="29"/>
      <c r="AC844" s="1"/>
      <c r="AD844" s="2"/>
    </row>
    <row r="845" spans="1:30" s="24" customFormat="1" x14ac:dyDescent="0.25">
      <c r="A845" s="4"/>
      <c r="B845" s="4">
        <v>45955</v>
      </c>
      <c r="C845" s="1" t="s">
        <v>54</v>
      </c>
      <c r="D845" s="4" t="s">
        <v>2634</v>
      </c>
      <c r="E845" s="1" t="s">
        <v>1539</v>
      </c>
      <c r="F845" s="1" t="s">
        <v>1539</v>
      </c>
      <c r="G845" s="8">
        <v>1</v>
      </c>
      <c r="H845" s="8">
        <v>1</v>
      </c>
      <c r="I845" s="115">
        <f>Table223[[#This Row],[Qty]]-Table223[[#This Row],[Issue Qty]]</f>
        <v>0</v>
      </c>
      <c r="J845" s="5">
        <v>723</v>
      </c>
      <c r="K845" s="5">
        <f t="shared" si="42"/>
        <v>723</v>
      </c>
      <c r="L845" s="82">
        <v>0.18</v>
      </c>
      <c r="M845" s="9">
        <f t="shared" si="43"/>
        <v>130.13999999999999</v>
      </c>
      <c r="N845" s="5"/>
      <c r="O845" s="5"/>
      <c r="P845" s="5">
        <f t="shared" si="44"/>
        <v>853.14</v>
      </c>
      <c r="Q845" s="1" t="s">
        <v>1434</v>
      </c>
      <c r="R845" s="1" t="s">
        <v>1434</v>
      </c>
      <c r="S845" s="1" t="s">
        <v>601</v>
      </c>
      <c r="T845" s="1">
        <v>50606</v>
      </c>
      <c r="U845" s="1"/>
      <c r="V845" s="1"/>
      <c r="W845" s="21" t="s">
        <v>3195</v>
      </c>
      <c r="X845" s="8"/>
      <c r="Y845" s="8">
        <v>1</v>
      </c>
      <c r="Z845" s="22" t="s">
        <v>145</v>
      </c>
      <c r="AA845" s="1"/>
      <c r="AB845" s="29"/>
      <c r="AC845" s="1"/>
      <c r="AD845" s="2"/>
    </row>
    <row r="846" spans="1:30" s="24" customFormat="1" x14ac:dyDescent="0.25">
      <c r="A846" s="4"/>
      <c r="B846" s="4">
        <v>45955</v>
      </c>
      <c r="C846" s="1" t="s">
        <v>54</v>
      </c>
      <c r="D846" s="4" t="s">
        <v>2635</v>
      </c>
      <c r="E846" s="1" t="s">
        <v>1540</v>
      </c>
      <c r="F846" s="1" t="s">
        <v>1540</v>
      </c>
      <c r="G846" s="8">
        <v>1</v>
      </c>
      <c r="H846" s="8">
        <v>1</v>
      </c>
      <c r="I846" s="115">
        <f>Table223[[#This Row],[Qty]]-Table223[[#This Row],[Issue Qty]]</f>
        <v>0</v>
      </c>
      <c r="J846" s="5">
        <v>376</v>
      </c>
      <c r="K846" s="5">
        <f t="shared" si="42"/>
        <v>376</v>
      </c>
      <c r="L846" s="82">
        <v>0.18</v>
      </c>
      <c r="M846" s="9">
        <f t="shared" si="43"/>
        <v>67.679999999999993</v>
      </c>
      <c r="N846" s="5"/>
      <c r="O846" s="5">
        <v>-0.22</v>
      </c>
      <c r="P846" s="5">
        <f t="shared" si="44"/>
        <v>443.46</v>
      </c>
      <c r="Q846" s="1" t="s">
        <v>1434</v>
      </c>
      <c r="R846" s="1" t="s">
        <v>1434</v>
      </c>
      <c r="S846" s="1" t="s">
        <v>601</v>
      </c>
      <c r="T846" s="1">
        <v>50606</v>
      </c>
      <c r="U846" s="1"/>
      <c r="V846" s="1"/>
      <c r="W846" s="21" t="s">
        <v>3195</v>
      </c>
      <c r="X846" s="8"/>
      <c r="Y846" s="8">
        <v>1</v>
      </c>
      <c r="Z846" s="22" t="s">
        <v>145</v>
      </c>
      <c r="AA846" s="1"/>
      <c r="AB846" s="29"/>
      <c r="AC846" s="1"/>
      <c r="AD846" s="2"/>
    </row>
    <row r="847" spans="1:30" s="24" customFormat="1" x14ac:dyDescent="0.25">
      <c r="A847" s="4"/>
      <c r="B847" s="4">
        <v>45955</v>
      </c>
      <c r="C847" s="1" t="s">
        <v>54</v>
      </c>
      <c r="D847" s="4" t="s">
        <v>2636</v>
      </c>
      <c r="E847" s="1" t="s">
        <v>1541</v>
      </c>
      <c r="F847" s="1" t="s">
        <v>1541</v>
      </c>
      <c r="G847" s="8">
        <v>1</v>
      </c>
      <c r="H847" s="8">
        <v>1</v>
      </c>
      <c r="I847" s="115">
        <f>Table223[[#This Row],[Qty]]-Table223[[#This Row],[Issue Qty]]</f>
        <v>0</v>
      </c>
      <c r="J847" s="5">
        <v>606</v>
      </c>
      <c r="K847" s="5">
        <f t="shared" si="42"/>
        <v>606</v>
      </c>
      <c r="L847" s="82">
        <v>0.18</v>
      </c>
      <c r="M847" s="9">
        <f t="shared" si="43"/>
        <v>109.08</v>
      </c>
      <c r="N847" s="5"/>
      <c r="O847" s="5"/>
      <c r="P847" s="5">
        <f t="shared" si="44"/>
        <v>715.08</v>
      </c>
      <c r="Q847" s="1" t="s">
        <v>1434</v>
      </c>
      <c r="R847" s="1" t="s">
        <v>1434</v>
      </c>
      <c r="S847" s="1" t="s">
        <v>601</v>
      </c>
      <c r="T847" s="1">
        <v>50606</v>
      </c>
      <c r="U847" s="1"/>
      <c r="V847" s="1"/>
      <c r="W847" s="21" t="s">
        <v>3195</v>
      </c>
      <c r="X847" s="8"/>
      <c r="Y847" s="8">
        <v>1</v>
      </c>
      <c r="Z847" s="22" t="s">
        <v>145</v>
      </c>
      <c r="AA847" s="1"/>
      <c r="AB847" s="29"/>
      <c r="AC847" s="1"/>
      <c r="AD847" s="2"/>
    </row>
    <row r="848" spans="1:30" s="24" customFormat="1" x14ac:dyDescent="0.25">
      <c r="A848" s="4"/>
      <c r="B848" s="4">
        <v>45957</v>
      </c>
      <c r="C848" s="1" t="s">
        <v>1683</v>
      </c>
      <c r="D848" s="4" t="s">
        <v>2371</v>
      </c>
      <c r="E848" s="39" t="s">
        <v>1251</v>
      </c>
      <c r="F848" s="1" t="s">
        <v>1251</v>
      </c>
      <c r="G848" s="8">
        <v>4</v>
      </c>
      <c r="H848" s="8">
        <v>1</v>
      </c>
      <c r="I848" s="115">
        <f>Table223[[#This Row],[Qty]]-Table223[[#This Row],[Issue Qty]]</f>
        <v>3</v>
      </c>
      <c r="J848" s="5">
        <v>37080</v>
      </c>
      <c r="K848" s="5">
        <f t="shared" si="42"/>
        <v>148320</v>
      </c>
      <c r="L848" s="82">
        <v>0.18</v>
      </c>
      <c r="M848" s="9">
        <f t="shared" si="43"/>
        <v>26697.599999999999</v>
      </c>
      <c r="N848" s="5"/>
      <c r="O848" s="5">
        <v>0.4</v>
      </c>
      <c r="P848" s="5">
        <f t="shared" si="44"/>
        <v>175018</v>
      </c>
      <c r="Q848" s="1" t="s">
        <v>2887</v>
      </c>
      <c r="R848" s="1" t="s">
        <v>633</v>
      </c>
      <c r="S848" s="1" t="s">
        <v>896</v>
      </c>
      <c r="T848" s="1" t="s">
        <v>2637</v>
      </c>
      <c r="U848" s="1"/>
      <c r="V848" s="27"/>
      <c r="W848" s="21" t="s">
        <v>3349</v>
      </c>
      <c r="X848" s="28"/>
      <c r="Y848" s="21">
        <v>4</v>
      </c>
      <c r="Z848" s="12" t="s">
        <v>3366</v>
      </c>
      <c r="AA848" s="27"/>
      <c r="AB848" s="29"/>
      <c r="AC848" s="27"/>
      <c r="AD848" s="2"/>
    </row>
    <row r="849" spans="1:30" s="24" customFormat="1" x14ac:dyDescent="0.25">
      <c r="A849" s="4"/>
      <c r="B849" s="4">
        <v>45957</v>
      </c>
      <c r="C849" s="1" t="s">
        <v>1683</v>
      </c>
      <c r="D849" s="1" t="s">
        <v>2638</v>
      </c>
      <c r="E849" s="1" t="s">
        <v>1542</v>
      </c>
      <c r="F849" s="1" t="s">
        <v>1542</v>
      </c>
      <c r="G849" s="8">
        <v>1</v>
      </c>
      <c r="H849" s="8">
        <v>1</v>
      </c>
      <c r="I849" s="115">
        <f>Table223[[#This Row],[Qty]]-Table223[[#This Row],[Issue Qty]]</f>
        <v>0</v>
      </c>
      <c r="J849" s="5">
        <v>17000</v>
      </c>
      <c r="K849" s="5">
        <f t="shared" si="42"/>
        <v>17000</v>
      </c>
      <c r="L849" s="82">
        <v>0.18</v>
      </c>
      <c r="M849" s="9">
        <f t="shared" si="43"/>
        <v>3060</v>
      </c>
      <c r="N849" s="5"/>
      <c r="O849" s="5"/>
      <c r="P849" s="5">
        <f t="shared" si="44"/>
        <v>20060</v>
      </c>
      <c r="Q849" s="1" t="s">
        <v>2887</v>
      </c>
      <c r="R849" s="1" t="s">
        <v>633</v>
      </c>
      <c r="S849" s="1" t="s">
        <v>1543</v>
      </c>
      <c r="T849" s="1" t="s">
        <v>2639</v>
      </c>
      <c r="U849" s="1"/>
      <c r="V849" s="1"/>
      <c r="W849" s="21" t="s">
        <v>398</v>
      </c>
      <c r="X849" s="8"/>
      <c r="Y849" s="8">
        <v>1</v>
      </c>
      <c r="Z849" s="22" t="s">
        <v>1469</v>
      </c>
      <c r="AA849" s="1"/>
      <c r="AB849" s="29"/>
      <c r="AC849" s="2"/>
      <c r="AD849" s="2"/>
    </row>
    <row r="850" spans="1:30" s="24" customFormat="1" x14ac:dyDescent="0.25">
      <c r="A850" s="4"/>
      <c r="B850" s="4">
        <v>45958</v>
      </c>
      <c r="C850" s="1" t="s">
        <v>1730</v>
      </c>
      <c r="D850" s="4" t="s">
        <v>2574</v>
      </c>
      <c r="E850" s="1" t="s">
        <v>1544</v>
      </c>
      <c r="F850" s="1" t="s">
        <v>1544</v>
      </c>
      <c r="G850" s="8">
        <v>2</v>
      </c>
      <c r="H850" s="8">
        <v>2</v>
      </c>
      <c r="I850" s="115">
        <f>Table223[[#This Row],[Qty]]-Table223[[#This Row],[Issue Qty]]</f>
        <v>0</v>
      </c>
      <c r="J850" s="5">
        <v>113.56</v>
      </c>
      <c r="K850" s="5">
        <f t="shared" si="42"/>
        <v>227.12</v>
      </c>
      <c r="L850" s="82">
        <v>0.18</v>
      </c>
      <c r="M850" s="9">
        <f t="shared" si="43"/>
        <v>40.881599999999999</v>
      </c>
      <c r="N850" s="5">
        <v>49.5</v>
      </c>
      <c r="O850" s="5"/>
      <c r="P850" s="5">
        <f t="shared" si="44"/>
        <v>317.5016</v>
      </c>
      <c r="Q850" s="1" t="s">
        <v>2887</v>
      </c>
      <c r="R850" s="1" t="s">
        <v>633</v>
      </c>
      <c r="S850" s="1" t="s">
        <v>634</v>
      </c>
      <c r="T850" s="6" t="s">
        <v>2640</v>
      </c>
      <c r="U850" s="6"/>
      <c r="V850" s="6"/>
      <c r="W850" s="21" t="s">
        <v>650</v>
      </c>
      <c r="X850" s="60"/>
      <c r="Y850" s="8">
        <v>2</v>
      </c>
      <c r="Z850" s="57" t="s">
        <v>474</v>
      </c>
      <c r="AA850" s="6"/>
      <c r="AB850" s="29"/>
      <c r="AC850" s="1"/>
      <c r="AD850" s="2"/>
    </row>
    <row r="851" spans="1:30" s="24" customFormat="1" x14ac:dyDescent="0.25">
      <c r="A851" s="4"/>
      <c r="B851" s="4">
        <v>45958</v>
      </c>
      <c r="C851" s="1" t="s">
        <v>1730</v>
      </c>
      <c r="D851" s="4" t="s">
        <v>2581</v>
      </c>
      <c r="E851" s="1" t="s">
        <v>1486</v>
      </c>
      <c r="F851" s="1" t="s">
        <v>1486</v>
      </c>
      <c r="G851" s="8">
        <v>1</v>
      </c>
      <c r="H851" s="8">
        <v>1</v>
      </c>
      <c r="I851" s="115">
        <f>Table223[[#This Row],[Qty]]-Table223[[#This Row],[Issue Qty]]</f>
        <v>0</v>
      </c>
      <c r="J851" s="5">
        <v>7500</v>
      </c>
      <c r="K851" s="5">
        <f t="shared" si="42"/>
        <v>7500</v>
      </c>
      <c r="L851" s="82">
        <v>0.18</v>
      </c>
      <c r="M851" s="9">
        <f t="shared" si="43"/>
        <v>1350</v>
      </c>
      <c r="N851" s="5">
        <f>1416/2</f>
        <v>708</v>
      </c>
      <c r="O851" s="5"/>
      <c r="P851" s="5">
        <f t="shared" si="44"/>
        <v>9558</v>
      </c>
      <c r="Q851" s="1" t="s">
        <v>2887</v>
      </c>
      <c r="R851" s="1" t="s">
        <v>633</v>
      </c>
      <c r="S851" s="1" t="s">
        <v>1210</v>
      </c>
      <c r="T851" s="1" t="s">
        <v>2641</v>
      </c>
      <c r="U851" s="1"/>
      <c r="V851" s="1"/>
      <c r="W851" s="21" t="s">
        <v>3179</v>
      </c>
      <c r="X851" s="8"/>
      <c r="Y851" s="8">
        <v>1</v>
      </c>
      <c r="Z851" s="22" t="s">
        <v>1469</v>
      </c>
      <c r="AA851" s="1"/>
      <c r="AB851" s="29"/>
      <c r="AC851" s="1"/>
      <c r="AD851" s="2"/>
    </row>
    <row r="852" spans="1:30" s="24" customFormat="1" x14ac:dyDescent="0.25">
      <c r="A852" s="4"/>
      <c r="B852" s="4">
        <v>45958</v>
      </c>
      <c r="C852" s="1" t="s">
        <v>1730</v>
      </c>
      <c r="D852" s="4" t="s">
        <v>2583</v>
      </c>
      <c r="E852" s="1" t="s">
        <v>1487</v>
      </c>
      <c r="F852" s="1" t="s">
        <v>1487</v>
      </c>
      <c r="G852" s="8">
        <v>1</v>
      </c>
      <c r="H852" s="8">
        <v>1</v>
      </c>
      <c r="I852" s="115">
        <f>Table223[[#This Row],[Qty]]-Table223[[#This Row],[Issue Qty]]</f>
        <v>0</v>
      </c>
      <c r="J852" s="5">
        <v>1350</v>
      </c>
      <c r="K852" s="5">
        <f t="shared" si="42"/>
        <v>1350</v>
      </c>
      <c r="L852" s="82">
        <v>0.18</v>
      </c>
      <c r="M852" s="9">
        <f t="shared" si="43"/>
        <v>243</v>
      </c>
      <c r="N852" s="5">
        <f>1416/2</f>
        <v>708</v>
      </c>
      <c r="O852" s="5"/>
      <c r="P852" s="5">
        <f t="shared" si="44"/>
        <v>2301</v>
      </c>
      <c r="Q852" s="1" t="s">
        <v>2887</v>
      </c>
      <c r="R852" s="1" t="s">
        <v>633</v>
      </c>
      <c r="S852" s="1" t="s">
        <v>1210</v>
      </c>
      <c r="T852" s="1" t="s">
        <v>2641</v>
      </c>
      <c r="U852" s="1"/>
      <c r="V852" s="1"/>
      <c r="W852" s="21" t="s">
        <v>3179</v>
      </c>
      <c r="X852" s="8"/>
      <c r="Y852" s="8">
        <v>1</v>
      </c>
      <c r="Z852" s="22" t="s">
        <v>1469</v>
      </c>
      <c r="AA852" s="1"/>
      <c r="AB852" s="29"/>
      <c r="AC852" s="1"/>
      <c r="AD852" s="2"/>
    </row>
    <row r="853" spans="1:30" s="24" customFormat="1" x14ac:dyDescent="0.25">
      <c r="A853" s="4"/>
      <c r="B853" s="4">
        <v>45958</v>
      </c>
      <c r="C853" s="1" t="s">
        <v>1730</v>
      </c>
      <c r="D853" s="4" t="s">
        <v>2615</v>
      </c>
      <c r="E853" s="1" t="s">
        <v>1516</v>
      </c>
      <c r="F853" s="1" t="s">
        <v>1516</v>
      </c>
      <c r="G853" s="8">
        <v>1</v>
      </c>
      <c r="H853" s="8">
        <v>1</v>
      </c>
      <c r="I853" s="115">
        <f>Table223[[#This Row],[Qty]]-Table223[[#This Row],[Issue Qty]]</f>
        <v>0</v>
      </c>
      <c r="J853" s="5">
        <v>3559</v>
      </c>
      <c r="K853" s="5">
        <f t="shared" si="42"/>
        <v>3559</v>
      </c>
      <c r="L853" s="82">
        <v>0.18</v>
      </c>
      <c r="M853" s="9">
        <f t="shared" si="43"/>
        <v>640.62</v>
      </c>
      <c r="N853" s="5"/>
      <c r="O853" s="5"/>
      <c r="P853" s="5">
        <f t="shared" si="44"/>
        <v>4199.62</v>
      </c>
      <c r="Q853" s="1" t="s">
        <v>2887</v>
      </c>
      <c r="R853" s="1" t="s">
        <v>633</v>
      </c>
      <c r="S853" s="1" t="s">
        <v>1517</v>
      </c>
      <c r="T853" s="1">
        <v>199</v>
      </c>
      <c r="U853" s="1"/>
      <c r="V853" s="1"/>
      <c r="W853" s="21" t="s">
        <v>3179</v>
      </c>
      <c r="X853" s="8"/>
      <c r="Y853" s="8">
        <v>1</v>
      </c>
      <c r="Z853" s="22" t="s">
        <v>1469</v>
      </c>
      <c r="AA853" s="1"/>
      <c r="AB853" s="29"/>
      <c r="AC853" s="1"/>
      <c r="AD853" s="2"/>
    </row>
    <row r="854" spans="1:30" s="24" customFormat="1" x14ac:dyDescent="0.25">
      <c r="A854" s="4"/>
      <c r="B854" s="4">
        <v>45958</v>
      </c>
      <c r="C854" s="1" t="s">
        <v>54</v>
      </c>
      <c r="D854" s="4" t="s">
        <v>2642</v>
      </c>
      <c r="E854" s="1" t="s">
        <v>3016</v>
      </c>
      <c r="F854" s="1" t="s">
        <v>1545</v>
      </c>
      <c r="G854" s="8">
        <v>4</v>
      </c>
      <c r="H854" s="8">
        <v>3</v>
      </c>
      <c r="I854" s="115">
        <f>Table223[[#This Row],[Qty]]-Table223[[#This Row],[Issue Qty]]</f>
        <v>1</v>
      </c>
      <c r="J854" s="5">
        <v>2100</v>
      </c>
      <c r="K854" s="5">
        <f t="shared" si="42"/>
        <v>8400</v>
      </c>
      <c r="L854" s="82">
        <v>0.18</v>
      </c>
      <c r="M854" s="9">
        <f t="shared" si="43"/>
        <v>1512</v>
      </c>
      <c r="N854" s="5"/>
      <c r="O854" s="5"/>
      <c r="P854" s="5">
        <f t="shared" si="44"/>
        <v>9912</v>
      </c>
      <c r="Q854" s="1" t="s">
        <v>1434</v>
      </c>
      <c r="R854" s="1" t="s">
        <v>1434</v>
      </c>
      <c r="S854" s="1" t="s">
        <v>764</v>
      </c>
      <c r="T854" s="1" t="s">
        <v>2643</v>
      </c>
      <c r="U854" s="1"/>
      <c r="V854" s="1"/>
      <c r="W854" s="21" t="s">
        <v>3349</v>
      </c>
      <c r="X854" s="8"/>
      <c r="Y854" s="8">
        <v>3</v>
      </c>
      <c r="Z854" s="22" t="s">
        <v>3393</v>
      </c>
      <c r="AA854" s="1"/>
      <c r="AB854" s="29"/>
      <c r="AC854" s="1"/>
      <c r="AD854" s="2"/>
    </row>
    <row r="855" spans="1:30" s="24" customFormat="1" x14ac:dyDescent="0.25">
      <c r="A855" s="4"/>
      <c r="B855" s="4">
        <v>45960</v>
      </c>
      <c r="C855" s="1" t="s">
        <v>54</v>
      </c>
      <c r="D855" s="4" t="s">
        <v>2632</v>
      </c>
      <c r="E855" s="1" t="s">
        <v>1537</v>
      </c>
      <c r="F855" s="1" t="s">
        <v>1537</v>
      </c>
      <c r="G855" s="8">
        <v>2</v>
      </c>
      <c r="H855" s="8">
        <v>2</v>
      </c>
      <c r="I855" s="115">
        <f>Table223[[#This Row],[Qty]]-Table223[[#This Row],[Issue Qty]]</f>
        <v>0</v>
      </c>
      <c r="J855" s="5">
        <v>520</v>
      </c>
      <c r="K855" s="5">
        <f t="shared" si="42"/>
        <v>1040</v>
      </c>
      <c r="L855" s="82">
        <v>0.18</v>
      </c>
      <c r="M855" s="9">
        <f t="shared" si="43"/>
        <v>187.2</v>
      </c>
      <c r="N855" s="5"/>
      <c r="O855" s="5"/>
      <c r="P855" s="5">
        <f t="shared" si="44"/>
        <v>1227.2</v>
      </c>
      <c r="Q855" s="1" t="s">
        <v>2887</v>
      </c>
      <c r="R855" s="1" t="s">
        <v>633</v>
      </c>
      <c r="S855" s="1" t="s">
        <v>358</v>
      </c>
      <c r="T855" s="6" t="s">
        <v>2644</v>
      </c>
      <c r="U855" s="6"/>
      <c r="V855" s="6"/>
      <c r="W855" s="21" t="s">
        <v>313</v>
      </c>
      <c r="X855" s="60"/>
      <c r="Y855" s="8">
        <v>2</v>
      </c>
      <c r="Z855" s="22" t="s">
        <v>1546</v>
      </c>
      <c r="AA855" s="6"/>
      <c r="AB855" s="29"/>
      <c r="AC855" s="1"/>
      <c r="AD855" s="2"/>
    </row>
    <row r="856" spans="1:30" s="24" customFormat="1" x14ac:dyDescent="0.25">
      <c r="A856" s="4"/>
      <c r="B856" s="4">
        <v>45960</v>
      </c>
      <c r="C856" s="1" t="s">
        <v>54</v>
      </c>
      <c r="D856" s="4" t="s">
        <v>2601</v>
      </c>
      <c r="E856" s="153" t="s">
        <v>1505</v>
      </c>
      <c r="F856" s="1" t="s">
        <v>1505</v>
      </c>
      <c r="G856" s="8">
        <v>12</v>
      </c>
      <c r="H856" s="8">
        <v>12</v>
      </c>
      <c r="I856" s="115">
        <f>Table223[[#This Row],[Qty]]-Table223[[#This Row],[Issue Qty]]</f>
        <v>0</v>
      </c>
      <c r="J856" s="5">
        <v>120</v>
      </c>
      <c r="K856" s="5">
        <f t="shared" si="42"/>
        <v>1440</v>
      </c>
      <c r="L856" s="82">
        <v>0.18</v>
      </c>
      <c r="M856" s="9">
        <f t="shared" si="43"/>
        <v>259.2</v>
      </c>
      <c r="N856" s="5"/>
      <c r="O856" s="5"/>
      <c r="P856" s="5">
        <f t="shared" si="44"/>
        <v>1699.2</v>
      </c>
      <c r="Q856" s="1" t="s">
        <v>2887</v>
      </c>
      <c r="R856" s="1" t="s">
        <v>633</v>
      </c>
      <c r="S856" s="1" t="s">
        <v>358</v>
      </c>
      <c r="T856" s="6" t="s">
        <v>2644</v>
      </c>
      <c r="U856" s="6"/>
      <c r="V856" s="6"/>
      <c r="W856" s="21" t="s">
        <v>3349</v>
      </c>
      <c r="X856" s="60"/>
      <c r="Y856" s="8">
        <v>12</v>
      </c>
      <c r="Z856" s="57" t="s">
        <v>3395</v>
      </c>
      <c r="AA856" s="6"/>
      <c r="AB856" s="29"/>
      <c r="AC856" s="1"/>
      <c r="AD856" s="2"/>
    </row>
    <row r="857" spans="1:30" s="24" customFormat="1" x14ac:dyDescent="0.25">
      <c r="A857" s="4"/>
      <c r="B857" s="4">
        <v>45960</v>
      </c>
      <c r="C857" s="1" t="s">
        <v>54</v>
      </c>
      <c r="D857" s="4" t="s">
        <v>2603</v>
      </c>
      <c r="E857" s="39" t="s">
        <v>1506</v>
      </c>
      <c r="F857" s="1" t="s">
        <v>1506</v>
      </c>
      <c r="G857" s="8">
        <v>2</v>
      </c>
      <c r="H857" s="8">
        <v>2</v>
      </c>
      <c r="I857" s="115">
        <f>Table223[[#This Row],[Qty]]-Table223[[#This Row],[Issue Qty]]</f>
        <v>0</v>
      </c>
      <c r="J857" s="5">
        <v>3410.4</v>
      </c>
      <c r="K857" s="5">
        <f t="shared" si="42"/>
        <v>6820.8</v>
      </c>
      <c r="L857" s="82">
        <v>0.18</v>
      </c>
      <c r="M857" s="9">
        <f t="shared" si="43"/>
        <v>1227.7439999999999</v>
      </c>
      <c r="N857" s="5"/>
      <c r="O857" s="5"/>
      <c r="P857" s="5">
        <f t="shared" si="44"/>
        <v>8048.5439999999999</v>
      </c>
      <c r="Q857" s="1" t="s">
        <v>2887</v>
      </c>
      <c r="R857" s="1" t="s">
        <v>633</v>
      </c>
      <c r="S857" s="1" t="s">
        <v>358</v>
      </c>
      <c r="T857" s="6" t="s">
        <v>2644</v>
      </c>
      <c r="U857" s="6"/>
      <c r="V857" s="6"/>
      <c r="W857" s="21"/>
      <c r="X857" s="60"/>
      <c r="Y857" s="8">
        <v>2</v>
      </c>
      <c r="Z857" s="57" t="s">
        <v>481</v>
      </c>
      <c r="AA857" s="6"/>
      <c r="AB857" s="29"/>
      <c r="AC857" s="1"/>
      <c r="AD857" s="2"/>
    </row>
    <row r="858" spans="1:30" s="24" customFormat="1" x14ac:dyDescent="0.25">
      <c r="A858" s="4"/>
      <c r="B858" s="4">
        <v>45960</v>
      </c>
      <c r="C858" s="1" t="s">
        <v>54</v>
      </c>
      <c r="D858" s="4" t="s">
        <v>2604</v>
      </c>
      <c r="E858" s="39" t="s">
        <v>1507</v>
      </c>
      <c r="F858" s="1" t="s">
        <v>1507</v>
      </c>
      <c r="G858" s="8">
        <v>2</v>
      </c>
      <c r="H858" s="8">
        <v>2</v>
      </c>
      <c r="I858" s="115">
        <f>Table223[[#This Row],[Qty]]-Table223[[#This Row],[Issue Qty]]</f>
        <v>0</v>
      </c>
      <c r="J858" s="5">
        <v>5497.8</v>
      </c>
      <c r="K858" s="5">
        <f t="shared" si="42"/>
        <v>10995.6</v>
      </c>
      <c r="L858" s="82">
        <v>0.18</v>
      </c>
      <c r="M858" s="9">
        <f t="shared" si="43"/>
        <v>1979.2080000000001</v>
      </c>
      <c r="N858" s="5"/>
      <c r="O858" s="5"/>
      <c r="P858" s="5">
        <f t="shared" si="44"/>
        <v>12974.808000000001</v>
      </c>
      <c r="Q858" s="1" t="s">
        <v>2887</v>
      </c>
      <c r="R858" s="1" t="s">
        <v>633</v>
      </c>
      <c r="S858" s="1" t="s">
        <v>358</v>
      </c>
      <c r="T858" s="6" t="s">
        <v>2644</v>
      </c>
      <c r="U858" s="6"/>
      <c r="V858" s="6"/>
      <c r="W858" s="21"/>
      <c r="X858" s="60"/>
      <c r="Y858" s="8">
        <v>2</v>
      </c>
      <c r="Z858" s="57" t="s">
        <v>481</v>
      </c>
      <c r="AA858" s="6"/>
      <c r="AB858" s="29"/>
      <c r="AC858" s="1"/>
      <c r="AD858" s="2"/>
    </row>
    <row r="859" spans="1:30" s="24" customFormat="1" x14ac:dyDescent="0.25">
      <c r="A859" s="4"/>
      <c r="B859" s="4">
        <v>45960</v>
      </c>
      <c r="C859" s="1" t="s">
        <v>54</v>
      </c>
      <c r="D859" s="4" t="s">
        <v>2605</v>
      </c>
      <c r="E859" s="1" t="s">
        <v>1508</v>
      </c>
      <c r="F859" s="1" t="s">
        <v>1508</v>
      </c>
      <c r="G859" s="8">
        <v>4</v>
      </c>
      <c r="H859" s="8">
        <v>4</v>
      </c>
      <c r="I859" s="115">
        <f>Table223[[#This Row],[Qty]]-Table223[[#This Row],[Issue Qty]]</f>
        <v>0</v>
      </c>
      <c r="J859" s="5">
        <v>144</v>
      </c>
      <c r="K859" s="5">
        <f t="shared" si="42"/>
        <v>576</v>
      </c>
      <c r="L859" s="82">
        <v>0.18</v>
      </c>
      <c r="M859" s="9">
        <f t="shared" si="43"/>
        <v>103.67999999999999</v>
      </c>
      <c r="N859" s="5"/>
      <c r="O859" s="5"/>
      <c r="P859" s="5">
        <f t="shared" si="44"/>
        <v>679.68</v>
      </c>
      <c r="Q859" s="1" t="s">
        <v>2887</v>
      </c>
      <c r="R859" s="1" t="s">
        <v>633</v>
      </c>
      <c r="S859" s="1" t="s">
        <v>358</v>
      </c>
      <c r="T859" s="6" t="s">
        <v>2644</v>
      </c>
      <c r="U859" s="6"/>
      <c r="V859" s="6"/>
      <c r="W859" s="21" t="s">
        <v>3349</v>
      </c>
      <c r="X859" s="60"/>
      <c r="Y859" s="8">
        <v>4</v>
      </c>
      <c r="Z859" s="22" t="s">
        <v>3352</v>
      </c>
      <c r="AA859" s="6"/>
      <c r="AB859" s="29"/>
      <c r="AC859" s="1"/>
      <c r="AD859" s="2"/>
    </row>
    <row r="860" spans="1:30" s="24" customFormat="1" x14ac:dyDescent="0.25">
      <c r="A860" s="4"/>
      <c r="B860" s="4">
        <v>45960</v>
      </c>
      <c r="C860" s="1" t="s">
        <v>54</v>
      </c>
      <c r="D860" s="4" t="s">
        <v>2606</v>
      </c>
      <c r="E860" s="153" t="s">
        <v>1509</v>
      </c>
      <c r="F860" s="1" t="s">
        <v>1509</v>
      </c>
      <c r="G860" s="8">
        <v>6</v>
      </c>
      <c r="H860" s="8">
        <v>6</v>
      </c>
      <c r="I860" s="115">
        <f>Table223[[#This Row],[Qty]]-Table223[[#This Row],[Issue Qty]]</f>
        <v>0</v>
      </c>
      <c r="J860" s="5">
        <v>260</v>
      </c>
      <c r="K860" s="5">
        <f t="shared" si="42"/>
        <v>1560</v>
      </c>
      <c r="L860" s="82">
        <v>0.18</v>
      </c>
      <c r="M860" s="9">
        <f t="shared" si="43"/>
        <v>280.8</v>
      </c>
      <c r="N860" s="5"/>
      <c r="O860" s="5"/>
      <c r="P860" s="5">
        <f t="shared" si="44"/>
        <v>1840.8</v>
      </c>
      <c r="Q860" s="1" t="s">
        <v>2887</v>
      </c>
      <c r="R860" s="1" t="s">
        <v>633</v>
      </c>
      <c r="S860" s="1" t="s">
        <v>358</v>
      </c>
      <c r="T860" s="6" t="s">
        <v>2644</v>
      </c>
      <c r="U860" s="6"/>
      <c r="V860" s="6"/>
      <c r="W860" s="21" t="s">
        <v>821</v>
      </c>
      <c r="X860" s="60"/>
      <c r="Y860" s="8">
        <v>6</v>
      </c>
      <c r="Z860" s="22" t="s">
        <v>3396</v>
      </c>
      <c r="AA860" s="6"/>
      <c r="AB860" s="29"/>
      <c r="AC860" s="1"/>
      <c r="AD860" s="2"/>
    </row>
    <row r="861" spans="1:30" s="24" customFormat="1" x14ac:dyDescent="0.25">
      <c r="A861" s="4"/>
      <c r="B861" s="4">
        <v>45960</v>
      </c>
      <c r="C861" s="1" t="s">
        <v>54</v>
      </c>
      <c r="D861" s="4" t="s">
        <v>2616</v>
      </c>
      <c r="E861" s="1" t="s">
        <v>1518</v>
      </c>
      <c r="F861" s="1" t="s">
        <v>1518</v>
      </c>
      <c r="G861" s="8">
        <v>4</v>
      </c>
      <c r="H861" s="8">
        <f>2+2</f>
        <v>4</v>
      </c>
      <c r="I861" s="115">
        <f>Table223[[#This Row],[Qty]]-Table223[[#This Row],[Issue Qty]]</f>
        <v>0</v>
      </c>
      <c r="J861" s="5">
        <v>4600</v>
      </c>
      <c r="K861" s="5">
        <f t="shared" si="42"/>
        <v>18400</v>
      </c>
      <c r="L861" s="82">
        <v>0.18</v>
      </c>
      <c r="M861" s="9">
        <f t="shared" si="43"/>
        <v>3312</v>
      </c>
      <c r="N861" s="5"/>
      <c r="O861" s="5"/>
      <c r="P861" s="5">
        <f t="shared" si="44"/>
        <v>21712</v>
      </c>
      <c r="Q861" s="1" t="s">
        <v>2887</v>
      </c>
      <c r="R861" s="1" t="s">
        <v>633</v>
      </c>
      <c r="S861" s="1" t="s">
        <v>1519</v>
      </c>
      <c r="T861" s="1">
        <v>183</v>
      </c>
      <c r="U861" s="1"/>
      <c r="V861" s="1"/>
      <c r="W861" s="21" t="s">
        <v>3349</v>
      </c>
      <c r="X861" s="8"/>
      <c r="Y861" s="8">
        <v>2</v>
      </c>
      <c r="Z861" s="22" t="s">
        <v>3352</v>
      </c>
      <c r="AA861" s="1"/>
      <c r="AB861" s="29"/>
      <c r="AC861" s="1"/>
      <c r="AD861" s="2"/>
    </row>
    <row r="862" spans="1:30" s="24" customFormat="1" ht="30" x14ac:dyDescent="0.25">
      <c r="A862" s="4"/>
      <c r="B862" s="4">
        <v>45961</v>
      </c>
      <c r="C862" s="1" t="s">
        <v>1683</v>
      </c>
      <c r="D862" s="1" t="s">
        <v>2453</v>
      </c>
      <c r="E862" s="1" t="s">
        <v>1352</v>
      </c>
      <c r="F862" s="1" t="s">
        <v>1352</v>
      </c>
      <c r="G862" s="8">
        <v>5</v>
      </c>
      <c r="H862" s="8">
        <v>4</v>
      </c>
      <c r="I862" s="115">
        <f>Table223[[#This Row],[Qty]]-Table223[[#This Row],[Issue Qty]]</f>
        <v>1</v>
      </c>
      <c r="J862" s="5">
        <v>313.56</v>
      </c>
      <c r="K862" s="5">
        <f t="shared" si="42"/>
        <v>1567.8</v>
      </c>
      <c r="L862" s="82">
        <v>0.18</v>
      </c>
      <c r="M862" s="9">
        <f t="shared" si="43"/>
        <v>282.20400000000001</v>
      </c>
      <c r="N862" s="5">
        <v>99</v>
      </c>
      <c r="O862" s="5">
        <v>0</v>
      </c>
      <c r="P862" s="5">
        <f t="shared" si="44"/>
        <v>1949.0039999999999</v>
      </c>
      <c r="Q862" s="1" t="s">
        <v>2887</v>
      </c>
      <c r="R862" s="1" t="s">
        <v>633</v>
      </c>
      <c r="S862" s="1" t="s">
        <v>634</v>
      </c>
      <c r="T862" s="1" t="s">
        <v>2645</v>
      </c>
      <c r="U862" s="1"/>
      <c r="V862" s="1"/>
      <c r="W862" s="21" t="s">
        <v>650</v>
      </c>
      <c r="X862" s="8"/>
      <c r="Y862" s="8">
        <v>5</v>
      </c>
      <c r="Z862" s="22" t="s">
        <v>2930</v>
      </c>
      <c r="AA862" s="1"/>
      <c r="AB862" s="29" t="s">
        <v>1547</v>
      </c>
      <c r="AC862" s="2"/>
      <c r="AD862" s="2"/>
    </row>
    <row r="863" spans="1:30" s="24" customFormat="1" x14ac:dyDescent="0.25">
      <c r="A863" s="4"/>
      <c r="B863" s="4">
        <v>45964</v>
      </c>
      <c r="C863" s="1" t="s">
        <v>1730</v>
      </c>
      <c r="D863" s="4" t="s">
        <v>2646</v>
      </c>
      <c r="E863" s="1" t="s">
        <v>1548</v>
      </c>
      <c r="F863" s="1" t="s">
        <v>1548</v>
      </c>
      <c r="G863" s="8">
        <v>6</v>
      </c>
      <c r="H863" s="8">
        <v>1</v>
      </c>
      <c r="I863" s="115">
        <f>Table223[[#This Row],[Qty]]-Table223[[#This Row],[Issue Qty]]</f>
        <v>5</v>
      </c>
      <c r="J863" s="5">
        <v>8380</v>
      </c>
      <c r="K863" s="5">
        <f t="shared" si="42"/>
        <v>50280</v>
      </c>
      <c r="L863" s="82">
        <v>0.18</v>
      </c>
      <c r="M863" s="9">
        <f t="shared" si="43"/>
        <v>9050.4</v>
      </c>
      <c r="N863" s="5">
        <v>2124</v>
      </c>
      <c r="O863" s="5"/>
      <c r="P863" s="5">
        <f t="shared" si="44"/>
        <v>61454.400000000001</v>
      </c>
      <c r="Q863" s="1" t="s">
        <v>606</v>
      </c>
      <c r="R863" s="1" t="s">
        <v>606</v>
      </c>
      <c r="S863" s="1" t="s">
        <v>1210</v>
      </c>
      <c r="T863" s="1" t="s">
        <v>2647</v>
      </c>
      <c r="U863" s="1"/>
      <c r="V863" s="1"/>
      <c r="W863" s="21" t="s">
        <v>3179</v>
      </c>
      <c r="X863" s="8"/>
      <c r="Y863" s="8">
        <v>2</v>
      </c>
      <c r="Z863" s="22" t="s">
        <v>2968</v>
      </c>
      <c r="AA863" s="1"/>
      <c r="AB863" s="29"/>
      <c r="AC863" s="1"/>
      <c r="AD863" s="2"/>
    </row>
    <row r="864" spans="1:30" s="24" customFormat="1" x14ac:dyDescent="0.25">
      <c r="A864" s="4"/>
      <c r="B864" s="4">
        <v>45967</v>
      </c>
      <c r="C864" s="1" t="s">
        <v>1683</v>
      </c>
      <c r="D864" s="4" t="s">
        <v>2477</v>
      </c>
      <c r="E864" s="1" t="s">
        <v>1384</v>
      </c>
      <c r="F864" s="1" t="s">
        <v>1549</v>
      </c>
      <c r="G864" s="8">
        <v>1</v>
      </c>
      <c r="H864" s="8">
        <v>1</v>
      </c>
      <c r="I864" s="115">
        <f>Table223[[#This Row],[Qty]]-Table223[[#This Row],[Issue Qty]]</f>
        <v>0</v>
      </c>
      <c r="J864" s="5"/>
      <c r="K864" s="5">
        <f t="shared" si="42"/>
        <v>0</v>
      </c>
      <c r="L864" s="82"/>
      <c r="M864" s="9">
        <f t="shared" si="43"/>
        <v>0</v>
      </c>
      <c r="N864" s="5"/>
      <c r="O864" s="5"/>
      <c r="P864" s="5">
        <f t="shared" si="44"/>
        <v>0</v>
      </c>
      <c r="Q864" s="1" t="s">
        <v>145</v>
      </c>
      <c r="R864" s="1" t="s">
        <v>145</v>
      </c>
      <c r="S864" s="1" t="s">
        <v>896</v>
      </c>
      <c r="T864" s="1" t="s">
        <v>37</v>
      </c>
      <c r="U864" s="1"/>
      <c r="V864" s="27"/>
      <c r="W864" s="21"/>
      <c r="X864" s="28"/>
      <c r="Y864" s="21">
        <v>1</v>
      </c>
      <c r="Z864" s="12" t="s">
        <v>1100</v>
      </c>
      <c r="AA864" s="27"/>
      <c r="AB864" s="29"/>
      <c r="AC864" s="27"/>
      <c r="AD864" s="2"/>
    </row>
    <row r="865" spans="1:30" s="24" customFormat="1" x14ac:dyDescent="0.25">
      <c r="A865" s="4"/>
      <c r="B865" s="4">
        <v>45968</v>
      </c>
      <c r="C865" s="1" t="s">
        <v>1693</v>
      </c>
      <c r="D865" s="4" t="s">
        <v>2648</v>
      </c>
      <c r="E865" s="87" t="s">
        <v>1550</v>
      </c>
      <c r="F865" s="1" t="s">
        <v>1550</v>
      </c>
      <c r="G865" s="8">
        <v>4</v>
      </c>
      <c r="H865" s="8">
        <v>4</v>
      </c>
      <c r="I865" s="115">
        <f>Table223[[#This Row],[Qty]]-Table223[[#This Row],[Issue Qty]]</f>
        <v>0</v>
      </c>
      <c r="J865" s="5">
        <v>1245.25</v>
      </c>
      <c r="K865" s="5">
        <f t="shared" si="42"/>
        <v>4981</v>
      </c>
      <c r="L865" s="82">
        <v>0</v>
      </c>
      <c r="M865" s="9">
        <f t="shared" si="43"/>
        <v>0</v>
      </c>
      <c r="N865" s="5">
        <f>232.76/3</f>
        <v>77.586666666666659</v>
      </c>
      <c r="O865" s="5"/>
      <c r="P865" s="5">
        <f t="shared" si="44"/>
        <v>5058.586666666667</v>
      </c>
      <c r="Q865" s="1" t="s">
        <v>2887</v>
      </c>
      <c r="R865" s="1" t="s">
        <v>633</v>
      </c>
      <c r="S865" s="1" t="s">
        <v>1551</v>
      </c>
      <c r="T865" s="1" t="s">
        <v>2649</v>
      </c>
      <c r="U865" s="1"/>
      <c r="V865" s="1"/>
      <c r="W865" s="21"/>
      <c r="X865" s="8"/>
      <c r="Y865" s="8">
        <v>4</v>
      </c>
      <c r="Z865" s="22" t="s">
        <v>3404</v>
      </c>
      <c r="AA865" s="1"/>
      <c r="AB865" s="29"/>
      <c r="AC865" s="1"/>
      <c r="AD865" s="2"/>
    </row>
    <row r="866" spans="1:30" s="24" customFormat="1" x14ac:dyDescent="0.25">
      <c r="A866" s="4"/>
      <c r="B866" s="4">
        <v>45968</v>
      </c>
      <c r="C866" s="1" t="s">
        <v>1693</v>
      </c>
      <c r="D866" s="4" t="s">
        <v>2650</v>
      </c>
      <c r="E866" s="87" t="s">
        <v>1552</v>
      </c>
      <c r="F866" s="1" t="s">
        <v>1552</v>
      </c>
      <c r="G866" s="8">
        <v>4</v>
      </c>
      <c r="H866" s="8">
        <v>4</v>
      </c>
      <c r="I866" s="115">
        <f>Table223[[#This Row],[Qty]]-Table223[[#This Row],[Issue Qty]]</f>
        <v>0</v>
      </c>
      <c r="J866" s="5">
        <v>1245.25</v>
      </c>
      <c r="K866" s="5">
        <f t="shared" si="42"/>
        <v>4981</v>
      </c>
      <c r="L866" s="82">
        <v>0</v>
      </c>
      <c r="M866" s="9">
        <f t="shared" si="43"/>
        <v>0</v>
      </c>
      <c r="N866" s="5">
        <f>232.76/3</f>
        <v>77.586666666666659</v>
      </c>
      <c r="O866" s="5"/>
      <c r="P866" s="5">
        <f t="shared" si="44"/>
        <v>5058.586666666667</v>
      </c>
      <c r="Q866" s="1" t="s">
        <v>2887</v>
      </c>
      <c r="R866" s="1" t="s">
        <v>633</v>
      </c>
      <c r="S866" s="1" t="s">
        <v>1551</v>
      </c>
      <c r="T866" s="1" t="s">
        <v>2649</v>
      </c>
      <c r="U866" s="1"/>
      <c r="V866" s="1"/>
      <c r="W866" s="21"/>
      <c r="X866" s="8"/>
      <c r="Y866" s="8">
        <v>4</v>
      </c>
      <c r="Z866" s="22" t="s">
        <v>3404</v>
      </c>
      <c r="AA866" s="1"/>
      <c r="AB866" s="29"/>
      <c r="AC866" s="1"/>
      <c r="AD866" s="2"/>
    </row>
    <row r="867" spans="1:30" s="24" customFormat="1" x14ac:dyDescent="0.25">
      <c r="A867" s="4"/>
      <c r="B867" s="4">
        <v>45968</v>
      </c>
      <c r="C867" s="1" t="s">
        <v>1693</v>
      </c>
      <c r="D867" s="4" t="s">
        <v>2651</v>
      </c>
      <c r="E867" s="87" t="s">
        <v>1553</v>
      </c>
      <c r="F867" s="1" t="s">
        <v>1553</v>
      </c>
      <c r="G867" s="8">
        <v>4</v>
      </c>
      <c r="H867" s="8">
        <v>4</v>
      </c>
      <c r="I867" s="115">
        <f>Table223[[#This Row],[Qty]]-Table223[[#This Row],[Issue Qty]]</f>
        <v>0</v>
      </c>
      <c r="J867" s="5">
        <v>1245.25</v>
      </c>
      <c r="K867" s="5">
        <f t="shared" si="42"/>
        <v>4981</v>
      </c>
      <c r="L867" s="82">
        <v>0</v>
      </c>
      <c r="M867" s="9">
        <f t="shared" si="43"/>
        <v>0</v>
      </c>
      <c r="N867" s="5">
        <f>232.76/3</f>
        <v>77.586666666666659</v>
      </c>
      <c r="O867" s="5"/>
      <c r="P867" s="5">
        <f t="shared" si="44"/>
        <v>5058.586666666667</v>
      </c>
      <c r="Q867" s="1" t="s">
        <v>2887</v>
      </c>
      <c r="R867" s="1" t="s">
        <v>633</v>
      </c>
      <c r="S867" s="1" t="s">
        <v>1551</v>
      </c>
      <c r="T867" s="1" t="s">
        <v>2649</v>
      </c>
      <c r="U867" s="1"/>
      <c r="V867" s="1"/>
      <c r="W867" s="21" t="s">
        <v>650</v>
      </c>
      <c r="X867" s="8"/>
      <c r="Y867" s="8">
        <v>4</v>
      </c>
      <c r="Z867" s="22" t="s">
        <v>3404</v>
      </c>
      <c r="AA867" s="1"/>
      <c r="AB867" s="29"/>
      <c r="AC867" s="1"/>
      <c r="AD867" s="2"/>
    </row>
    <row r="868" spans="1:30" s="24" customFormat="1" x14ac:dyDescent="0.25">
      <c r="A868" s="4"/>
      <c r="B868" s="4">
        <v>45971</v>
      </c>
      <c r="C868" s="1" t="s">
        <v>1683</v>
      </c>
      <c r="D868" s="4" t="s">
        <v>2477</v>
      </c>
      <c r="E868" s="1" t="s">
        <v>1384</v>
      </c>
      <c r="F868" s="1" t="s">
        <v>1549</v>
      </c>
      <c r="G868" s="8">
        <v>1</v>
      </c>
      <c r="H868" s="8">
        <v>1</v>
      </c>
      <c r="I868" s="115">
        <f>Table223[[#This Row],[Qty]]-Table223[[#This Row],[Issue Qty]]</f>
        <v>0</v>
      </c>
      <c r="J868" s="5"/>
      <c r="K868" s="5">
        <f t="shared" si="42"/>
        <v>0</v>
      </c>
      <c r="L868" s="82"/>
      <c r="M868" s="9">
        <f t="shared" si="43"/>
        <v>0</v>
      </c>
      <c r="N868" s="5"/>
      <c r="O868" s="5"/>
      <c r="P868" s="5">
        <f t="shared" si="44"/>
        <v>0</v>
      </c>
      <c r="Q868" s="1" t="s">
        <v>145</v>
      </c>
      <c r="R868" s="1" t="s">
        <v>145</v>
      </c>
      <c r="S868" s="1" t="s">
        <v>896</v>
      </c>
      <c r="T868" s="1" t="s">
        <v>37</v>
      </c>
      <c r="U868" s="1"/>
      <c r="V868" s="2"/>
      <c r="W868" s="21"/>
      <c r="X868" s="21"/>
      <c r="Y868" s="21">
        <v>1</v>
      </c>
      <c r="Z868" s="12" t="s">
        <v>1100</v>
      </c>
      <c r="AA868" s="2"/>
      <c r="AB868" s="29"/>
      <c r="AC868" s="2"/>
      <c r="AD868" s="2"/>
    </row>
    <row r="869" spans="1:30" s="24" customFormat="1" x14ac:dyDescent="0.25">
      <c r="A869" s="4"/>
      <c r="B869" s="4">
        <v>45971</v>
      </c>
      <c r="C869" s="1" t="s">
        <v>1693</v>
      </c>
      <c r="D869" s="4" t="s">
        <v>2652</v>
      </c>
      <c r="E869" s="1" t="s">
        <v>1554</v>
      </c>
      <c r="F869" s="1" t="s">
        <v>1554</v>
      </c>
      <c r="G869" s="8">
        <v>1</v>
      </c>
      <c r="H869" s="8">
        <v>1</v>
      </c>
      <c r="I869" s="115">
        <f>Table223[[#This Row],[Qty]]-Table223[[#This Row],[Issue Qty]]</f>
        <v>0</v>
      </c>
      <c r="J869" s="5">
        <v>1870</v>
      </c>
      <c r="K869" s="5">
        <f t="shared" si="42"/>
        <v>1870</v>
      </c>
      <c r="L869" s="82">
        <v>0.05</v>
      </c>
      <c r="M869" s="9">
        <f t="shared" si="43"/>
        <v>93.5</v>
      </c>
      <c r="N869" s="5"/>
      <c r="O869" s="5">
        <v>0.5</v>
      </c>
      <c r="P869" s="5">
        <f t="shared" si="44"/>
        <v>1964</v>
      </c>
      <c r="Q869" s="1" t="s">
        <v>145</v>
      </c>
      <c r="R869" s="1" t="s">
        <v>145</v>
      </c>
      <c r="S869" s="1" t="s">
        <v>794</v>
      </c>
      <c r="T869" s="1" t="s">
        <v>2653</v>
      </c>
      <c r="U869" s="1"/>
      <c r="V869" s="1"/>
      <c r="W869" s="21" t="s">
        <v>650</v>
      </c>
      <c r="X869" s="8"/>
      <c r="Y869" s="8">
        <v>1</v>
      </c>
      <c r="Z869" s="22" t="s">
        <v>145</v>
      </c>
      <c r="AA869" s="1"/>
      <c r="AB869" s="29"/>
      <c r="AC869" s="1"/>
      <c r="AD869" s="2"/>
    </row>
    <row r="870" spans="1:30" s="24" customFormat="1" x14ac:dyDescent="0.25">
      <c r="A870" s="4"/>
      <c r="B870" s="4">
        <v>45971</v>
      </c>
      <c r="C870" s="1" t="s">
        <v>1683</v>
      </c>
      <c r="D870" s="4" t="s">
        <v>2654</v>
      </c>
      <c r="E870" s="1" t="s">
        <v>1555</v>
      </c>
      <c r="F870" s="1" t="s">
        <v>1555</v>
      </c>
      <c r="G870" s="8">
        <v>1</v>
      </c>
      <c r="H870" s="8"/>
      <c r="I870" s="115">
        <f>Table223[[#This Row],[Qty]]-Table223[[#This Row],[Issue Qty]]</f>
        <v>1</v>
      </c>
      <c r="J870" s="5">
        <v>1800</v>
      </c>
      <c r="K870" s="5">
        <f t="shared" si="42"/>
        <v>1800</v>
      </c>
      <c r="L870" s="82">
        <v>0.18</v>
      </c>
      <c r="M870" s="9">
        <f t="shared" si="43"/>
        <v>324</v>
      </c>
      <c r="N870" s="5"/>
      <c r="O870" s="5"/>
      <c r="P870" s="5">
        <f t="shared" si="44"/>
        <v>2124</v>
      </c>
      <c r="Q870" s="1" t="s">
        <v>2887</v>
      </c>
      <c r="R870" s="1" t="s">
        <v>633</v>
      </c>
      <c r="S870" s="1" t="s">
        <v>896</v>
      </c>
      <c r="T870" s="1" t="s">
        <v>2655</v>
      </c>
      <c r="U870" s="1"/>
      <c r="V870" s="2"/>
      <c r="W870" s="21"/>
      <c r="X870" s="21"/>
      <c r="Y870" s="21">
        <v>1</v>
      </c>
      <c r="Z870" s="12" t="s">
        <v>1100</v>
      </c>
      <c r="AA870" s="2"/>
      <c r="AB870" s="29"/>
      <c r="AC870" s="2"/>
      <c r="AD870" s="2"/>
    </row>
    <row r="871" spans="1:30" s="24" customFormat="1" ht="45" x14ac:dyDescent="0.25">
      <c r="A871" s="4"/>
      <c r="B871" s="4">
        <v>45972</v>
      </c>
      <c r="C871" s="1" t="s">
        <v>1683</v>
      </c>
      <c r="D871" s="1" t="s">
        <v>2656</v>
      </c>
      <c r="E871" s="1" t="s">
        <v>1556</v>
      </c>
      <c r="F871" s="1" t="s">
        <v>1556</v>
      </c>
      <c r="G871" s="8">
        <v>1</v>
      </c>
      <c r="H871" s="8"/>
      <c r="I871" s="115">
        <f>Table223[[#This Row],[Qty]]-Table223[[#This Row],[Issue Qty]]</f>
        <v>1</v>
      </c>
      <c r="J871" s="5">
        <v>8729.66</v>
      </c>
      <c r="K871" s="5">
        <f t="shared" si="42"/>
        <v>8729.66</v>
      </c>
      <c r="L871" s="82">
        <v>0.18</v>
      </c>
      <c r="M871" s="9">
        <f t="shared" si="43"/>
        <v>1571.3388</v>
      </c>
      <c r="N871" s="5"/>
      <c r="O871" s="5"/>
      <c r="P871" s="5">
        <f t="shared" si="44"/>
        <v>10300.998799999999</v>
      </c>
      <c r="Q871" s="1" t="s">
        <v>145</v>
      </c>
      <c r="R871" s="1" t="s">
        <v>145</v>
      </c>
      <c r="S871" s="1" t="s">
        <v>634</v>
      </c>
      <c r="T871" s="1" t="s">
        <v>2657</v>
      </c>
      <c r="U871" s="1"/>
      <c r="V871" s="1"/>
      <c r="W871" s="21" t="s">
        <v>398</v>
      </c>
      <c r="X871" s="8"/>
      <c r="Y871" s="8"/>
      <c r="Z871" s="22"/>
      <c r="AA871" s="1"/>
      <c r="AB871" s="29"/>
      <c r="AC871" s="2"/>
      <c r="AD871" s="2"/>
    </row>
    <row r="872" spans="1:30" s="24" customFormat="1" x14ac:dyDescent="0.25">
      <c r="A872" s="4"/>
      <c r="B872" s="4">
        <v>45973</v>
      </c>
      <c r="C872" s="1" t="s">
        <v>1683</v>
      </c>
      <c r="D872" s="1" t="s">
        <v>2654</v>
      </c>
      <c r="E872" s="1" t="s">
        <v>1555</v>
      </c>
      <c r="F872" s="1" t="s">
        <v>1555</v>
      </c>
      <c r="G872" s="8">
        <v>2</v>
      </c>
      <c r="H872" s="8"/>
      <c r="I872" s="115">
        <f>Table223[[#This Row],[Qty]]-Table223[[#This Row],[Issue Qty]]</f>
        <v>2</v>
      </c>
      <c r="J872" s="5">
        <v>1500</v>
      </c>
      <c r="K872" s="5">
        <f t="shared" si="42"/>
        <v>3000</v>
      </c>
      <c r="L872" s="82">
        <v>0.18</v>
      </c>
      <c r="M872" s="9">
        <f t="shared" si="43"/>
        <v>540</v>
      </c>
      <c r="N872" s="5"/>
      <c r="O872" s="5"/>
      <c r="P872" s="5">
        <f t="shared" si="44"/>
        <v>3540</v>
      </c>
      <c r="Q872" s="1" t="s">
        <v>2887</v>
      </c>
      <c r="R872" s="1" t="s">
        <v>633</v>
      </c>
      <c r="S872" s="1" t="s">
        <v>896</v>
      </c>
      <c r="T872" s="1" t="s">
        <v>2658</v>
      </c>
      <c r="U872" s="1"/>
      <c r="V872" s="2"/>
      <c r="W872" s="21"/>
      <c r="X872" s="21"/>
      <c r="Y872" s="21">
        <v>2</v>
      </c>
      <c r="Z872" s="12" t="s">
        <v>1032</v>
      </c>
      <c r="AA872" s="2"/>
      <c r="AB872" s="29"/>
      <c r="AC872" s="2"/>
      <c r="AD872" s="2"/>
    </row>
    <row r="873" spans="1:30" s="24" customFormat="1" x14ac:dyDescent="0.25">
      <c r="A873" s="4"/>
      <c r="B873" s="4">
        <v>45973</v>
      </c>
      <c r="C873" s="1" t="s">
        <v>1683</v>
      </c>
      <c r="D873" s="1" t="s">
        <v>2072</v>
      </c>
      <c r="E873" s="1" t="s">
        <v>827</v>
      </c>
      <c r="F873" s="1" t="s">
        <v>827</v>
      </c>
      <c r="G873" s="58">
        <v>6</v>
      </c>
      <c r="H873" s="58"/>
      <c r="I873" s="159">
        <f>Table223[[#This Row],[Qty]]-Table223[[#This Row],[Issue Qty]]</f>
        <v>6</v>
      </c>
      <c r="J873" s="5">
        <v>13625</v>
      </c>
      <c r="K873" s="5">
        <f t="shared" si="42"/>
        <v>81750</v>
      </c>
      <c r="L873" s="82">
        <v>0.18</v>
      </c>
      <c r="M873" s="9">
        <f t="shared" si="43"/>
        <v>14715</v>
      </c>
      <c r="N873" s="5"/>
      <c r="O873" s="5"/>
      <c r="P873" s="5">
        <f t="shared" si="44"/>
        <v>96465</v>
      </c>
      <c r="Q873" s="1" t="s">
        <v>606</v>
      </c>
      <c r="R873" s="1" t="s">
        <v>606</v>
      </c>
      <c r="S873" s="1" t="s">
        <v>444</v>
      </c>
      <c r="T873" s="1" t="s">
        <v>2659</v>
      </c>
      <c r="U873" s="1"/>
      <c r="V873" s="1"/>
      <c r="W873" s="21" t="s">
        <v>398</v>
      </c>
      <c r="X873" s="8"/>
      <c r="Y873" s="8"/>
      <c r="Z873" s="22"/>
      <c r="AA873" s="1"/>
      <c r="AB873" s="29"/>
      <c r="AC873" s="2"/>
      <c r="AD873" s="2"/>
    </row>
    <row r="874" spans="1:30" s="24" customFormat="1" x14ac:dyDescent="0.25">
      <c r="A874" s="4"/>
      <c r="B874" s="4">
        <v>45974</v>
      </c>
      <c r="C874" s="1" t="s">
        <v>1683</v>
      </c>
      <c r="D874" s="1" t="s">
        <v>2515</v>
      </c>
      <c r="E874" s="1" t="s">
        <v>1422</v>
      </c>
      <c r="F874" s="1" t="s">
        <v>1422</v>
      </c>
      <c r="G874" s="8">
        <v>3</v>
      </c>
      <c r="H874" s="8"/>
      <c r="I874" s="115">
        <f>Table223[[#This Row],[Qty]]-Table223[[#This Row],[Issue Qty]]</f>
        <v>3</v>
      </c>
      <c r="J874" s="5">
        <v>3000</v>
      </c>
      <c r="K874" s="5">
        <f t="shared" si="42"/>
        <v>9000</v>
      </c>
      <c r="L874" s="82">
        <v>0.18</v>
      </c>
      <c r="M874" s="9">
        <f t="shared" si="43"/>
        <v>1620</v>
      </c>
      <c r="N874" s="5"/>
      <c r="O874" s="5"/>
      <c r="P874" s="5">
        <f t="shared" si="44"/>
        <v>10620</v>
      </c>
      <c r="Q874" s="1" t="s">
        <v>980</v>
      </c>
      <c r="R874" s="1" t="s">
        <v>980</v>
      </c>
      <c r="S874" s="1" t="s">
        <v>896</v>
      </c>
      <c r="T874" s="1" t="s">
        <v>2658</v>
      </c>
      <c r="U874" s="1"/>
      <c r="V874" s="2"/>
      <c r="W874" s="21" t="s">
        <v>398</v>
      </c>
      <c r="X874" s="21"/>
      <c r="Y874" s="21">
        <v>2</v>
      </c>
      <c r="Z874" s="12" t="s">
        <v>1032</v>
      </c>
      <c r="AA874" s="2"/>
      <c r="AB874" s="29"/>
      <c r="AC874" s="2"/>
      <c r="AD874" s="2"/>
    </row>
    <row r="875" spans="1:30" s="24" customFormat="1" x14ac:dyDescent="0.25">
      <c r="A875" s="4"/>
      <c r="B875" s="4">
        <v>45976</v>
      </c>
      <c r="C875" s="1" t="s">
        <v>1683</v>
      </c>
      <c r="D875" s="1" t="s">
        <v>2660</v>
      </c>
      <c r="E875" s="1" t="s">
        <v>1557</v>
      </c>
      <c r="F875" s="1" t="s">
        <v>1557</v>
      </c>
      <c r="G875" s="8">
        <v>10</v>
      </c>
      <c r="H875" s="8">
        <v>10</v>
      </c>
      <c r="I875" s="115">
        <f>Table223[[#This Row],[Qty]]-Table223[[#This Row],[Issue Qty]]</f>
        <v>0</v>
      </c>
      <c r="J875" s="5"/>
      <c r="K875" s="5">
        <f t="shared" si="42"/>
        <v>0</v>
      </c>
      <c r="L875" s="82"/>
      <c r="M875" s="9">
        <f t="shared" si="43"/>
        <v>0</v>
      </c>
      <c r="N875" s="5"/>
      <c r="O875" s="5"/>
      <c r="P875" s="5">
        <f t="shared" si="44"/>
        <v>0</v>
      </c>
      <c r="Q875" s="1" t="s">
        <v>1408</v>
      </c>
      <c r="R875" s="1" t="s">
        <v>1408</v>
      </c>
      <c r="S875" s="1" t="s">
        <v>444</v>
      </c>
      <c r="T875" s="1"/>
      <c r="U875" s="1"/>
      <c r="V875" s="2"/>
      <c r="W875" s="21" t="s">
        <v>638</v>
      </c>
      <c r="X875" s="21" t="s">
        <v>1963</v>
      </c>
      <c r="Y875" s="21"/>
      <c r="Z875" s="12" t="s">
        <v>1558</v>
      </c>
      <c r="AA875" s="2"/>
      <c r="AB875" s="29"/>
      <c r="AC875" s="2"/>
      <c r="AD875" s="2"/>
    </row>
    <row r="876" spans="1:30" s="24" customFormat="1" x14ac:dyDescent="0.25">
      <c r="A876" s="4"/>
      <c r="B876" s="4">
        <v>45981</v>
      </c>
      <c r="C876" s="1" t="s">
        <v>1730</v>
      </c>
      <c r="D876" s="1" t="s">
        <v>2661</v>
      </c>
      <c r="E876" s="1" t="s">
        <v>1559</v>
      </c>
      <c r="F876" s="1" t="s">
        <v>1559</v>
      </c>
      <c r="G876" s="8">
        <v>1</v>
      </c>
      <c r="H876" s="8"/>
      <c r="I876" s="115">
        <f>Table223[[#This Row],[Qty]]-Table223[[#This Row],[Issue Qty]]</f>
        <v>1</v>
      </c>
      <c r="J876" s="5">
        <v>320</v>
      </c>
      <c r="K876" s="5">
        <f t="shared" si="42"/>
        <v>320</v>
      </c>
      <c r="L876" s="82">
        <v>0.18</v>
      </c>
      <c r="M876" s="9">
        <f t="shared" si="43"/>
        <v>57.599999999999994</v>
      </c>
      <c r="N876" s="5">
        <v>60</v>
      </c>
      <c r="O876" s="5"/>
      <c r="P876" s="5">
        <f t="shared" si="44"/>
        <v>437.6</v>
      </c>
      <c r="Q876" s="1" t="s">
        <v>606</v>
      </c>
      <c r="R876" s="1" t="s">
        <v>606</v>
      </c>
      <c r="S876" s="1" t="s">
        <v>1560</v>
      </c>
      <c r="T876" s="1" t="s">
        <v>2662</v>
      </c>
      <c r="U876" s="1"/>
      <c r="V876" s="1"/>
      <c r="W876" s="21" t="s">
        <v>3198</v>
      </c>
      <c r="X876" s="8"/>
      <c r="Y876" s="8"/>
      <c r="Z876" s="22"/>
      <c r="AA876" s="1"/>
      <c r="AB876" s="29"/>
      <c r="AC876" s="1" t="s">
        <v>1638</v>
      </c>
      <c r="AD876" s="2"/>
    </row>
    <row r="877" spans="1:30" s="24" customFormat="1" ht="30" x14ac:dyDescent="0.25">
      <c r="A877" s="4"/>
      <c r="B877" s="4">
        <v>45982</v>
      </c>
      <c r="C877" s="1" t="s">
        <v>1693</v>
      </c>
      <c r="D877" s="1" t="s">
        <v>2587</v>
      </c>
      <c r="E877" s="1" t="s">
        <v>1491</v>
      </c>
      <c r="F877" s="1" t="s">
        <v>1491</v>
      </c>
      <c r="G877" s="8">
        <v>10</v>
      </c>
      <c r="H877" s="8">
        <v>4</v>
      </c>
      <c r="I877" s="115">
        <f>Table223[[#This Row],[Qty]]-Table223[[#This Row],[Issue Qty]]</f>
        <v>6</v>
      </c>
      <c r="J877" s="5">
        <v>463.01</v>
      </c>
      <c r="K877" s="5">
        <f t="shared" si="42"/>
        <v>4630.1000000000004</v>
      </c>
      <c r="L877" s="82">
        <v>0.18</v>
      </c>
      <c r="M877" s="9">
        <f t="shared" si="43"/>
        <v>833.41800000000001</v>
      </c>
      <c r="N877" s="5"/>
      <c r="O877" s="5">
        <v>0.48</v>
      </c>
      <c r="P877" s="5">
        <f t="shared" si="44"/>
        <v>5463.9979999999996</v>
      </c>
      <c r="Q877" s="1" t="s">
        <v>2887</v>
      </c>
      <c r="R877" s="1" t="s">
        <v>633</v>
      </c>
      <c r="S877" s="1" t="s">
        <v>312</v>
      </c>
      <c r="T877" s="1" t="s">
        <v>2663</v>
      </c>
      <c r="U877" s="1"/>
      <c r="V877" s="1"/>
      <c r="W877" s="21" t="s">
        <v>650</v>
      </c>
      <c r="X877" s="8"/>
      <c r="Y877" s="8">
        <v>4</v>
      </c>
      <c r="Z877" s="22" t="s">
        <v>3352</v>
      </c>
      <c r="AA877" s="1"/>
      <c r="AB877" s="29"/>
      <c r="AC877" s="1" t="s">
        <v>1639</v>
      </c>
      <c r="AD877" s="2"/>
    </row>
    <row r="878" spans="1:30" s="24" customFormat="1" x14ac:dyDescent="0.25">
      <c r="A878" s="4"/>
      <c r="B878" s="4"/>
      <c r="C878" s="1" t="s">
        <v>54</v>
      </c>
      <c r="D878" s="1" t="s">
        <v>2565</v>
      </c>
      <c r="E878" s="39" t="s">
        <v>1472</v>
      </c>
      <c r="F878" s="1" t="s">
        <v>1472</v>
      </c>
      <c r="G878" s="8">
        <v>6</v>
      </c>
      <c r="H878" s="8">
        <v>4</v>
      </c>
      <c r="I878" s="115">
        <f>Table223[[#This Row],[Qty]]-Table223[[#This Row],[Issue Qty]]</f>
        <v>2</v>
      </c>
      <c r="J878" s="5">
        <v>26190.47</v>
      </c>
      <c r="K878" s="5">
        <f t="shared" si="42"/>
        <v>157142.82</v>
      </c>
      <c r="L878" s="82">
        <v>0.05</v>
      </c>
      <c r="M878" s="9">
        <f t="shared" si="43"/>
        <v>7857.1410000000005</v>
      </c>
      <c r="N878" s="5">
        <v>840</v>
      </c>
      <c r="O878" s="5">
        <v>0.04</v>
      </c>
      <c r="P878" s="5">
        <f t="shared" si="44"/>
        <v>165840.00100000002</v>
      </c>
      <c r="Q878" s="1" t="s">
        <v>2887</v>
      </c>
      <c r="R878" s="1" t="s">
        <v>633</v>
      </c>
      <c r="S878" s="1" t="s">
        <v>1255</v>
      </c>
      <c r="T878" s="1" t="s">
        <v>2664</v>
      </c>
      <c r="U878" s="1"/>
      <c r="V878" s="1"/>
      <c r="W878" s="21" t="s">
        <v>3349</v>
      </c>
      <c r="X878" s="8"/>
      <c r="Y878" s="8">
        <v>4</v>
      </c>
      <c r="Z878" s="22" t="s">
        <v>3314</v>
      </c>
      <c r="AA878" s="1"/>
      <c r="AB878" s="29"/>
      <c r="AC878" s="1"/>
      <c r="AD878" s="2"/>
    </row>
    <row r="879" spans="1:30" s="24" customFormat="1" ht="30" x14ac:dyDescent="0.25">
      <c r="A879" s="4"/>
      <c r="B879" s="4">
        <v>45985</v>
      </c>
      <c r="C879" s="1" t="s">
        <v>1695</v>
      </c>
      <c r="D879" s="1" t="s">
        <v>2578</v>
      </c>
      <c r="E879" s="1" t="s">
        <v>1485</v>
      </c>
      <c r="F879" s="1" t="s">
        <v>1485</v>
      </c>
      <c r="G879" s="8">
        <v>1</v>
      </c>
      <c r="H879" s="8"/>
      <c r="I879" s="115">
        <f>Table223[[#This Row],[Qty]]-Table223[[#This Row],[Issue Qty]]</f>
        <v>1</v>
      </c>
      <c r="J879" s="5">
        <v>368000</v>
      </c>
      <c r="K879" s="5">
        <f t="shared" si="42"/>
        <v>368000</v>
      </c>
      <c r="L879" s="82">
        <v>0.05</v>
      </c>
      <c r="M879" s="9">
        <f t="shared" si="43"/>
        <v>18400</v>
      </c>
      <c r="N879" s="5"/>
      <c r="O879" s="5"/>
      <c r="P879" s="5">
        <f t="shared" si="44"/>
        <v>386400</v>
      </c>
      <c r="Q879" s="1" t="s">
        <v>2887</v>
      </c>
      <c r="R879" s="1" t="s">
        <v>633</v>
      </c>
      <c r="S879" s="1" t="s">
        <v>1420</v>
      </c>
      <c r="T879" s="1" t="s">
        <v>2665</v>
      </c>
      <c r="U879" s="1"/>
      <c r="V879" s="1"/>
      <c r="W879" s="21" t="s">
        <v>313</v>
      </c>
      <c r="X879" s="8"/>
      <c r="Y879" s="8">
        <v>1</v>
      </c>
      <c r="Z879" s="22" t="s">
        <v>1546</v>
      </c>
      <c r="AA879" s="1"/>
      <c r="AB879" s="29"/>
      <c r="AC879" s="1" t="s">
        <v>1640</v>
      </c>
      <c r="AD879" s="2"/>
    </row>
    <row r="880" spans="1:30" s="24" customFormat="1" x14ac:dyDescent="0.25">
      <c r="A880" s="4"/>
      <c r="B880" s="4">
        <v>45992</v>
      </c>
      <c r="C880" s="1" t="s">
        <v>1683</v>
      </c>
      <c r="D880" s="1" t="s">
        <v>2666</v>
      </c>
      <c r="E880" s="1" t="s">
        <v>1561</v>
      </c>
      <c r="F880" s="1" t="s">
        <v>1561</v>
      </c>
      <c r="G880" s="8">
        <v>50</v>
      </c>
      <c r="H880" s="8"/>
      <c r="I880" s="115">
        <f>Table223[[#This Row],[Qty]]-Table223[[#This Row],[Issue Qty]]</f>
        <v>50</v>
      </c>
      <c r="J880" s="5">
        <v>52</v>
      </c>
      <c r="K880" s="5">
        <f t="shared" si="42"/>
        <v>2600</v>
      </c>
      <c r="L880" s="82">
        <v>0.18</v>
      </c>
      <c r="M880" s="9">
        <f t="shared" si="43"/>
        <v>468</v>
      </c>
      <c r="N880" s="5"/>
      <c r="O880" s="5"/>
      <c r="P880" s="5">
        <f t="shared" si="44"/>
        <v>3068</v>
      </c>
      <c r="Q880" s="1" t="s">
        <v>606</v>
      </c>
      <c r="R880" s="1" t="s">
        <v>606</v>
      </c>
      <c r="S880" s="1" t="s">
        <v>444</v>
      </c>
      <c r="T880" s="1" t="s">
        <v>2667</v>
      </c>
      <c r="U880" s="1">
        <v>85441920</v>
      </c>
      <c r="V880" s="1"/>
      <c r="W880" s="21" t="s">
        <v>78</v>
      </c>
      <c r="X880" s="21" t="s">
        <v>1084</v>
      </c>
      <c r="Y880" s="8">
        <v>1</v>
      </c>
      <c r="Z880" s="22" t="s">
        <v>474</v>
      </c>
      <c r="AA880" s="1"/>
      <c r="AB880" s="29"/>
      <c r="AC880" s="2"/>
      <c r="AD880" s="2"/>
    </row>
    <row r="881" spans="1:30" s="24" customFormat="1" x14ac:dyDescent="0.25">
      <c r="A881" s="4"/>
      <c r="B881" s="4">
        <v>45992</v>
      </c>
      <c r="C881" s="1" t="s">
        <v>54</v>
      </c>
      <c r="D881" s="1" t="s">
        <v>2668</v>
      </c>
      <c r="E881" s="1" t="s">
        <v>1562</v>
      </c>
      <c r="F881" s="1" t="s">
        <v>1562</v>
      </c>
      <c r="G881" s="8">
        <v>3</v>
      </c>
      <c r="H881" s="8">
        <v>3</v>
      </c>
      <c r="I881" s="115">
        <f>Table223[[#This Row],[Qty]]-Table223[[#This Row],[Issue Qty]]</f>
        <v>0</v>
      </c>
      <c r="J881" s="5">
        <v>757.14</v>
      </c>
      <c r="K881" s="5">
        <f t="shared" ref="K881:K944" si="45">G881*J881</f>
        <v>2271.42</v>
      </c>
      <c r="L881" s="82">
        <v>0.05</v>
      </c>
      <c r="M881" s="9">
        <f t="shared" ref="M881:M944" si="46">K881*L881</f>
        <v>113.57100000000001</v>
      </c>
      <c r="N881" s="5">
        <v>200</v>
      </c>
      <c r="O881" s="5">
        <v>0.01</v>
      </c>
      <c r="P881" s="5">
        <f t="shared" ref="P881:P944" si="47">K881+M881+N881+O881</f>
        <v>2585.0010000000002</v>
      </c>
      <c r="Q881" s="1" t="s">
        <v>145</v>
      </c>
      <c r="R881" s="1" t="s">
        <v>145</v>
      </c>
      <c r="S881" s="1" t="s">
        <v>968</v>
      </c>
      <c r="T881" s="1" t="s">
        <v>2669</v>
      </c>
      <c r="U881" s="1">
        <v>88073020</v>
      </c>
      <c r="V881" s="1"/>
      <c r="W881" s="21" t="s">
        <v>156</v>
      </c>
      <c r="X881" s="8"/>
      <c r="Y881" s="8">
        <v>3</v>
      </c>
      <c r="Z881" s="22" t="s">
        <v>145</v>
      </c>
      <c r="AA881" s="1"/>
      <c r="AB881" s="29"/>
      <c r="AC881" s="2"/>
      <c r="AD881" s="2"/>
    </row>
    <row r="882" spans="1:30" s="24" customFormat="1" ht="30" x14ac:dyDescent="0.25">
      <c r="A882" s="4"/>
      <c r="B882" s="4">
        <v>45992</v>
      </c>
      <c r="C882" s="1" t="s">
        <v>1683</v>
      </c>
      <c r="D882" s="1" t="s">
        <v>2670</v>
      </c>
      <c r="E882" s="1" t="s">
        <v>1563</v>
      </c>
      <c r="F882" s="1" t="s">
        <v>1563</v>
      </c>
      <c r="G882" s="8">
        <v>18</v>
      </c>
      <c r="H882" s="8">
        <v>5</v>
      </c>
      <c r="I882" s="115">
        <f>Table223[[#This Row],[Qty]]-Table223[[#This Row],[Issue Qty]]</f>
        <v>13</v>
      </c>
      <c r="J882" s="5">
        <v>116.94</v>
      </c>
      <c r="K882" s="5">
        <f t="shared" si="45"/>
        <v>2104.92</v>
      </c>
      <c r="L882" s="82">
        <v>0.18</v>
      </c>
      <c r="M882" s="9">
        <f t="shared" si="46"/>
        <v>378.88560000000001</v>
      </c>
      <c r="N882" s="5">
        <v>105.46</v>
      </c>
      <c r="O882" s="5"/>
      <c r="P882" s="5">
        <f t="shared" si="47"/>
        <v>2589.2656000000002</v>
      </c>
      <c r="Q882" s="1" t="s">
        <v>606</v>
      </c>
      <c r="R882" s="1" t="s">
        <v>606</v>
      </c>
      <c r="S882" s="1" t="s">
        <v>634</v>
      </c>
      <c r="T882" s="1" t="s">
        <v>2671</v>
      </c>
      <c r="U882" s="1">
        <v>85365010</v>
      </c>
      <c r="V882" s="1" t="s">
        <v>2672</v>
      </c>
      <c r="W882" s="21" t="s">
        <v>78</v>
      </c>
      <c r="X882" s="8"/>
      <c r="Y882" s="8">
        <f>4+3</f>
        <v>7</v>
      </c>
      <c r="Z882" s="22" t="s">
        <v>2673</v>
      </c>
      <c r="AA882" s="1"/>
      <c r="AB882" s="29"/>
      <c r="AC882" s="2"/>
      <c r="AD882" s="2"/>
    </row>
    <row r="883" spans="1:30" s="24" customFormat="1" ht="30" x14ac:dyDescent="0.25">
      <c r="A883" s="4"/>
      <c r="B883" s="4">
        <v>45992</v>
      </c>
      <c r="C883" s="1" t="s">
        <v>1683</v>
      </c>
      <c r="D883" s="1" t="s">
        <v>2674</v>
      </c>
      <c r="E883" s="1" t="s">
        <v>1564</v>
      </c>
      <c r="F883" s="1" t="s">
        <v>1564</v>
      </c>
      <c r="G883" s="8">
        <v>18</v>
      </c>
      <c r="H883" s="8">
        <v>7</v>
      </c>
      <c r="I883" s="115">
        <f>Table223[[#This Row],[Qty]]-Table223[[#This Row],[Issue Qty]]</f>
        <v>11</v>
      </c>
      <c r="J883" s="5">
        <v>210.28</v>
      </c>
      <c r="K883" s="5">
        <f t="shared" si="45"/>
        <v>3785.04</v>
      </c>
      <c r="L883" s="82">
        <v>0.18</v>
      </c>
      <c r="M883" s="9">
        <f t="shared" si="46"/>
        <v>681.30719999999997</v>
      </c>
      <c r="N883" s="5">
        <v>105.46</v>
      </c>
      <c r="O883" s="5"/>
      <c r="P883" s="5">
        <f t="shared" si="47"/>
        <v>4571.8072000000002</v>
      </c>
      <c r="Q883" s="1" t="s">
        <v>606</v>
      </c>
      <c r="R883" s="1" t="s">
        <v>606</v>
      </c>
      <c r="S883" s="1" t="s">
        <v>634</v>
      </c>
      <c r="T883" s="1" t="s">
        <v>2671</v>
      </c>
      <c r="U883" s="1">
        <v>85365010</v>
      </c>
      <c r="V883" s="1" t="s">
        <v>2675</v>
      </c>
      <c r="W883" s="21" t="s">
        <v>78</v>
      </c>
      <c r="X883" s="8"/>
      <c r="Y883" s="8">
        <f>6+3</f>
        <v>9</v>
      </c>
      <c r="Z883" s="22" t="s">
        <v>2673</v>
      </c>
      <c r="AA883" s="1"/>
      <c r="AB883" s="29"/>
      <c r="AC883" s="2"/>
      <c r="AD883" s="2"/>
    </row>
    <row r="884" spans="1:30" s="24" customFormat="1" x14ac:dyDescent="0.25">
      <c r="A884" s="4"/>
      <c r="B884" s="4">
        <v>45992</v>
      </c>
      <c r="C884" s="1" t="s">
        <v>1683</v>
      </c>
      <c r="D884" s="1" t="s">
        <v>2676</v>
      </c>
      <c r="E884" s="1" t="s">
        <v>1565</v>
      </c>
      <c r="F884" s="1" t="s">
        <v>1565</v>
      </c>
      <c r="G884" s="8">
        <v>20</v>
      </c>
      <c r="H884" s="8"/>
      <c r="I884" s="115">
        <f>Table223[[#This Row],[Qty]]-Table223[[#This Row],[Issue Qty]]</f>
        <v>20</v>
      </c>
      <c r="J884" s="5">
        <v>148</v>
      </c>
      <c r="K884" s="5">
        <f t="shared" si="45"/>
        <v>2960</v>
      </c>
      <c r="L884" s="82">
        <v>0.18</v>
      </c>
      <c r="M884" s="9">
        <f t="shared" si="46"/>
        <v>532.79999999999995</v>
      </c>
      <c r="N884" s="5"/>
      <c r="O884" s="5"/>
      <c r="P884" s="5">
        <f t="shared" si="47"/>
        <v>3492.8</v>
      </c>
      <c r="Q884" s="1" t="s">
        <v>606</v>
      </c>
      <c r="R884" s="1" t="s">
        <v>606</v>
      </c>
      <c r="S884" s="1" t="s">
        <v>444</v>
      </c>
      <c r="T884" s="1" t="s">
        <v>2667</v>
      </c>
      <c r="U884" s="1">
        <v>85441920</v>
      </c>
      <c r="V884" s="1"/>
      <c r="W884" s="21" t="s">
        <v>78</v>
      </c>
      <c r="X884" s="21" t="s">
        <v>1566</v>
      </c>
      <c r="Y884" s="8">
        <v>18</v>
      </c>
      <c r="Z884" s="22" t="s">
        <v>81</v>
      </c>
      <c r="AA884" s="1"/>
      <c r="AB884" s="29"/>
      <c r="AC884" s="2"/>
      <c r="AD884" s="2"/>
    </row>
    <row r="885" spans="1:30" s="24" customFormat="1" x14ac:dyDescent="0.25">
      <c r="A885" s="4"/>
      <c r="B885" s="4">
        <v>45992</v>
      </c>
      <c r="C885" s="1" t="s">
        <v>1683</v>
      </c>
      <c r="D885" s="1" t="s">
        <v>2676</v>
      </c>
      <c r="E885" s="1" t="s">
        <v>1565</v>
      </c>
      <c r="F885" s="1" t="s">
        <v>1565</v>
      </c>
      <c r="G885" s="8">
        <v>25</v>
      </c>
      <c r="H885" s="8"/>
      <c r="I885" s="115">
        <f>Table223[[#This Row],[Qty]]-Table223[[#This Row],[Issue Qty]]</f>
        <v>25</v>
      </c>
      <c r="J885" s="5">
        <v>54</v>
      </c>
      <c r="K885" s="5">
        <f t="shared" si="45"/>
        <v>1350</v>
      </c>
      <c r="L885" s="82">
        <v>0.18</v>
      </c>
      <c r="M885" s="9">
        <f t="shared" si="46"/>
        <v>243</v>
      </c>
      <c r="N885" s="5"/>
      <c r="O885" s="5"/>
      <c r="P885" s="5">
        <f t="shared" si="47"/>
        <v>1593</v>
      </c>
      <c r="Q885" s="1" t="s">
        <v>606</v>
      </c>
      <c r="R885" s="1" t="s">
        <v>606</v>
      </c>
      <c r="S885" s="1" t="s">
        <v>444</v>
      </c>
      <c r="T885" s="1" t="s">
        <v>2667</v>
      </c>
      <c r="U885" s="1">
        <v>85441920</v>
      </c>
      <c r="V885" s="1"/>
      <c r="W885" s="21" t="s">
        <v>78</v>
      </c>
      <c r="X885" s="21" t="s">
        <v>1566</v>
      </c>
      <c r="Y885" s="8"/>
      <c r="Z885" s="22" t="s">
        <v>81</v>
      </c>
      <c r="AA885" s="1"/>
      <c r="AB885" s="29"/>
      <c r="AC885" s="2"/>
      <c r="AD885" s="2"/>
    </row>
    <row r="886" spans="1:30" s="24" customFormat="1" x14ac:dyDescent="0.25">
      <c r="A886" s="4"/>
      <c r="B886" s="4">
        <v>45992</v>
      </c>
      <c r="C886" s="1" t="s">
        <v>1683</v>
      </c>
      <c r="D886" s="1" t="s">
        <v>1996</v>
      </c>
      <c r="E886" s="1" t="s">
        <v>705</v>
      </c>
      <c r="F886" s="1" t="s">
        <v>705</v>
      </c>
      <c r="G886" s="8">
        <v>42</v>
      </c>
      <c r="H886" s="8"/>
      <c r="I886" s="115">
        <f>Table223[[#This Row],[Qty]]-Table223[[#This Row],[Issue Qty]]</f>
        <v>42</v>
      </c>
      <c r="J886" s="5">
        <v>25</v>
      </c>
      <c r="K886" s="5">
        <f t="shared" si="45"/>
        <v>1050</v>
      </c>
      <c r="L886" s="82">
        <v>0.18</v>
      </c>
      <c r="M886" s="9">
        <f t="shared" si="46"/>
        <v>189</v>
      </c>
      <c r="N886" s="5"/>
      <c r="O886" s="5"/>
      <c r="P886" s="5">
        <f t="shared" si="47"/>
        <v>1239</v>
      </c>
      <c r="Q886" s="1" t="s">
        <v>606</v>
      </c>
      <c r="R886" s="1" t="s">
        <v>606</v>
      </c>
      <c r="S886" s="1" t="s">
        <v>444</v>
      </c>
      <c r="T886" s="1" t="s">
        <v>2667</v>
      </c>
      <c r="U886" s="1">
        <v>85441920</v>
      </c>
      <c r="V886" s="1"/>
      <c r="W886" s="21" t="s">
        <v>78</v>
      </c>
      <c r="X886" s="21" t="s">
        <v>1084</v>
      </c>
      <c r="Y886" s="8">
        <f>1+8</f>
        <v>9</v>
      </c>
      <c r="Z886" s="22" t="s">
        <v>2677</v>
      </c>
      <c r="AA886" s="1"/>
      <c r="AB886" s="29"/>
      <c r="AC886" s="2"/>
      <c r="AD886" s="2"/>
    </row>
    <row r="887" spans="1:30" s="24" customFormat="1" x14ac:dyDescent="0.25">
      <c r="A887" s="4"/>
      <c r="B887" s="4">
        <v>45992</v>
      </c>
      <c r="C887" s="1" t="s">
        <v>1683</v>
      </c>
      <c r="D887" s="1" t="s">
        <v>2678</v>
      </c>
      <c r="E887" s="1" t="s">
        <v>1567</v>
      </c>
      <c r="F887" s="1" t="s">
        <v>1567</v>
      </c>
      <c r="G887" s="8">
        <v>45</v>
      </c>
      <c r="H887" s="8"/>
      <c r="I887" s="115">
        <f>Table223[[#This Row],[Qty]]-Table223[[#This Row],[Issue Qty]]</f>
        <v>45</v>
      </c>
      <c r="J887" s="5">
        <v>28</v>
      </c>
      <c r="K887" s="5">
        <f t="shared" si="45"/>
        <v>1260</v>
      </c>
      <c r="L887" s="82">
        <v>0.18</v>
      </c>
      <c r="M887" s="9">
        <f t="shared" si="46"/>
        <v>226.79999999999998</v>
      </c>
      <c r="N887" s="5"/>
      <c r="O887" s="5"/>
      <c r="P887" s="5">
        <f t="shared" si="47"/>
        <v>1486.8</v>
      </c>
      <c r="Q887" s="1" t="s">
        <v>606</v>
      </c>
      <c r="R887" s="1" t="s">
        <v>606</v>
      </c>
      <c r="S887" s="1" t="s">
        <v>444</v>
      </c>
      <c r="T887" s="1" t="s">
        <v>2667</v>
      </c>
      <c r="U887" s="1">
        <v>85441920</v>
      </c>
      <c r="V887" s="1"/>
      <c r="W887" s="21" t="s">
        <v>78</v>
      </c>
      <c r="X887" s="21" t="s">
        <v>1568</v>
      </c>
      <c r="Y887" s="8"/>
      <c r="Z887" s="22"/>
      <c r="AA887" s="1"/>
      <c r="AB887" s="29"/>
      <c r="AC887" s="2"/>
      <c r="AD887" s="2"/>
    </row>
    <row r="888" spans="1:30" s="24" customFormat="1" ht="30" x14ac:dyDescent="0.25">
      <c r="A888" s="4"/>
      <c r="B888" s="4">
        <v>45993</v>
      </c>
      <c r="C888" s="1" t="s">
        <v>1683</v>
      </c>
      <c r="D888" s="1" t="s">
        <v>2072</v>
      </c>
      <c r="E888" s="1" t="s">
        <v>827</v>
      </c>
      <c r="F888" s="1" t="s">
        <v>827</v>
      </c>
      <c r="G888" s="58">
        <v>4</v>
      </c>
      <c r="H888" s="58"/>
      <c r="I888" s="159">
        <f>Table223[[#This Row],[Qty]]-Table223[[#This Row],[Issue Qty]]</f>
        <v>4</v>
      </c>
      <c r="J888" s="5">
        <v>13559.32</v>
      </c>
      <c r="K888" s="5">
        <f t="shared" si="45"/>
        <v>54237.279999999999</v>
      </c>
      <c r="L888" s="82">
        <v>0.18</v>
      </c>
      <c r="M888" s="9">
        <f t="shared" si="46"/>
        <v>9762.7103999999999</v>
      </c>
      <c r="N888" s="5">
        <v>1875</v>
      </c>
      <c r="O888" s="5"/>
      <c r="P888" s="5">
        <f t="shared" si="47"/>
        <v>65874.990399999995</v>
      </c>
      <c r="Q888" s="1" t="s">
        <v>606</v>
      </c>
      <c r="R888" s="1" t="s">
        <v>606</v>
      </c>
      <c r="S888" s="1" t="s">
        <v>634</v>
      </c>
      <c r="T888" s="1" t="s">
        <v>2679</v>
      </c>
      <c r="U888" s="1">
        <v>85076000</v>
      </c>
      <c r="V888" s="1" t="s">
        <v>2680</v>
      </c>
      <c r="W888" s="21" t="s">
        <v>398</v>
      </c>
      <c r="X888" s="8"/>
      <c r="Y888" s="8"/>
      <c r="Z888" s="22"/>
      <c r="AA888" s="1"/>
      <c r="AB888" s="29"/>
      <c r="AC888" s="2"/>
      <c r="AD888" s="2"/>
    </row>
    <row r="889" spans="1:30" s="24" customFormat="1" x14ac:dyDescent="0.25">
      <c r="A889" s="4"/>
      <c r="B889" s="4">
        <v>45995</v>
      </c>
      <c r="C889" s="1" t="s">
        <v>1730</v>
      </c>
      <c r="D889" s="1" t="s">
        <v>37</v>
      </c>
      <c r="E889" s="169" t="s">
        <v>1570</v>
      </c>
      <c r="F889" s="1" t="s">
        <v>1570</v>
      </c>
      <c r="G889" s="8">
        <v>27</v>
      </c>
      <c r="H889" s="8">
        <v>27</v>
      </c>
      <c r="I889" s="115">
        <f>Table223[[#This Row],[Qty]]-Table223[[#This Row],[Issue Qty]]</f>
        <v>0</v>
      </c>
      <c r="J889" s="5">
        <v>400</v>
      </c>
      <c r="K889" s="5">
        <f t="shared" si="45"/>
        <v>10800</v>
      </c>
      <c r="L889" s="82">
        <v>0.18</v>
      </c>
      <c r="M889" s="9">
        <f t="shared" si="46"/>
        <v>1944</v>
      </c>
      <c r="N889" s="5"/>
      <c r="O889" s="5"/>
      <c r="P889" s="5">
        <f t="shared" si="47"/>
        <v>12744</v>
      </c>
      <c r="Q889" s="1" t="s">
        <v>606</v>
      </c>
      <c r="R889" s="1" t="s">
        <v>606</v>
      </c>
      <c r="S889" s="1" t="s">
        <v>896</v>
      </c>
      <c r="T889" s="1" t="s">
        <v>2681</v>
      </c>
      <c r="U889" s="1">
        <v>9987</v>
      </c>
      <c r="V889" s="1"/>
      <c r="W889" s="21"/>
      <c r="X889" s="8"/>
      <c r="Y889" s="8">
        <v>27</v>
      </c>
      <c r="Z889" s="22" t="s">
        <v>1032</v>
      </c>
      <c r="AA889" s="1"/>
      <c r="AB889" s="29"/>
      <c r="AC889" s="2"/>
      <c r="AD889" s="2"/>
    </row>
    <row r="890" spans="1:30" s="24" customFormat="1" ht="30" x14ac:dyDescent="0.25">
      <c r="A890" s="4"/>
      <c r="B890" s="4">
        <v>45995</v>
      </c>
      <c r="C890" s="1" t="s">
        <v>54</v>
      </c>
      <c r="D890" s="1" t="s">
        <v>37</v>
      </c>
      <c r="E890" s="1" t="s">
        <v>1571</v>
      </c>
      <c r="F890" s="1" t="s">
        <v>1571</v>
      </c>
      <c r="G890" s="8">
        <v>1</v>
      </c>
      <c r="H890" s="8">
        <v>1</v>
      </c>
      <c r="I890" s="115">
        <f>Table223[[#This Row],[Qty]]-Table223[[#This Row],[Issue Qty]]</f>
        <v>0</v>
      </c>
      <c r="J890" s="5">
        <v>1500</v>
      </c>
      <c r="K890" s="5">
        <f t="shared" si="45"/>
        <v>1500</v>
      </c>
      <c r="L890" s="82">
        <v>0.18</v>
      </c>
      <c r="M890" s="9">
        <f t="shared" si="46"/>
        <v>270</v>
      </c>
      <c r="N890" s="5"/>
      <c r="O890" s="5"/>
      <c r="P890" s="5">
        <f t="shared" si="47"/>
        <v>1770</v>
      </c>
      <c r="Q890" s="1" t="s">
        <v>2887</v>
      </c>
      <c r="R890" s="1" t="s">
        <v>633</v>
      </c>
      <c r="S890" s="1" t="s">
        <v>358</v>
      </c>
      <c r="T890" s="1" t="s">
        <v>2682</v>
      </c>
      <c r="U890" s="1">
        <v>39269099</v>
      </c>
      <c r="V890" s="1" t="s">
        <v>2683</v>
      </c>
      <c r="W890" s="21" t="s">
        <v>3349</v>
      </c>
      <c r="X890" s="8"/>
      <c r="Y890" s="8">
        <v>1</v>
      </c>
      <c r="Z890" s="22" t="s">
        <v>3352</v>
      </c>
      <c r="AA890" s="1"/>
      <c r="AB890" s="29"/>
      <c r="AC890" s="2"/>
      <c r="AD890" s="2"/>
    </row>
    <row r="891" spans="1:30" s="24" customFormat="1" ht="30" x14ac:dyDescent="0.25">
      <c r="A891" s="4"/>
      <c r="B891" s="4">
        <v>45996</v>
      </c>
      <c r="C891" s="1" t="s">
        <v>1683</v>
      </c>
      <c r="D891" s="1" t="s">
        <v>2049</v>
      </c>
      <c r="E891" s="1" t="s">
        <v>790</v>
      </c>
      <c r="F891" s="1" t="s">
        <v>790</v>
      </c>
      <c r="G891" s="8">
        <v>48</v>
      </c>
      <c r="H891" s="8"/>
      <c r="I891" s="115">
        <f>Table223[[#This Row],[Qty]]-Table223[[#This Row],[Issue Qty]]</f>
        <v>48</v>
      </c>
      <c r="J891" s="5">
        <v>350</v>
      </c>
      <c r="K891" s="5">
        <f t="shared" si="45"/>
        <v>16800</v>
      </c>
      <c r="L891" s="82">
        <v>0.18</v>
      </c>
      <c r="M891" s="9">
        <f t="shared" si="46"/>
        <v>3024</v>
      </c>
      <c r="N891" s="5"/>
      <c r="O891" s="5"/>
      <c r="P891" s="5">
        <f t="shared" si="47"/>
        <v>19824</v>
      </c>
      <c r="Q891" s="1" t="s">
        <v>606</v>
      </c>
      <c r="R891" s="1" t="s">
        <v>606</v>
      </c>
      <c r="S891" s="1" t="s">
        <v>792</v>
      </c>
      <c r="T891" s="1" t="s">
        <v>2684</v>
      </c>
      <c r="U891" s="1">
        <v>853690</v>
      </c>
      <c r="V891" s="1" t="s">
        <v>2685</v>
      </c>
      <c r="W891" s="21" t="s">
        <v>78</v>
      </c>
      <c r="X891" s="21" t="s">
        <v>1572</v>
      </c>
      <c r="Y891" s="8">
        <f>2+10+3</f>
        <v>15</v>
      </c>
      <c r="Z891" s="22" t="s">
        <v>2686</v>
      </c>
      <c r="AA891" s="1" t="s">
        <v>2687</v>
      </c>
      <c r="AB891" s="29"/>
      <c r="AC891" s="2"/>
      <c r="AD891" s="2"/>
    </row>
    <row r="892" spans="1:30" s="24" customFormat="1" x14ac:dyDescent="0.25">
      <c r="A892" s="4"/>
      <c r="B892" s="4">
        <v>45996</v>
      </c>
      <c r="C892" s="6" t="s">
        <v>54</v>
      </c>
      <c r="D892" s="6" t="s">
        <v>1999</v>
      </c>
      <c r="E892" s="39" t="s">
        <v>712</v>
      </c>
      <c r="F892" s="1" t="s">
        <v>712</v>
      </c>
      <c r="G892" s="62">
        <v>22</v>
      </c>
      <c r="H892" s="62">
        <v>3</v>
      </c>
      <c r="I892" s="160">
        <f>Table223[[#This Row],[Qty]]-Table223[[#This Row],[Issue Qty]]</f>
        <v>19</v>
      </c>
      <c r="J892" s="5">
        <v>1200</v>
      </c>
      <c r="K892" s="5">
        <f t="shared" si="45"/>
        <v>26400</v>
      </c>
      <c r="L892" s="82">
        <v>0.05</v>
      </c>
      <c r="M892" s="9">
        <f t="shared" si="46"/>
        <v>1320</v>
      </c>
      <c r="N892" s="5">
        <v>1573.33</v>
      </c>
      <c r="O892" s="5"/>
      <c r="P892" s="5">
        <f t="shared" si="47"/>
        <v>29293.33</v>
      </c>
      <c r="Q892" s="1" t="s">
        <v>606</v>
      </c>
      <c r="R892" s="1" t="s">
        <v>606</v>
      </c>
      <c r="S892" s="1" t="s">
        <v>709</v>
      </c>
      <c r="T892" s="6" t="s">
        <v>2688</v>
      </c>
      <c r="U892" s="1">
        <v>88073020</v>
      </c>
      <c r="V892" s="6"/>
      <c r="W892" s="21" t="s">
        <v>126</v>
      </c>
      <c r="X892" s="60"/>
      <c r="Y892" s="8">
        <v>3</v>
      </c>
      <c r="Z892" s="57" t="s">
        <v>2970</v>
      </c>
      <c r="AA892" s="6"/>
      <c r="AB892" s="23"/>
      <c r="AC892" s="2"/>
      <c r="AD892" s="2"/>
    </row>
    <row r="893" spans="1:30" s="24" customFormat="1" x14ac:dyDescent="0.25">
      <c r="A893" s="4"/>
      <c r="B893" s="4">
        <v>45996</v>
      </c>
      <c r="C893" s="1" t="s">
        <v>54</v>
      </c>
      <c r="D893" s="1" t="s">
        <v>2000</v>
      </c>
      <c r="E893" s="39" t="s">
        <v>714</v>
      </c>
      <c r="F893" s="1" t="s">
        <v>714</v>
      </c>
      <c r="G893" s="62">
        <v>22</v>
      </c>
      <c r="H893" s="62">
        <v>3</v>
      </c>
      <c r="I893" s="160">
        <f>Table223[[#This Row],[Qty]]-Table223[[#This Row],[Issue Qty]]</f>
        <v>19</v>
      </c>
      <c r="J893" s="5">
        <v>1200</v>
      </c>
      <c r="K893" s="5">
        <f t="shared" si="45"/>
        <v>26400</v>
      </c>
      <c r="L893" s="82">
        <v>0.05</v>
      </c>
      <c r="M893" s="9">
        <f t="shared" si="46"/>
        <v>1320</v>
      </c>
      <c r="N893" s="5">
        <v>1573.33</v>
      </c>
      <c r="O893" s="5"/>
      <c r="P893" s="5">
        <f t="shared" si="47"/>
        <v>29293.33</v>
      </c>
      <c r="Q893" s="1" t="s">
        <v>606</v>
      </c>
      <c r="R893" s="1" t="s">
        <v>606</v>
      </c>
      <c r="S893" s="1" t="s">
        <v>709</v>
      </c>
      <c r="T893" s="1" t="s">
        <v>2688</v>
      </c>
      <c r="U893" s="1">
        <v>88073020</v>
      </c>
      <c r="V893" s="1"/>
      <c r="W893" s="21" t="s">
        <v>126</v>
      </c>
      <c r="X893" s="8"/>
      <c r="Y893" s="8">
        <v>3</v>
      </c>
      <c r="Z893" s="57" t="s">
        <v>2970</v>
      </c>
      <c r="AA893" s="1"/>
      <c r="AB893" s="29"/>
      <c r="AC893" s="2"/>
      <c r="AD893" s="2"/>
    </row>
    <row r="894" spans="1:30" s="24" customFormat="1" x14ac:dyDescent="0.25">
      <c r="A894" s="4"/>
      <c r="B894" s="4">
        <v>45996</v>
      </c>
      <c r="C894" s="1" t="s">
        <v>1695</v>
      </c>
      <c r="D894" s="1" t="s">
        <v>2007</v>
      </c>
      <c r="E894" s="1" t="s">
        <v>723</v>
      </c>
      <c r="F894" s="1" t="s">
        <v>723</v>
      </c>
      <c r="G894" s="62">
        <v>36</v>
      </c>
      <c r="H894" s="8">
        <v>2</v>
      </c>
      <c r="I894" s="115">
        <f>Table223[[#This Row],[Qty]]-Table223[[#This Row],[Issue Qty]]</f>
        <v>34</v>
      </c>
      <c r="J894" s="5">
        <v>750</v>
      </c>
      <c r="K894" s="5">
        <f t="shared" si="45"/>
        <v>27000</v>
      </c>
      <c r="L894" s="82">
        <v>0.05</v>
      </c>
      <c r="M894" s="9">
        <f t="shared" si="46"/>
        <v>1350</v>
      </c>
      <c r="N894" s="5">
        <v>1573.33</v>
      </c>
      <c r="O894" s="5"/>
      <c r="P894" s="5">
        <f t="shared" si="47"/>
        <v>29923.33</v>
      </c>
      <c r="Q894" s="1" t="s">
        <v>606</v>
      </c>
      <c r="R894" s="1" t="s">
        <v>606</v>
      </c>
      <c r="S894" s="1" t="s">
        <v>709</v>
      </c>
      <c r="T894" s="1" t="s">
        <v>2688</v>
      </c>
      <c r="U894" s="1">
        <v>88073020</v>
      </c>
      <c r="V894" s="1"/>
      <c r="W894" s="21" t="s">
        <v>68</v>
      </c>
      <c r="X894" s="8"/>
      <c r="Y894" s="8">
        <f>4+2</f>
        <v>6</v>
      </c>
      <c r="Z894" s="12" t="s">
        <v>2938</v>
      </c>
      <c r="AA894" s="1"/>
      <c r="AB894" s="29"/>
      <c r="AC894" s="2"/>
      <c r="AD894" s="2"/>
    </row>
    <row r="895" spans="1:30" s="24" customFormat="1" ht="30" x14ac:dyDescent="0.25">
      <c r="A895" s="4"/>
      <c r="B895" s="4">
        <v>45996</v>
      </c>
      <c r="C895" s="1" t="s">
        <v>1683</v>
      </c>
      <c r="D895" s="1" t="s">
        <v>2689</v>
      </c>
      <c r="E895" s="102" t="s">
        <v>1573</v>
      </c>
      <c r="F895" s="1" t="s">
        <v>1573</v>
      </c>
      <c r="G895" s="8">
        <v>50</v>
      </c>
      <c r="H895" s="8">
        <v>40</v>
      </c>
      <c r="I895" s="115">
        <f>Table223[[#This Row],[Qty]]-Table223[[#This Row],[Issue Qty]]</f>
        <v>10</v>
      </c>
      <c r="J895" s="5">
        <v>14</v>
      </c>
      <c r="K895" s="5">
        <f t="shared" si="45"/>
        <v>700</v>
      </c>
      <c r="L895" s="82">
        <v>0.18</v>
      </c>
      <c r="M895" s="9">
        <f t="shared" si="46"/>
        <v>126</v>
      </c>
      <c r="N895" s="5"/>
      <c r="O895" s="5"/>
      <c r="P895" s="5">
        <f t="shared" si="47"/>
        <v>826</v>
      </c>
      <c r="Q895" s="1" t="s">
        <v>606</v>
      </c>
      <c r="R895" s="1" t="s">
        <v>606</v>
      </c>
      <c r="S895" s="1" t="s">
        <v>792</v>
      </c>
      <c r="T895" s="1" t="s">
        <v>2684</v>
      </c>
      <c r="U895" s="1">
        <v>853690</v>
      </c>
      <c r="V895" s="1" t="s">
        <v>2690</v>
      </c>
      <c r="W895" s="21" t="s">
        <v>78</v>
      </c>
      <c r="X895" s="21" t="s">
        <v>1566</v>
      </c>
      <c r="Y895" s="8">
        <v>40</v>
      </c>
      <c r="Z895" s="22" t="s">
        <v>2887</v>
      </c>
      <c r="AA895" s="1"/>
      <c r="AB895" s="29"/>
      <c r="AC895" s="2"/>
      <c r="AD895" s="2"/>
    </row>
    <row r="896" spans="1:30" s="24" customFormat="1" ht="30" x14ac:dyDescent="0.25">
      <c r="A896" s="4"/>
      <c r="B896" s="4">
        <v>45996</v>
      </c>
      <c r="C896" s="1" t="s">
        <v>1683</v>
      </c>
      <c r="D896" s="1" t="s">
        <v>2313</v>
      </c>
      <c r="E896" s="87" t="s">
        <v>1164</v>
      </c>
      <c r="F896" s="1" t="s">
        <v>1164</v>
      </c>
      <c r="G896" s="8">
        <v>50</v>
      </c>
      <c r="H896" s="8">
        <v>40</v>
      </c>
      <c r="I896" s="115">
        <f>Table223[[#This Row],[Qty]]-Table223[[#This Row],[Issue Qty]]</f>
        <v>10</v>
      </c>
      <c r="J896" s="5">
        <v>14</v>
      </c>
      <c r="K896" s="5">
        <f t="shared" si="45"/>
        <v>700</v>
      </c>
      <c r="L896" s="82">
        <v>0.18</v>
      </c>
      <c r="M896" s="9">
        <f t="shared" si="46"/>
        <v>126</v>
      </c>
      <c r="N896" s="5"/>
      <c r="O896" s="5"/>
      <c r="P896" s="5">
        <f t="shared" si="47"/>
        <v>826</v>
      </c>
      <c r="Q896" s="1" t="s">
        <v>606</v>
      </c>
      <c r="R896" s="1" t="s">
        <v>606</v>
      </c>
      <c r="S896" s="1" t="s">
        <v>792</v>
      </c>
      <c r="T896" s="1" t="s">
        <v>2684</v>
      </c>
      <c r="U896" s="1">
        <v>853690</v>
      </c>
      <c r="V896" s="1" t="s">
        <v>2690</v>
      </c>
      <c r="W896" s="21" t="s">
        <v>78</v>
      </c>
      <c r="X896" s="21" t="s">
        <v>1084</v>
      </c>
      <c r="Y896" s="8">
        <v>40</v>
      </c>
      <c r="Z896" s="22" t="s">
        <v>3197</v>
      </c>
      <c r="AA896" s="1"/>
      <c r="AB896" s="29"/>
      <c r="AC896" s="2"/>
      <c r="AD896" s="2"/>
    </row>
    <row r="897" spans="1:30" s="24" customFormat="1" x14ac:dyDescent="0.25">
      <c r="A897" s="4"/>
      <c r="B897" s="4">
        <v>46001</v>
      </c>
      <c r="C897" s="1" t="s">
        <v>1730</v>
      </c>
      <c r="D897" s="1" t="s">
        <v>37</v>
      </c>
      <c r="E897" s="169" t="s">
        <v>1574</v>
      </c>
      <c r="F897" s="1" t="s">
        <v>1574</v>
      </c>
      <c r="G897" s="8">
        <v>15</v>
      </c>
      <c r="H897" s="8">
        <v>15</v>
      </c>
      <c r="I897" s="115">
        <f>Table223[[#This Row],[Qty]]-Table223[[#This Row],[Issue Qty]]</f>
        <v>0</v>
      </c>
      <c r="J897" s="5">
        <v>111</v>
      </c>
      <c r="K897" s="5">
        <f t="shared" si="45"/>
        <v>1665</v>
      </c>
      <c r="L897" s="82">
        <v>0.05</v>
      </c>
      <c r="M897" s="9">
        <f t="shared" si="46"/>
        <v>83.25</v>
      </c>
      <c r="N897" s="5"/>
      <c r="O897" s="5">
        <v>-0.15</v>
      </c>
      <c r="P897" s="5">
        <f t="shared" si="47"/>
        <v>1748.1</v>
      </c>
      <c r="Q897" s="1" t="s">
        <v>331</v>
      </c>
      <c r="R897" s="1" t="s">
        <v>331</v>
      </c>
      <c r="S897" s="1" t="s">
        <v>444</v>
      </c>
      <c r="T897" s="1" t="s">
        <v>2691</v>
      </c>
      <c r="U897" s="1">
        <v>88073000</v>
      </c>
      <c r="V897" s="1"/>
      <c r="W897" s="21" t="s">
        <v>821</v>
      </c>
      <c r="X897" s="8"/>
      <c r="Y897" s="8">
        <v>15</v>
      </c>
      <c r="Z897" s="22" t="s">
        <v>509</v>
      </c>
      <c r="AA897" s="1"/>
      <c r="AB897" s="29"/>
      <c r="AC897" s="2"/>
      <c r="AD897" s="2"/>
    </row>
    <row r="898" spans="1:30" s="24" customFormat="1" ht="60" x14ac:dyDescent="0.25">
      <c r="A898" s="4"/>
      <c r="B898" s="4">
        <v>46002</v>
      </c>
      <c r="C898" s="1" t="s">
        <v>54</v>
      </c>
      <c r="D898" s="1" t="s">
        <v>2692</v>
      </c>
      <c r="E898" s="1" t="s">
        <v>1575</v>
      </c>
      <c r="F898" s="1" t="s">
        <v>1575</v>
      </c>
      <c r="G898" s="8">
        <v>1</v>
      </c>
      <c r="H898" s="8">
        <v>1</v>
      </c>
      <c r="I898" s="115">
        <f>Table223[[#This Row],[Qty]]-Table223[[#This Row],[Issue Qty]]</f>
        <v>0</v>
      </c>
      <c r="J898" s="5">
        <v>715</v>
      </c>
      <c r="K898" s="5">
        <f t="shared" si="45"/>
        <v>715</v>
      </c>
      <c r="L898" s="82">
        <v>0.18</v>
      </c>
      <c r="M898" s="9">
        <f t="shared" si="46"/>
        <v>128.69999999999999</v>
      </c>
      <c r="N898" s="5"/>
      <c r="O898" s="5"/>
      <c r="P898" s="5">
        <f t="shared" si="47"/>
        <v>843.7</v>
      </c>
      <c r="Q898" s="1" t="s">
        <v>2887</v>
      </c>
      <c r="R898" s="1" t="s">
        <v>633</v>
      </c>
      <c r="S898" s="1" t="s">
        <v>764</v>
      </c>
      <c r="T898" s="1" t="s">
        <v>2693</v>
      </c>
      <c r="U898" s="1">
        <v>84879000</v>
      </c>
      <c r="V898" s="1" t="s">
        <v>2694</v>
      </c>
      <c r="W898" s="21"/>
      <c r="X898" s="8"/>
      <c r="Y898" s="8">
        <v>1</v>
      </c>
      <c r="Z898" s="22" t="s">
        <v>3352</v>
      </c>
      <c r="AA898" s="1"/>
      <c r="AB898" s="29"/>
      <c r="AC898" s="2"/>
      <c r="AD898" s="2"/>
    </row>
    <row r="899" spans="1:30" s="24" customFormat="1" x14ac:dyDescent="0.25">
      <c r="A899" s="4"/>
      <c r="B899" s="4">
        <v>46002</v>
      </c>
      <c r="C899" s="1" t="s">
        <v>1730</v>
      </c>
      <c r="D899" s="1" t="s">
        <v>37</v>
      </c>
      <c r="E899" s="1" t="s">
        <v>1576</v>
      </c>
      <c r="F899" s="1" t="s">
        <v>1576</v>
      </c>
      <c r="G899" s="8">
        <v>10</v>
      </c>
      <c r="H899" s="8">
        <v>10</v>
      </c>
      <c r="I899" s="115">
        <f>Table223[[#This Row],[Qty]]-Table223[[#This Row],[Issue Qty]]</f>
        <v>0</v>
      </c>
      <c r="J899" s="5">
        <v>50</v>
      </c>
      <c r="K899" s="5">
        <f t="shared" si="45"/>
        <v>500</v>
      </c>
      <c r="L899" s="82">
        <v>0</v>
      </c>
      <c r="M899" s="9">
        <f t="shared" si="46"/>
        <v>0</v>
      </c>
      <c r="N899" s="5"/>
      <c r="O899" s="5"/>
      <c r="P899" s="5">
        <f t="shared" si="47"/>
        <v>500</v>
      </c>
      <c r="Q899" s="1" t="s">
        <v>2887</v>
      </c>
      <c r="R899" s="1" t="s">
        <v>633</v>
      </c>
      <c r="S899" s="1" t="s">
        <v>1577</v>
      </c>
      <c r="T899" s="1" t="s">
        <v>37</v>
      </c>
      <c r="U899" s="1" t="s">
        <v>37</v>
      </c>
      <c r="V899" s="1"/>
      <c r="W899" s="21" t="s">
        <v>650</v>
      </c>
      <c r="X899" s="8" t="s">
        <v>1578</v>
      </c>
      <c r="Y899" s="8">
        <v>10</v>
      </c>
      <c r="Z899" s="22" t="s">
        <v>3196</v>
      </c>
      <c r="AA899" s="1"/>
      <c r="AB899" s="29"/>
      <c r="AC899" s="2"/>
      <c r="AD899" s="2"/>
    </row>
    <row r="900" spans="1:30" s="24" customFormat="1" ht="60" x14ac:dyDescent="0.25">
      <c r="A900" s="4"/>
      <c r="B900" s="4">
        <v>46002</v>
      </c>
      <c r="C900" s="1" t="s">
        <v>54</v>
      </c>
      <c r="D900" s="1" t="s">
        <v>2695</v>
      </c>
      <c r="E900" s="1" t="s">
        <v>1579</v>
      </c>
      <c r="F900" s="1" t="s">
        <v>1579</v>
      </c>
      <c r="G900" s="8">
        <v>1</v>
      </c>
      <c r="H900" s="8">
        <v>1</v>
      </c>
      <c r="I900" s="115">
        <f>Table223[[#This Row],[Qty]]-Table223[[#This Row],[Issue Qty]]</f>
        <v>0</v>
      </c>
      <c r="J900" s="5">
        <v>415</v>
      </c>
      <c r="K900" s="5">
        <f t="shared" si="45"/>
        <v>415</v>
      </c>
      <c r="L900" s="82">
        <v>0.18</v>
      </c>
      <c r="M900" s="9">
        <f t="shared" si="46"/>
        <v>74.7</v>
      </c>
      <c r="N900" s="5"/>
      <c r="O900" s="5"/>
      <c r="P900" s="5">
        <f t="shared" si="47"/>
        <v>489.7</v>
      </c>
      <c r="Q900" s="1" t="s">
        <v>2887</v>
      </c>
      <c r="R900" s="1" t="s">
        <v>633</v>
      </c>
      <c r="S900" s="1" t="s">
        <v>764</v>
      </c>
      <c r="T900" s="1" t="s">
        <v>2693</v>
      </c>
      <c r="U900" s="1">
        <v>84879000</v>
      </c>
      <c r="V900" s="1" t="s">
        <v>2694</v>
      </c>
      <c r="W900" s="21"/>
      <c r="X900" s="8"/>
      <c r="Y900" s="8">
        <v>1</v>
      </c>
      <c r="Z900" s="22" t="s">
        <v>3352</v>
      </c>
      <c r="AA900" s="1"/>
      <c r="AB900" s="29"/>
      <c r="AC900" s="2"/>
      <c r="AD900" s="2"/>
    </row>
    <row r="901" spans="1:30" s="24" customFormat="1" x14ac:dyDescent="0.25">
      <c r="A901" s="4"/>
      <c r="B901" s="4">
        <v>46006</v>
      </c>
      <c r="C901" s="6" t="s">
        <v>1693</v>
      </c>
      <c r="D901" s="6" t="s">
        <v>1892</v>
      </c>
      <c r="E901" s="170" t="s">
        <v>501</v>
      </c>
      <c r="F901" s="1" t="s">
        <v>501</v>
      </c>
      <c r="G901" s="8">
        <v>1</v>
      </c>
      <c r="H901" s="8">
        <v>1</v>
      </c>
      <c r="I901" s="115">
        <f>Table223[[#This Row],[Qty]]-Table223[[#This Row],[Issue Qty]]</f>
        <v>0</v>
      </c>
      <c r="J901" s="5">
        <v>34200</v>
      </c>
      <c r="K901" s="5">
        <f t="shared" si="45"/>
        <v>34200</v>
      </c>
      <c r="L901" s="82">
        <v>0.05</v>
      </c>
      <c r="M901" s="9">
        <f t="shared" si="46"/>
        <v>1710</v>
      </c>
      <c r="N901" s="5"/>
      <c r="O901" s="5"/>
      <c r="P901" s="5">
        <f t="shared" si="47"/>
        <v>35910</v>
      </c>
      <c r="Q901" s="1" t="s">
        <v>331</v>
      </c>
      <c r="R901" s="1" t="s">
        <v>331</v>
      </c>
      <c r="S901" s="1" t="s">
        <v>794</v>
      </c>
      <c r="T901" s="1" t="s">
        <v>2696</v>
      </c>
      <c r="U901" s="1">
        <v>88073020</v>
      </c>
      <c r="V901" s="2"/>
      <c r="W901" s="21" t="s">
        <v>244</v>
      </c>
      <c r="X901" s="21"/>
      <c r="Y901" s="21">
        <v>1</v>
      </c>
      <c r="Z901" s="12" t="s">
        <v>1580</v>
      </c>
      <c r="AA901" s="2"/>
      <c r="AB901" s="23"/>
      <c r="AC901" s="2"/>
      <c r="AD901" s="2"/>
    </row>
    <row r="902" spans="1:30" s="24" customFormat="1" x14ac:dyDescent="0.25">
      <c r="A902" s="4"/>
      <c r="B902" s="4">
        <v>46006</v>
      </c>
      <c r="C902" s="1" t="s">
        <v>1693</v>
      </c>
      <c r="D902" s="1" t="s">
        <v>2097</v>
      </c>
      <c r="E902" s="169" t="s">
        <v>856</v>
      </c>
      <c r="F902" s="1" t="s">
        <v>856</v>
      </c>
      <c r="G902" s="8">
        <v>1</v>
      </c>
      <c r="H902" s="8">
        <v>1</v>
      </c>
      <c r="I902" s="115">
        <f>Table223[[#This Row],[Qty]]-Table223[[#This Row],[Issue Qty]]</f>
        <v>0</v>
      </c>
      <c r="J902" s="5">
        <v>43548</v>
      </c>
      <c r="K902" s="5">
        <f t="shared" si="45"/>
        <v>43548</v>
      </c>
      <c r="L902" s="82">
        <v>0.18</v>
      </c>
      <c r="M902" s="9">
        <f t="shared" si="46"/>
        <v>7838.6399999999994</v>
      </c>
      <c r="N902" s="5"/>
      <c r="O902" s="5"/>
      <c r="P902" s="5">
        <f t="shared" si="47"/>
        <v>51386.64</v>
      </c>
      <c r="Q902" s="1" t="s">
        <v>331</v>
      </c>
      <c r="R902" s="1" t="s">
        <v>331</v>
      </c>
      <c r="S902" s="1" t="s">
        <v>792</v>
      </c>
      <c r="T902" s="1" t="s">
        <v>2697</v>
      </c>
      <c r="U902" s="1">
        <v>88079000</v>
      </c>
      <c r="V902" s="1"/>
      <c r="W902" s="21"/>
      <c r="X902" s="8"/>
      <c r="Y902" s="8">
        <v>1</v>
      </c>
      <c r="Z902" s="22" t="s">
        <v>509</v>
      </c>
      <c r="AA902" s="1"/>
      <c r="AB902" s="29"/>
      <c r="AC902" s="2"/>
      <c r="AD902" s="2"/>
    </row>
    <row r="903" spans="1:30" s="24" customFormat="1" ht="30" x14ac:dyDescent="0.25">
      <c r="A903" s="4"/>
      <c r="B903" s="4">
        <v>46006</v>
      </c>
      <c r="C903" s="1" t="s">
        <v>1683</v>
      </c>
      <c r="D903" s="1" t="s">
        <v>2698</v>
      </c>
      <c r="E903" s="169" t="s">
        <v>1581</v>
      </c>
      <c r="F903" s="1" t="s">
        <v>1581</v>
      </c>
      <c r="G903" s="8">
        <v>1</v>
      </c>
      <c r="H903" s="8">
        <v>1</v>
      </c>
      <c r="I903" s="115">
        <f>Table223[[#This Row],[Qty]]-Table223[[#This Row],[Issue Qty]]</f>
        <v>0</v>
      </c>
      <c r="J903" s="5">
        <v>4580.12</v>
      </c>
      <c r="K903" s="5">
        <f t="shared" si="45"/>
        <v>4580.12</v>
      </c>
      <c r="L903" s="82">
        <v>0.18</v>
      </c>
      <c r="M903" s="9">
        <f t="shared" si="46"/>
        <v>824.4215999999999</v>
      </c>
      <c r="N903" s="5">
        <v>156.66999999999999</v>
      </c>
      <c r="O903" s="5"/>
      <c r="P903" s="5">
        <f t="shared" si="47"/>
        <v>5561.2115999999996</v>
      </c>
      <c r="Q903" s="1" t="s">
        <v>331</v>
      </c>
      <c r="R903" s="1" t="s">
        <v>331</v>
      </c>
      <c r="S903" s="1" t="s">
        <v>634</v>
      </c>
      <c r="T903" s="1" t="s">
        <v>2699</v>
      </c>
      <c r="U903" s="1">
        <v>85044030</v>
      </c>
      <c r="V903" s="1" t="s">
        <v>2700</v>
      </c>
      <c r="W903" s="21" t="s">
        <v>398</v>
      </c>
      <c r="X903" s="8"/>
      <c r="Y903" s="8">
        <v>1</v>
      </c>
      <c r="Z903" s="22" t="s">
        <v>509</v>
      </c>
      <c r="AA903" s="1"/>
      <c r="AB903" s="29"/>
      <c r="AC903" s="2"/>
      <c r="AD903" s="2"/>
    </row>
    <row r="904" spans="1:30" s="24" customFormat="1" ht="30" x14ac:dyDescent="0.25">
      <c r="A904" s="4"/>
      <c r="B904" s="4">
        <v>46006</v>
      </c>
      <c r="C904" s="1" t="s">
        <v>1693</v>
      </c>
      <c r="D904" s="1" t="s">
        <v>2701</v>
      </c>
      <c r="E904" s="1" t="s">
        <v>1582</v>
      </c>
      <c r="F904" s="1" t="s">
        <v>1582</v>
      </c>
      <c r="G904" s="8">
        <v>12</v>
      </c>
      <c r="H904" s="8">
        <v>12</v>
      </c>
      <c r="I904" s="115">
        <f>Table223[[#This Row],[Qty]]-Table223[[#This Row],[Issue Qty]]</f>
        <v>0</v>
      </c>
      <c r="J904" s="5"/>
      <c r="K904" s="5">
        <f t="shared" si="45"/>
        <v>0</v>
      </c>
      <c r="L904" s="82"/>
      <c r="M904" s="9">
        <f t="shared" si="46"/>
        <v>0</v>
      </c>
      <c r="N904" s="5"/>
      <c r="O904" s="5"/>
      <c r="P904" s="5">
        <f t="shared" si="47"/>
        <v>0</v>
      </c>
      <c r="Q904" s="1" t="s">
        <v>2887</v>
      </c>
      <c r="R904" s="1" t="s">
        <v>633</v>
      </c>
      <c r="S904" s="1" t="s">
        <v>1420</v>
      </c>
      <c r="T904" s="1"/>
      <c r="U904" s="1">
        <v>90329000</v>
      </c>
      <c r="V904" s="1"/>
      <c r="W904" s="21"/>
      <c r="X904" s="8"/>
      <c r="Y904" s="8">
        <v>12</v>
      </c>
      <c r="Z904" s="22" t="s">
        <v>3352</v>
      </c>
      <c r="AA904" s="1"/>
      <c r="AB904" s="29"/>
      <c r="AC904" s="2"/>
      <c r="AD904" s="2"/>
    </row>
    <row r="905" spans="1:30" s="24" customFormat="1" ht="30" x14ac:dyDescent="0.25">
      <c r="A905" s="4"/>
      <c r="B905" s="4">
        <v>46006</v>
      </c>
      <c r="C905" s="1" t="s">
        <v>1693</v>
      </c>
      <c r="D905" s="1" t="s">
        <v>2702</v>
      </c>
      <c r="E905" s="169" t="s">
        <v>1583</v>
      </c>
      <c r="F905" s="1" t="s">
        <v>1583</v>
      </c>
      <c r="G905" s="8">
        <v>1</v>
      </c>
      <c r="H905" s="8">
        <v>1</v>
      </c>
      <c r="I905" s="115">
        <f>Table223[[#This Row],[Qty]]-Table223[[#This Row],[Issue Qty]]</f>
        <v>0</v>
      </c>
      <c r="J905" s="5">
        <v>7037</v>
      </c>
      <c r="K905" s="5">
        <f t="shared" si="45"/>
        <v>7037</v>
      </c>
      <c r="L905" s="82">
        <v>0.18</v>
      </c>
      <c r="M905" s="9">
        <f t="shared" si="46"/>
        <v>1266.6599999999999</v>
      </c>
      <c r="N905" s="5"/>
      <c r="O905" s="5"/>
      <c r="P905" s="5">
        <f t="shared" si="47"/>
        <v>8303.66</v>
      </c>
      <c r="Q905" s="1" t="s">
        <v>331</v>
      </c>
      <c r="R905" s="1" t="s">
        <v>331</v>
      </c>
      <c r="S905" s="1" t="s">
        <v>792</v>
      </c>
      <c r="T905" s="1" t="s">
        <v>2697</v>
      </c>
      <c r="U905" s="1">
        <v>88079000</v>
      </c>
      <c r="V905" s="1"/>
      <c r="W905" s="21" t="s">
        <v>688</v>
      </c>
      <c r="X905" s="8"/>
      <c r="Y905" s="8">
        <v>1</v>
      </c>
      <c r="Z905" s="22" t="s">
        <v>509</v>
      </c>
      <c r="AA905" s="1"/>
      <c r="AB905" s="29"/>
      <c r="AC905" s="2"/>
      <c r="AD905" s="2"/>
    </row>
    <row r="906" spans="1:30" s="24" customFormat="1" x14ac:dyDescent="0.25">
      <c r="A906" s="4"/>
      <c r="B906" s="4">
        <v>46007</v>
      </c>
      <c r="C906" s="1" t="s">
        <v>54</v>
      </c>
      <c r="D906" s="1" t="s">
        <v>2237</v>
      </c>
      <c r="E906" s="169" t="s">
        <v>1064</v>
      </c>
      <c r="F906" s="1" t="s">
        <v>1064</v>
      </c>
      <c r="G906" s="8">
        <v>6</v>
      </c>
      <c r="H906" s="8">
        <v>6</v>
      </c>
      <c r="I906" s="115">
        <f>Table223[[#This Row],[Qty]]-Table223[[#This Row],[Issue Qty]]</f>
        <v>0</v>
      </c>
      <c r="J906" s="5">
        <v>670</v>
      </c>
      <c r="K906" s="5">
        <f t="shared" si="45"/>
        <v>4020</v>
      </c>
      <c r="L906" s="82">
        <v>0.18</v>
      </c>
      <c r="M906" s="9">
        <f t="shared" si="46"/>
        <v>723.6</v>
      </c>
      <c r="N906" s="5"/>
      <c r="O906" s="5"/>
      <c r="P906" s="5">
        <f t="shared" si="47"/>
        <v>4743.6000000000004</v>
      </c>
      <c r="Q906" s="1" t="s">
        <v>331</v>
      </c>
      <c r="R906" s="1" t="s">
        <v>331</v>
      </c>
      <c r="S906" s="1" t="s">
        <v>764</v>
      </c>
      <c r="T906" s="1" t="s">
        <v>2703</v>
      </c>
      <c r="U906" s="1">
        <v>84879000</v>
      </c>
      <c r="V906" s="1"/>
      <c r="W906" s="21" t="s">
        <v>688</v>
      </c>
      <c r="X906" s="8"/>
      <c r="Y906" s="8">
        <v>6</v>
      </c>
      <c r="Z906" s="22" t="s">
        <v>509</v>
      </c>
      <c r="AA906" s="1"/>
      <c r="AB906" s="29"/>
      <c r="AC906" s="2"/>
      <c r="AD906" s="2"/>
    </row>
    <row r="907" spans="1:30" s="24" customFormat="1" x14ac:dyDescent="0.25">
      <c r="A907" s="4"/>
      <c r="B907" s="4">
        <v>46007</v>
      </c>
      <c r="C907" s="1" t="s">
        <v>54</v>
      </c>
      <c r="D907" s="1" t="s">
        <v>2239</v>
      </c>
      <c r="E907" s="169" t="s">
        <v>1062</v>
      </c>
      <c r="F907" s="1" t="s">
        <v>1062</v>
      </c>
      <c r="G907" s="8">
        <v>6</v>
      </c>
      <c r="H907" s="8">
        <v>6</v>
      </c>
      <c r="I907" s="115">
        <f>Table223[[#This Row],[Qty]]-Table223[[#This Row],[Issue Qty]]</f>
        <v>0</v>
      </c>
      <c r="J907" s="5">
        <v>1000</v>
      </c>
      <c r="K907" s="5">
        <f t="shared" si="45"/>
        <v>6000</v>
      </c>
      <c r="L907" s="82">
        <v>0.18</v>
      </c>
      <c r="M907" s="9">
        <f t="shared" si="46"/>
        <v>1080</v>
      </c>
      <c r="N907" s="5"/>
      <c r="O907" s="5"/>
      <c r="P907" s="5">
        <f t="shared" si="47"/>
        <v>7080</v>
      </c>
      <c r="Q907" s="1" t="s">
        <v>331</v>
      </c>
      <c r="R907" s="1" t="s">
        <v>331</v>
      </c>
      <c r="S907" s="1" t="s">
        <v>764</v>
      </c>
      <c r="T907" s="1" t="s">
        <v>2703</v>
      </c>
      <c r="U907" s="1">
        <v>84879000</v>
      </c>
      <c r="V907" s="1"/>
      <c r="W907" s="21" t="s">
        <v>688</v>
      </c>
      <c r="X907" s="8"/>
      <c r="Y907" s="8">
        <v>6</v>
      </c>
      <c r="Z907" s="22" t="s">
        <v>509</v>
      </c>
      <c r="AA907" s="1"/>
      <c r="AB907" s="29"/>
      <c r="AC907" s="2"/>
      <c r="AD907" s="2"/>
    </row>
    <row r="908" spans="1:30" s="24" customFormat="1" x14ac:dyDescent="0.25">
      <c r="A908" s="4"/>
      <c r="B908" s="4">
        <v>46007</v>
      </c>
      <c r="C908" s="1" t="s">
        <v>1688</v>
      </c>
      <c r="D908" s="1" t="s">
        <v>2704</v>
      </c>
      <c r="E908" s="1" t="s">
        <v>1585</v>
      </c>
      <c r="F908" s="1" t="s">
        <v>1585</v>
      </c>
      <c r="G908" s="8">
        <v>4</v>
      </c>
      <c r="H908" s="8">
        <v>4</v>
      </c>
      <c r="I908" s="115">
        <f>Table223[[#This Row],[Qty]]-Table223[[#This Row],[Issue Qty]]</f>
        <v>0</v>
      </c>
      <c r="J908" s="5">
        <v>38000</v>
      </c>
      <c r="K908" s="5">
        <f t="shared" si="45"/>
        <v>152000</v>
      </c>
      <c r="L908" s="82">
        <v>0.18</v>
      </c>
      <c r="M908" s="9">
        <f t="shared" si="46"/>
        <v>27360</v>
      </c>
      <c r="N908" s="5"/>
      <c r="O908" s="5"/>
      <c r="P908" s="5">
        <f t="shared" si="47"/>
        <v>179360</v>
      </c>
      <c r="Q908" s="1" t="s">
        <v>2887</v>
      </c>
      <c r="R908" s="1" t="s">
        <v>633</v>
      </c>
      <c r="S908" s="1" t="s">
        <v>794</v>
      </c>
      <c r="T908" s="1" t="s">
        <v>2705</v>
      </c>
      <c r="U908" s="1">
        <v>85176290</v>
      </c>
      <c r="V908" s="1"/>
      <c r="W908" s="21" t="s">
        <v>3349</v>
      </c>
      <c r="X908" s="8"/>
      <c r="Y908" s="8">
        <v>4</v>
      </c>
      <c r="Z908" s="22" t="s">
        <v>3352</v>
      </c>
      <c r="AA908" s="1"/>
      <c r="AB908" s="29"/>
      <c r="AC908" s="2"/>
      <c r="AD908" s="2"/>
    </row>
    <row r="909" spans="1:30" s="24" customFormat="1" x14ac:dyDescent="0.25">
      <c r="A909" s="4"/>
      <c r="B909" s="4">
        <v>46008</v>
      </c>
      <c r="C909" s="1" t="s">
        <v>1683</v>
      </c>
      <c r="D909" s="1" t="s">
        <v>37</v>
      </c>
      <c r="E909" s="1" t="s">
        <v>1586</v>
      </c>
      <c r="F909" s="1" t="s">
        <v>1586</v>
      </c>
      <c r="G909" s="8">
        <v>14</v>
      </c>
      <c r="H909" s="8">
        <v>2</v>
      </c>
      <c r="I909" s="115">
        <f>Table223[[#This Row],[Qty]]-Table223[[#This Row],[Issue Qty]]</f>
        <v>12</v>
      </c>
      <c r="J909" s="5"/>
      <c r="K909" s="5">
        <f t="shared" si="45"/>
        <v>0</v>
      </c>
      <c r="L909" s="82"/>
      <c r="M909" s="9">
        <f t="shared" si="46"/>
        <v>0</v>
      </c>
      <c r="N909" s="5"/>
      <c r="O909" s="5"/>
      <c r="P909" s="5">
        <f t="shared" si="47"/>
        <v>0</v>
      </c>
      <c r="Q909" s="1" t="s">
        <v>331</v>
      </c>
      <c r="R909" s="1" t="s">
        <v>331</v>
      </c>
      <c r="S909" s="1" t="s">
        <v>896</v>
      </c>
      <c r="T909" s="1" t="s">
        <v>37</v>
      </c>
      <c r="U909" s="1">
        <v>85076000</v>
      </c>
      <c r="V909" s="1"/>
      <c r="W909" s="21" t="s">
        <v>1345</v>
      </c>
      <c r="X909" s="8"/>
      <c r="Y909" s="8">
        <v>2</v>
      </c>
      <c r="Z909" s="22" t="s">
        <v>474</v>
      </c>
      <c r="AA909" s="1"/>
      <c r="AB909" s="29"/>
      <c r="AC909" s="2"/>
      <c r="AD909" s="2"/>
    </row>
    <row r="910" spans="1:30" s="24" customFormat="1" x14ac:dyDescent="0.25">
      <c r="A910" s="4"/>
      <c r="B910" s="4">
        <v>46009</v>
      </c>
      <c r="C910" s="1" t="s">
        <v>54</v>
      </c>
      <c r="D910" s="1" t="s">
        <v>2603</v>
      </c>
      <c r="E910" s="1" t="s">
        <v>1506</v>
      </c>
      <c r="F910" s="1" t="s">
        <v>1506</v>
      </c>
      <c r="G910" s="8">
        <v>1</v>
      </c>
      <c r="H910" s="8">
        <v>1</v>
      </c>
      <c r="I910" s="115">
        <f>Table223[[#This Row],[Qty]]-Table223[[#This Row],[Issue Qty]]</f>
        <v>0</v>
      </c>
      <c r="J910" s="5">
        <v>2825.1</v>
      </c>
      <c r="K910" s="5">
        <f t="shared" si="45"/>
        <v>2825.1</v>
      </c>
      <c r="L910" s="82">
        <v>0.18</v>
      </c>
      <c r="M910" s="9">
        <f t="shared" si="46"/>
        <v>508.51799999999997</v>
      </c>
      <c r="N910" s="5"/>
      <c r="O910" s="5"/>
      <c r="P910" s="5">
        <f t="shared" si="47"/>
        <v>3333.6179999999999</v>
      </c>
      <c r="Q910" s="1" t="s">
        <v>2887</v>
      </c>
      <c r="R910" s="1" t="s">
        <v>633</v>
      </c>
      <c r="S910" s="1" t="s">
        <v>358</v>
      </c>
      <c r="T910" s="1" t="s">
        <v>2706</v>
      </c>
      <c r="U910" s="1">
        <v>39269099</v>
      </c>
      <c r="V910" s="1"/>
      <c r="W910" s="21" t="s">
        <v>3349</v>
      </c>
      <c r="X910" s="8"/>
      <c r="Y910" s="8">
        <v>1</v>
      </c>
      <c r="Z910" s="22" t="s">
        <v>3352</v>
      </c>
      <c r="AA910" s="1"/>
      <c r="AB910" s="29"/>
      <c r="AC910" s="2"/>
      <c r="AD910" s="2"/>
    </row>
    <row r="911" spans="1:30" s="24" customFormat="1" x14ac:dyDescent="0.25">
      <c r="A911" s="4"/>
      <c r="B911" s="4">
        <v>46009</v>
      </c>
      <c r="C911" s="1" t="s">
        <v>54</v>
      </c>
      <c r="D911" s="1" t="s">
        <v>2604</v>
      </c>
      <c r="E911" s="1" t="s">
        <v>1507</v>
      </c>
      <c r="F911" s="1" t="s">
        <v>1507</v>
      </c>
      <c r="G911" s="8">
        <v>1</v>
      </c>
      <c r="H911" s="8">
        <v>1</v>
      </c>
      <c r="I911" s="115">
        <f>Table223[[#This Row],[Qty]]-Table223[[#This Row],[Issue Qty]]</f>
        <v>0</v>
      </c>
      <c r="J911" s="5">
        <v>4377.3999999999996</v>
      </c>
      <c r="K911" s="5">
        <f t="shared" si="45"/>
        <v>4377.3999999999996</v>
      </c>
      <c r="L911" s="82">
        <v>0.18</v>
      </c>
      <c r="M911" s="9">
        <f t="shared" si="46"/>
        <v>787.9319999999999</v>
      </c>
      <c r="N911" s="5"/>
      <c r="O911" s="5"/>
      <c r="P911" s="5">
        <f t="shared" si="47"/>
        <v>5165.3319999999994</v>
      </c>
      <c r="Q911" s="1" t="s">
        <v>2887</v>
      </c>
      <c r="R911" s="1" t="s">
        <v>633</v>
      </c>
      <c r="S911" s="1" t="s">
        <v>358</v>
      </c>
      <c r="T911" s="1" t="s">
        <v>2706</v>
      </c>
      <c r="U911" s="1">
        <v>39269099</v>
      </c>
      <c r="V911" s="1"/>
      <c r="W911" s="21" t="s">
        <v>3349</v>
      </c>
      <c r="X911" s="8"/>
      <c r="Y911" s="8">
        <v>1</v>
      </c>
      <c r="Z911" s="22" t="s">
        <v>3352</v>
      </c>
      <c r="AA911" s="1"/>
      <c r="AB911" s="29"/>
      <c r="AC911" s="2"/>
      <c r="AD911" s="2"/>
    </row>
    <row r="912" spans="1:30" s="24" customFormat="1" x14ac:dyDescent="0.25">
      <c r="A912" s="4"/>
      <c r="B912" s="4">
        <v>46011</v>
      </c>
      <c r="C912" s="1" t="s">
        <v>1683</v>
      </c>
      <c r="D912" s="1" t="s">
        <v>2707</v>
      </c>
      <c r="E912" s="1" t="s">
        <v>1587</v>
      </c>
      <c r="F912" s="1" t="s">
        <v>1587</v>
      </c>
      <c r="G912" s="8">
        <v>2</v>
      </c>
      <c r="H912" s="8"/>
      <c r="I912" s="115">
        <f>Table223[[#This Row],[Qty]]-Table223[[#This Row],[Issue Qty]]</f>
        <v>2</v>
      </c>
      <c r="J912" s="5">
        <v>450</v>
      </c>
      <c r="K912" s="5">
        <f t="shared" si="45"/>
        <v>900</v>
      </c>
      <c r="L912" s="82">
        <v>0.18</v>
      </c>
      <c r="M912" s="9">
        <f t="shared" si="46"/>
        <v>162</v>
      </c>
      <c r="N912" s="5"/>
      <c r="O912" s="5"/>
      <c r="P912" s="5">
        <f t="shared" si="47"/>
        <v>1062</v>
      </c>
      <c r="Q912" s="1" t="s">
        <v>331</v>
      </c>
      <c r="R912" s="1" t="s">
        <v>331</v>
      </c>
      <c r="S912" s="1" t="s">
        <v>343</v>
      </c>
      <c r="T912" s="1" t="s">
        <v>2708</v>
      </c>
      <c r="U912" s="1">
        <v>854420</v>
      </c>
      <c r="V912" s="1"/>
      <c r="W912" s="21" t="s">
        <v>89</v>
      </c>
      <c r="X912" s="8"/>
      <c r="Y912" s="8"/>
      <c r="Z912" s="22"/>
      <c r="AA912" s="1"/>
      <c r="AB912" s="29"/>
      <c r="AC912" s="2"/>
      <c r="AD912" s="2"/>
    </row>
    <row r="913" spans="1:30" s="24" customFormat="1" x14ac:dyDescent="0.25">
      <c r="A913" s="4"/>
      <c r="B913" s="4">
        <v>46014</v>
      </c>
      <c r="C913" s="1" t="s">
        <v>1693</v>
      </c>
      <c r="D913" s="1" t="s">
        <v>2709</v>
      </c>
      <c r="E913" s="1" t="s">
        <v>1588</v>
      </c>
      <c r="F913" s="1" t="s">
        <v>1588</v>
      </c>
      <c r="G913" s="8">
        <v>2</v>
      </c>
      <c r="H913" s="8">
        <v>1</v>
      </c>
      <c r="I913" s="115">
        <f>Table223[[#This Row],[Qty]]-Table223[[#This Row],[Issue Qty]]</f>
        <v>1</v>
      </c>
      <c r="J913" s="5">
        <v>29500</v>
      </c>
      <c r="K913" s="5">
        <f t="shared" si="45"/>
        <v>59000</v>
      </c>
      <c r="L913" s="82">
        <v>0.05</v>
      </c>
      <c r="M913" s="9">
        <f t="shared" si="46"/>
        <v>2950</v>
      </c>
      <c r="N913" s="5"/>
      <c r="O913" s="5"/>
      <c r="P913" s="5">
        <f t="shared" si="47"/>
        <v>61950</v>
      </c>
      <c r="Q913" s="1" t="s">
        <v>606</v>
      </c>
      <c r="R913" s="1" t="s">
        <v>606</v>
      </c>
      <c r="S913" s="1" t="s">
        <v>1589</v>
      </c>
      <c r="T913" s="1" t="s">
        <v>2710</v>
      </c>
      <c r="U913" s="1">
        <v>88073000</v>
      </c>
      <c r="V913" s="1"/>
      <c r="W913" s="21" t="s">
        <v>244</v>
      </c>
      <c r="X913" s="28"/>
      <c r="Y913" s="8">
        <v>2</v>
      </c>
      <c r="Z913" s="22" t="s">
        <v>2900</v>
      </c>
      <c r="AA913" s="1"/>
      <c r="AB913" s="29"/>
      <c r="AC913" s="2"/>
      <c r="AD913" s="2"/>
    </row>
    <row r="914" spans="1:30" s="24" customFormat="1" x14ac:dyDescent="0.25">
      <c r="A914" s="4"/>
      <c r="B914" s="4">
        <v>46014</v>
      </c>
      <c r="C914" s="1" t="s">
        <v>1693</v>
      </c>
      <c r="D914" s="1" t="s">
        <v>2711</v>
      </c>
      <c r="E914" s="169" t="s">
        <v>1591</v>
      </c>
      <c r="F914" s="1" t="s">
        <v>1591</v>
      </c>
      <c r="G914" s="8">
        <v>2</v>
      </c>
      <c r="H914" s="8">
        <f>1+1</f>
        <v>2</v>
      </c>
      <c r="I914" s="115">
        <f>Table223[[#This Row],[Qty]]-Table223[[#This Row],[Issue Qty]]</f>
        <v>0</v>
      </c>
      <c r="J914" s="5">
        <v>15000</v>
      </c>
      <c r="K914" s="5">
        <f t="shared" si="45"/>
        <v>30000</v>
      </c>
      <c r="L914" s="82">
        <v>0.05</v>
      </c>
      <c r="M914" s="9">
        <f t="shared" si="46"/>
        <v>1500</v>
      </c>
      <c r="N914" s="5"/>
      <c r="O914" s="5"/>
      <c r="P914" s="5">
        <f t="shared" si="47"/>
        <v>31500</v>
      </c>
      <c r="Q914" s="1" t="s">
        <v>606</v>
      </c>
      <c r="R914" s="1" t="s">
        <v>606</v>
      </c>
      <c r="S914" s="1" t="s">
        <v>1589</v>
      </c>
      <c r="T914" s="1" t="s">
        <v>2710</v>
      </c>
      <c r="U914" s="1">
        <v>15132120</v>
      </c>
      <c r="V914" s="1"/>
      <c r="W914" s="21" t="s">
        <v>52</v>
      </c>
      <c r="X914" s="8"/>
      <c r="Y914" s="8">
        <v>2</v>
      </c>
      <c r="Z914" s="22" t="s">
        <v>2911</v>
      </c>
      <c r="AA914" s="22" t="s">
        <v>1590</v>
      </c>
      <c r="AB914" s="29"/>
      <c r="AC914" s="2"/>
      <c r="AD914" s="2"/>
    </row>
    <row r="915" spans="1:30" s="24" customFormat="1" x14ac:dyDescent="0.25">
      <c r="A915" s="4"/>
      <c r="B915" s="4">
        <v>46015</v>
      </c>
      <c r="C915" s="1" t="s">
        <v>54</v>
      </c>
      <c r="D915" s="1" t="s">
        <v>2573</v>
      </c>
      <c r="E915" s="87" t="s">
        <v>1482</v>
      </c>
      <c r="F915" s="1" t="s">
        <v>1482</v>
      </c>
      <c r="G915" s="8">
        <v>1</v>
      </c>
      <c r="H915" s="8">
        <v>1</v>
      </c>
      <c r="I915" s="115">
        <f>Table223[[#This Row],[Qty]]-Table223[[#This Row],[Issue Qty]]</f>
        <v>0</v>
      </c>
      <c r="J915" s="5">
        <v>650</v>
      </c>
      <c r="K915" s="5">
        <f t="shared" si="45"/>
        <v>650</v>
      </c>
      <c r="L915" s="82">
        <v>0.18</v>
      </c>
      <c r="M915" s="9">
        <f t="shared" si="46"/>
        <v>117</v>
      </c>
      <c r="N915" s="5"/>
      <c r="O915" s="5"/>
      <c r="P915" s="5">
        <f t="shared" si="47"/>
        <v>767</v>
      </c>
      <c r="Q915" s="1" t="s">
        <v>2887</v>
      </c>
      <c r="R915" s="1" t="s">
        <v>633</v>
      </c>
      <c r="S915" s="1" t="s">
        <v>764</v>
      </c>
      <c r="T915" s="1" t="s">
        <v>2712</v>
      </c>
      <c r="U915" s="1">
        <v>84879000</v>
      </c>
      <c r="V915" s="1"/>
      <c r="W915" s="21" t="s">
        <v>3353</v>
      </c>
      <c r="X915" s="8"/>
      <c r="Y915" s="8">
        <v>1</v>
      </c>
      <c r="Z915" s="22" t="s">
        <v>3014</v>
      </c>
      <c r="AA915" s="1"/>
      <c r="AB915" s="29"/>
      <c r="AC915" s="2"/>
      <c r="AD915" s="2"/>
    </row>
    <row r="916" spans="1:30" s="24" customFormat="1" x14ac:dyDescent="0.25">
      <c r="A916" s="4"/>
      <c r="B916" s="4">
        <v>46015</v>
      </c>
      <c r="C916" s="1" t="s">
        <v>1730</v>
      </c>
      <c r="D916" s="1" t="s">
        <v>2619</v>
      </c>
      <c r="E916" s="1" t="s">
        <v>1523</v>
      </c>
      <c r="F916" s="1" t="s">
        <v>1523</v>
      </c>
      <c r="G916" s="8">
        <v>10</v>
      </c>
      <c r="H916" s="8">
        <v>10</v>
      </c>
      <c r="I916" s="115">
        <f>Table223[[#This Row],[Qty]]-Table223[[#This Row],[Issue Qty]]</f>
        <v>0</v>
      </c>
      <c r="J916" s="5">
        <v>350</v>
      </c>
      <c r="K916" s="5">
        <f t="shared" si="45"/>
        <v>3500</v>
      </c>
      <c r="L916" s="82">
        <v>0.18</v>
      </c>
      <c r="M916" s="9">
        <f t="shared" si="46"/>
        <v>630</v>
      </c>
      <c r="N916" s="5"/>
      <c r="O916" s="5"/>
      <c r="P916" s="5">
        <f t="shared" si="47"/>
        <v>4130</v>
      </c>
      <c r="Q916" s="1" t="s">
        <v>2887</v>
      </c>
      <c r="R916" s="1" t="s">
        <v>633</v>
      </c>
      <c r="S916" s="1" t="s">
        <v>764</v>
      </c>
      <c r="T916" s="1" t="s">
        <v>2712</v>
      </c>
      <c r="U916" s="1">
        <v>84879000</v>
      </c>
      <c r="V916" s="1"/>
      <c r="W916" s="21" t="s">
        <v>650</v>
      </c>
      <c r="X916" s="8"/>
      <c r="Y916" s="8">
        <v>10</v>
      </c>
      <c r="Z916" s="22" t="s">
        <v>2887</v>
      </c>
      <c r="AA916" s="1"/>
      <c r="AB916" s="29"/>
      <c r="AC916" s="2"/>
      <c r="AD916" s="2"/>
    </row>
    <row r="917" spans="1:30" s="24" customFormat="1" x14ac:dyDescent="0.25">
      <c r="A917" s="4"/>
      <c r="B917" s="4">
        <v>46015</v>
      </c>
      <c r="C917" s="1" t="s">
        <v>54</v>
      </c>
      <c r="D917" s="1" t="s">
        <v>2713</v>
      </c>
      <c r="E917" s="1" t="s">
        <v>1592</v>
      </c>
      <c r="F917" s="1" t="s">
        <v>1592</v>
      </c>
      <c r="G917" s="8">
        <v>4</v>
      </c>
      <c r="H917" s="8">
        <v>4</v>
      </c>
      <c r="I917" s="115">
        <f>Table223[[#This Row],[Qty]]-Table223[[#This Row],[Issue Qty]]</f>
        <v>0</v>
      </c>
      <c r="J917" s="5">
        <v>3500</v>
      </c>
      <c r="K917" s="5">
        <f t="shared" si="45"/>
        <v>14000</v>
      </c>
      <c r="L917" s="82">
        <v>0.18</v>
      </c>
      <c r="M917" s="9">
        <f t="shared" si="46"/>
        <v>2520</v>
      </c>
      <c r="N917" s="5"/>
      <c r="O917" s="5"/>
      <c r="P917" s="5">
        <f t="shared" si="47"/>
        <v>16520</v>
      </c>
      <c r="Q917" s="1" t="s">
        <v>2887</v>
      </c>
      <c r="R917" s="1" t="s">
        <v>633</v>
      </c>
      <c r="S917" s="1" t="s">
        <v>764</v>
      </c>
      <c r="T917" s="1" t="s">
        <v>2712</v>
      </c>
      <c r="U917" s="1">
        <v>84879000</v>
      </c>
      <c r="V917" s="1"/>
      <c r="W917" s="21" t="s">
        <v>3349</v>
      </c>
      <c r="X917" s="8"/>
      <c r="Y917" s="8">
        <v>4</v>
      </c>
      <c r="Z917" s="22" t="s">
        <v>1546</v>
      </c>
      <c r="AA917" s="1"/>
      <c r="AB917" s="29"/>
      <c r="AC917" s="2"/>
      <c r="AD917" s="2"/>
    </row>
    <row r="918" spans="1:30" s="24" customFormat="1" x14ac:dyDescent="0.25">
      <c r="A918" s="4"/>
      <c r="B918" s="4">
        <v>46015</v>
      </c>
      <c r="C918" s="1" t="s">
        <v>54</v>
      </c>
      <c r="D918" s="1" t="s">
        <v>2714</v>
      </c>
      <c r="E918" s="87" t="s">
        <v>1593</v>
      </c>
      <c r="F918" s="1" t="s">
        <v>1593</v>
      </c>
      <c r="G918" s="8">
        <v>1</v>
      </c>
      <c r="H918" s="8">
        <v>1</v>
      </c>
      <c r="I918" s="115">
        <f>Table223[[#This Row],[Qty]]-Table223[[#This Row],[Issue Qty]]</f>
        <v>0</v>
      </c>
      <c r="J918" s="5">
        <v>730</v>
      </c>
      <c r="K918" s="5">
        <f t="shared" si="45"/>
        <v>730</v>
      </c>
      <c r="L918" s="82">
        <v>0.18</v>
      </c>
      <c r="M918" s="9">
        <f t="shared" si="46"/>
        <v>131.4</v>
      </c>
      <c r="N918" s="5"/>
      <c r="O918" s="5"/>
      <c r="P918" s="5">
        <f t="shared" si="47"/>
        <v>861.4</v>
      </c>
      <c r="Q918" s="1" t="s">
        <v>2887</v>
      </c>
      <c r="R918" s="1" t="s">
        <v>633</v>
      </c>
      <c r="S918" s="1" t="s">
        <v>764</v>
      </c>
      <c r="T918" s="1" t="s">
        <v>2712</v>
      </c>
      <c r="U918" s="1">
        <v>84879000</v>
      </c>
      <c r="V918" s="1"/>
      <c r="W918" s="21" t="s">
        <v>3195</v>
      </c>
      <c r="X918" s="8"/>
      <c r="Y918" s="8">
        <v>1</v>
      </c>
      <c r="Z918" s="22" t="s">
        <v>3352</v>
      </c>
      <c r="AA918" s="1"/>
      <c r="AB918" s="29"/>
      <c r="AC918" s="2"/>
      <c r="AD918" s="2"/>
    </row>
    <row r="919" spans="1:30" s="24" customFormat="1" x14ac:dyDescent="0.25">
      <c r="A919" s="4"/>
      <c r="B919" s="4">
        <v>46017</v>
      </c>
      <c r="C919" s="1" t="s">
        <v>1730</v>
      </c>
      <c r="D919" s="1" t="s">
        <v>2715</v>
      </c>
      <c r="E919" s="1" t="s">
        <v>1594</v>
      </c>
      <c r="F919" s="1" t="s">
        <v>1594</v>
      </c>
      <c r="G919" s="8">
        <v>2</v>
      </c>
      <c r="H919" s="8">
        <v>2</v>
      </c>
      <c r="I919" s="115">
        <f>Table223[[#This Row],[Qty]]-Table223[[#This Row],[Issue Qty]]</f>
        <v>0</v>
      </c>
      <c r="J919" s="5">
        <v>600</v>
      </c>
      <c r="K919" s="5">
        <f t="shared" si="45"/>
        <v>1200</v>
      </c>
      <c r="L919" s="82">
        <v>0.18</v>
      </c>
      <c r="M919" s="9">
        <f t="shared" si="46"/>
        <v>216</v>
      </c>
      <c r="N919" s="5"/>
      <c r="O919" s="5"/>
      <c r="P919" s="5">
        <f t="shared" si="47"/>
        <v>1416</v>
      </c>
      <c r="Q919" s="1" t="s">
        <v>2887</v>
      </c>
      <c r="R919" s="1" t="s">
        <v>633</v>
      </c>
      <c r="S919" s="1" t="s">
        <v>1595</v>
      </c>
      <c r="T919" s="1" t="s">
        <v>2716</v>
      </c>
      <c r="U919" s="1">
        <v>7318</v>
      </c>
      <c r="V919" s="1"/>
      <c r="W919" s="21" t="s">
        <v>1358</v>
      </c>
      <c r="X919" s="8"/>
      <c r="Y919" s="8"/>
      <c r="Z919" s="22"/>
      <c r="AA919" s="1"/>
      <c r="AB919" s="29"/>
      <c r="AC919" s="2"/>
      <c r="AD919" s="2"/>
    </row>
    <row r="920" spans="1:30" ht="30" x14ac:dyDescent="0.25">
      <c r="A920" s="4"/>
      <c r="B920" s="4">
        <v>46017</v>
      </c>
      <c r="C920" s="1" t="s">
        <v>1730</v>
      </c>
      <c r="D920" s="1" t="s">
        <v>2717</v>
      </c>
      <c r="E920" s="169" t="s">
        <v>1596</v>
      </c>
      <c r="F920" s="1" t="s">
        <v>1596</v>
      </c>
      <c r="G920" s="8">
        <v>2</v>
      </c>
      <c r="H920" s="8">
        <v>2</v>
      </c>
      <c r="I920" s="115">
        <f>Table223[[#This Row],[Qty]]-Table223[[#This Row],[Issue Qty]]</f>
        <v>0</v>
      </c>
      <c r="J920" s="5">
        <v>985.59</v>
      </c>
      <c r="K920" s="5">
        <f t="shared" si="45"/>
        <v>1971.18</v>
      </c>
      <c r="L920" s="82">
        <v>0.18</v>
      </c>
      <c r="M920" s="9">
        <f t="shared" si="46"/>
        <v>354.81240000000003</v>
      </c>
      <c r="N920" s="5"/>
      <c r="O920" s="5"/>
      <c r="P920" s="5">
        <f t="shared" si="47"/>
        <v>2325.9924000000001</v>
      </c>
      <c r="Q920" s="1" t="s">
        <v>331</v>
      </c>
      <c r="R920" s="1" t="s">
        <v>331</v>
      </c>
      <c r="S920" s="1" t="s">
        <v>384</v>
      </c>
      <c r="T920" s="1" t="s">
        <v>2718</v>
      </c>
      <c r="U920" s="1">
        <v>9620</v>
      </c>
      <c r="V920" s="1"/>
      <c r="W920" s="21" t="s">
        <v>2940</v>
      </c>
      <c r="X920" s="8" t="s">
        <v>821</v>
      </c>
      <c r="Y920" s="8">
        <v>1</v>
      </c>
      <c r="Z920" s="22" t="s">
        <v>509</v>
      </c>
      <c r="AA920" s="1"/>
      <c r="AB920" s="29"/>
      <c r="AC920" s="2"/>
      <c r="AD920" s="27"/>
    </row>
    <row r="921" spans="1:30" x14ac:dyDescent="0.25">
      <c r="A921" s="4"/>
      <c r="B921" s="4">
        <v>46018</v>
      </c>
      <c r="C921" s="1" t="s">
        <v>1693</v>
      </c>
      <c r="D921" s="1" t="s">
        <v>2719</v>
      </c>
      <c r="E921" s="1" t="s">
        <v>1597</v>
      </c>
      <c r="F921" s="1" t="s">
        <v>1597</v>
      </c>
      <c r="G921" s="8">
        <v>4</v>
      </c>
      <c r="H921" s="8">
        <v>3</v>
      </c>
      <c r="I921" s="115">
        <f>Table223[[#This Row],[Qty]]-Table223[[#This Row],[Issue Qty]]</f>
        <v>1</v>
      </c>
      <c r="J921" s="5">
        <v>4028</v>
      </c>
      <c r="K921" s="5">
        <f t="shared" si="45"/>
        <v>16112</v>
      </c>
      <c r="L921" s="82">
        <v>0.18</v>
      </c>
      <c r="M921" s="9">
        <f t="shared" si="46"/>
        <v>2900.16</v>
      </c>
      <c r="N921" s="5"/>
      <c r="O921" s="5"/>
      <c r="P921" s="5">
        <f t="shared" si="47"/>
        <v>19012.16</v>
      </c>
      <c r="Q921" s="1" t="s">
        <v>2887</v>
      </c>
      <c r="R921" s="1" t="s">
        <v>633</v>
      </c>
      <c r="S921" s="1" t="s">
        <v>893</v>
      </c>
      <c r="T921" s="1" t="s">
        <v>2720</v>
      </c>
      <c r="U921" s="1">
        <v>85177910</v>
      </c>
      <c r="V921" s="1"/>
      <c r="W921" s="21" t="s">
        <v>650</v>
      </c>
      <c r="X921" s="8"/>
      <c r="Y921" s="8">
        <v>2</v>
      </c>
      <c r="Z921" s="22" t="s">
        <v>2930</v>
      </c>
      <c r="AA921" s="1"/>
      <c r="AB921" s="29"/>
      <c r="AC921" s="2"/>
      <c r="AD921" s="27"/>
    </row>
    <row r="922" spans="1:30" x14ac:dyDescent="0.25">
      <c r="A922" s="4">
        <v>46028</v>
      </c>
      <c r="B922" s="4">
        <v>46024</v>
      </c>
      <c r="C922" s="6" t="s">
        <v>1688</v>
      </c>
      <c r="D922" s="6" t="s">
        <v>2097</v>
      </c>
      <c r="E922" s="1" t="s">
        <v>856</v>
      </c>
      <c r="F922" s="1" t="s">
        <v>856</v>
      </c>
      <c r="G922" s="8">
        <v>3</v>
      </c>
      <c r="H922" s="8">
        <v>2</v>
      </c>
      <c r="I922" s="115">
        <f>Table223[[#This Row],[Qty]]-Table223[[#This Row],[Issue Qty]]</f>
        <v>1</v>
      </c>
      <c r="J922" s="5">
        <v>33095</v>
      </c>
      <c r="K922" s="5">
        <f t="shared" si="45"/>
        <v>99285</v>
      </c>
      <c r="L922" s="82">
        <v>0.18</v>
      </c>
      <c r="M922" s="9">
        <f t="shared" si="46"/>
        <v>17871.3</v>
      </c>
      <c r="N922" s="5"/>
      <c r="O922" s="5"/>
      <c r="P922" s="5">
        <f t="shared" si="47"/>
        <v>117156.3</v>
      </c>
      <c r="Q922" s="1" t="s">
        <v>606</v>
      </c>
      <c r="R922" s="1" t="s">
        <v>606</v>
      </c>
      <c r="S922" s="1" t="s">
        <v>444</v>
      </c>
      <c r="T922" s="1" t="s">
        <v>2721</v>
      </c>
      <c r="U922" s="1">
        <v>88073000</v>
      </c>
      <c r="V922" s="2"/>
      <c r="W922" s="21" t="s">
        <v>1598</v>
      </c>
      <c r="X922" s="21"/>
      <c r="Y922" s="21">
        <v>3</v>
      </c>
      <c r="Z922" s="12" t="s">
        <v>3413</v>
      </c>
      <c r="AA922" s="2"/>
      <c r="AB922" s="23"/>
      <c r="AC922" s="1"/>
      <c r="AD922" s="27"/>
    </row>
    <row r="923" spans="1:30" ht="30" x14ac:dyDescent="0.25">
      <c r="A923" s="4">
        <v>46028</v>
      </c>
      <c r="B923" s="4">
        <v>46024</v>
      </c>
      <c r="C923" s="6" t="s">
        <v>1693</v>
      </c>
      <c r="D923" s="6" t="s">
        <v>1892</v>
      </c>
      <c r="E923" s="39" t="s">
        <v>501</v>
      </c>
      <c r="F923" s="1" t="s">
        <v>501</v>
      </c>
      <c r="G923" s="8">
        <v>3</v>
      </c>
      <c r="H923" s="8">
        <v>1</v>
      </c>
      <c r="I923" s="115">
        <f>Table223[[#This Row],[Qty]]-Table223[[#This Row],[Issue Qty]]</f>
        <v>2</v>
      </c>
      <c r="J923" s="5">
        <v>33890</v>
      </c>
      <c r="K923" s="5">
        <f t="shared" si="45"/>
        <v>101670</v>
      </c>
      <c r="L923" s="82">
        <v>0.05</v>
      </c>
      <c r="M923" s="9">
        <f t="shared" si="46"/>
        <v>5083.5</v>
      </c>
      <c r="N923" s="5"/>
      <c r="O923" s="5">
        <v>-0.4</v>
      </c>
      <c r="P923" s="5">
        <f t="shared" si="47"/>
        <v>106753.1</v>
      </c>
      <c r="Q923" s="1" t="s">
        <v>606</v>
      </c>
      <c r="R923" s="1" t="s">
        <v>606</v>
      </c>
      <c r="S923" s="1" t="s">
        <v>444</v>
      </c>
      <c r="T923" s="1" t="s">
        <v>2721</v>
      </c>
      <c r="U923" s="1">
        <v>88073000</v>
      </c>
      <c r="V923" s="2"/>
      <c r="W923" s="21" t="s">
        <v>244</v>
      </c>
      <c r="X923" s="21"/>
      <c r="Y923" s="21">
        <v>2</v>
      </c>
      <c r="Z923" s="57" t="s">
        <v>2963</v>
      </c>
      <c r="AA923" s="2"/>
      <c r="AB923" s="23"/>
      <c r="AC923" s="1"/>
      <c r="AD923" s="27"/>
    </row>
    <row r="924" spans="1:30" x14ac:dyDescent="0.25">
      <c r="A924" s="4">
        <v>46025</v>
      </c>
      <c r="B924" s="4">
        <v>46027</v>
      </c>
      <c r="C924" s="6" t="s">
        <v>1693</v>
      </c>
      <c r="D924" s="6" t="s">
        <v>1831</v>
      </c>
      <c r="E924" s="1" t="s">
        <v>379</v>
      </c>
      <c r="F924" s="1" t="s">
        <v>379</v>
      </c>
      <c r="G924" s="8">
        <v>6</v>
      </c>
      <c r="H924" s="8"/>
      <c r="I924" s="115">
        <f>Table223[[#This Row],[Qty]]-Table223[[#This Row],[Issue Qty]]</f>
        <v>6</v>
      </c>
      <c r="J924" s="5">
        <v>628.57000000000005</v>
      </c>
      <c r="K924" s="5">
        <f t="shared" si="45"/>
        <v>3771.42</v>
      </c>
      <c r="L924" s="82">
        <v>0.18</v>
      </c>
      <c r="M924" s="9">
        <f t="shared" si="46"/>
        <v>678.85559999999998</v>
      </c>
      <c r="N924" s="5"/>
      <c r="O924" s="5"/>
      <c r="P924" s="5">
        <f t="shared" si="47"/>
        <v>4450.2755999999999</v>
      </c>
      <c r="Q924" s="1" t="s">
        <v>606</v>
      </c>
      <c r="R924" s="1" t="s">
        <v>606</v>
      </c>
      <c r="S924" s="1" t="s">
        <v>634</v>
      </c>
      <c r="T924" s="1" t="s">
        <v>2722</v>
      </c>
      <c r="U924" s="1">
        <v>38073000</v>
      </c>
      <c r="V924" s="2"/>
      <c r="W924" s="21" t="s">
        <v>72</v>
      </c>
      <c r="X924" s="21" t="s">
        <v>262</v>
      </c>
      <c r="Y924" s="21"/>
      <c r="Z924" s="12"/>
      <c r="AA924" s="2"/>
      <c r="AB924" s="23"/>
      <c r="AC924" s="1"/>
      <c r="AD924" s="27"/>
    </row>
    <row r="925" spans="1:30" x14ac:dyDescent="0.25">
      <c r="A925" s="4">
        <v>46021</v>
      </c>
      <c r="B925" s="4">
        <v>46027</v>
      </c>
      <c r="C925" s="6" t="s">
        <v>1730</v>
      </c>
      <c r="D925" s="6" t="s">
        <v>37</v>
      </c>
      <c r="E925" s="1" t="s">
        <v>1599</v>
      </c>
      <c r="F925" s="1" t="s">
        <v>1599</v>
      </c>
      <c r="G925" s="8">
        <v>4</v>
      </c>
      <c r="H925" s="8">
        <v>3</v>
      </c>
      <c r="I925" s="115">
        <f>Table223[[#This Row],[Qty]]-Table223[[#This Row],[Issue Qty]]</f>
        <v>1</v>
      </c>
      <c r="J925" s="5">
        <v>143.63</v>
      </c>
      <c r="K925" s="5">
        <f t="shared" si="45"/>
        <v>574.52</v>
      </c>
      <c r="L925" s="82">
        <v>0.18</v>
      </c>
      <c r="M925" s="9">
        <f t="shared" si="46"/>
        <v>103.41359999999999</v>
      </c>
      <c r="N925" s="5"/>
      <c r="O925" s="5"/>
      <c r="P925" s="5">
        <f t="shared" si="47"/>
        <v>677.93359999999996</v>
      </c>
      <c r="Q925" s="1" t="s">
        <v>2887</v>
      </c>
      <c r="R925" s="1" t="s">
        <v>633</v>
      </c>
      <c r="S925" s="1" t="s">
        <v>384</v>
      </c>
      <c r="T925" s="1" t="s">
        <v>2724</v>
      </c>
      <c r="U925" s="1">
        <v>85469090</v>
      </c>
      <c r="V925" s="2"/>
      <c r="W925" s="21" t="s">
        <v>1358</v>
      </c>
      <c r="X925" s="21"/>
      <c r="Y925" s="21"/>
      <c r="Z925" s="12"/>
      <c r="AA925" s="2"/>
      <c r="AB925" s="23"/>
      <c r="AC925" s="1"/>
      <c r="AD925" s="27"/>
    </row>
    <row r="926" spans="1:30" x14ac:dyDescent="0.25">
      <c r="A926" s="4">
        <v>46386</v>
      </c>
      <c r="B926" s="4">
        <v>46027</v>
      </c>
      <c r="C926" s="6" t="s">
        <v>1693</v>
      </c>
      <c r="D926" s="6" t="s">
        <v>2725</v>
      </c>
      <c r="E926" s="1" t="s">
        <v>1600</v>
      </c>
      <c r="F926" s="1" t="s">
        <v>1600</v>
      </c>
      <c r="G926" s="8">
        <v>4</v>
      </c>
      <c r="H926" s="8">
        <v>4</v>
      </c>
      <c r="I926" s="115">
        <f>Table223[[#This Row],[Qty]]-Table223[[#This Row],[Issue Qty]]</f>
        <v>0</v>
      </c>
      <c r="J926" s="5">
        <v>2.4700000000000002</v>
      </c>
      <c r="K926" s="5">
        <f t="shared" si="45"/>
        <v>9.8800000000000008</v>
      </c>
      <c r="L926" s="82"/>
      <c r="M926" s="9">
        <f t="shared" si="46"/>
        <v>0</v>
      </c>
      <c r="N926" s="5"/>
      <c r="O926" s="5"/>
      <c r="P926" s="5">
        <f t="shared" si="47"/>
        <v>9.8800000000000008</v>
      </c>
      <c r="Q926" s="1" t="s">
        <v>2887</v>
      </c>
      <c r="R926" s="1" t="s">
        <v>633</v>
      </c>
      <c r="S926" s="1" t="s">
        <v>1601</v>
      </c>
      <c r="T926" s="1">
        <v>88067841</v>
      </c>
      <c r="U926" s="1">
        <v>85429000</v>
      </c>
      <c r="V926" s="2"/>
      <c r="W926" s="21" t="s">
        <v>3349</v>
      </c>
      <c r="X926" s="21"/>
      <c r="Y926" s="21">
        <v>4</v>
      </c>
      <c r="Z926" s="12" t="s">
        <v>3352</v>
      </c>
      <c r="AA926" s="2"/>
      <c r="AB926" s="23"/>
      <c r="AC926" s="1"/>
      <c r="AD926" s="27"/>
    </row>
    <row r="927" spans="1:30" x14ac:dyDescent="0.25">
      <c r="A927" s="4">
        <v>46027</v>
      </c>
      <c r="B927" s="4">
        <v>46030</v>
      </c>
      <c r="C927" s="6" t="s">
        <v>1693</v>
      </c>
      <c r="D927" s="6" t="s">
        <v>2726</v>
      </c>
      <c r="E927" s="169" t="s">
        <v>1602</v>
      </c>
      <c r="F927" s="1" t="s">
        <v>1602</v>
      </c>
      <c r="G927" s="8">
        <v>1</v>
      </c>
      <c r="H927" s="8">
        <v>1</v>
      </c>
      <c r="I927" s="115">
        <f>Table223[[#This Row],[Qty]]-Table223[[#This Row],[Issue Qty]]</f>
        <v>0</v>
      </c>
      <c r="J927" s="5">
        <v>322.86</v>
      </c>
      <c r="K927" s="5">
        <f t="shared" si="45"/>
        <v>322.86</v>
      </c>
      <c r="L927" s="82">
        <v>0.05</v>
      </c>
      <c r="M927" s="9">
        <f t="shared" si="46"/>
        <v>16.143000000000001</v>
      </c>
      <c r="N927" s="5"/>
      <c r="O927" s="5"/>
      <c r="P927" s="5">
        <f t="shared" si="47"/>
        <v>339.00300000000004</v>
      </c>
      <c r="Q927" s="1" t="s">
        <v>1603</v>
      </c>
      <c r="R927" s="1" t="s">
        <v>1603</v>
      </c>
      <c r="S927" s="1" t="s">
        <v>634</v>
      </c>
      <c r="T927" s="1" t="s">
        <v>2727</v>
      </c>
      <c r="U927" s="1">
        <v>88073000</v>
      </c>
      <c r="V927" s="2"/>
      <c r="W927" s="21"/>
      <c r="X927" s="21"/>
      <c r="Y927" s="21">
        <v>1</v>
      </c>
      <c r="Z927" s="12" t="s">
        <v>1604</v>
      </c>
      <c r="AA927" s="2"/>
      <c r="AB927" s="23"/>
      <c r="AC927" s="1"/>
      <c r="AD927" s="27"/>
    </row>
    <row r="928" spans="1:30" ht="30" x14ac:dyDescent="0.25">
      <c r="A928" s="4">
        <v>46027</v>
      </c>
      <c r="B928" s="4">
        <v>46030</v>
      </c>
      <c r="C928" s="6" t="s">
        <v>1693</v>
      </c>
      <c r="D928" s="6" t="s">
        <v>2058</v>
      </c>
      <c r="E928" s="1" t="s">
        <v>805</v>
      </c>
      <c r="F928" s="1" t="s">
        <v>805</v>
      </c>
      <c r="G928" s="8">
        <v>3</v>
      </c>
      <c r="H928" s="8"/>
      <c r="I928" s="115">
        <f>Table223[[#This Row],[Qty]]-Table223[[#This Row],[Issue Qty]]</f>
        <v>3</v>
      </c>
      <c r="J928" s="5">
        <v>3999</v>
      </c>
      <c r="K928" s="5">
        <f t="shared" si="45"/>
        <v>11997</v>
      </c>
      <c r="L928" s="82">
        <v>0.18</v>
      </c>
      <c r="M928" s="9">
        <f t="shared" si="46"/>
        <v>2159.46</v>
      </c>
      <c r="N928" s="5"/>
      <c r="O928" s="5"/>
      <c r="P928" s="5">
        <f t="shared" si="47"/>
        <v>14156.46</v>
      </c>
      <c r="Q928" s="1" t="s">
        <v>606</v>
      </c>
      <c r="R928" s="1" t="s">
        <v>606</v>
      </c>
      <c r="S928" s="1" t="s">
        <v>794</v>
      </c>
      <c r="T928" s="1" t="s">
        <v>2728</v>
      </c>
      <c r="U928" s="1">
        <v>85043100</v>
      </c>
      <c r="V928" s="2"/>
      <c r="W928" s="21" t="s">
        <v>52</v>
      </c>
      <c r="X928" s="21" t="s">
        <v>1605</v>
      </c>
      <c r="Y928" s="21"/>
      <c r="Z928" s="57"/>
      <c r="AA928" s="2"/>
      <c r="AB928" s="23"/>
      <c r="AC928" s="1"/>
      <c r="AD928" s="27"/>
    </row>
    <row r="929" spans="1:30" x14ac:dyDescent="0.25">
      <c r="A929" s="4">
        <v>46027</v>
      </c>
      <c r="B929" s="4">
        <v>46030</v>
      </c>
      <c r="C929" s="6" t="s">
        <v>1693</v>
      </c>
      <c r="D929" s="6" t="s">
        <v>2057</v>
      </c>
      <c r="E929" s="1" t="s">
        <v>804</v>
      </c>
      <c r="F929" s="1" t="s">
        <v>804</v>
      </c>
      <c r="G929" s="8">
        <v>4</v>
      </c>
      <c r="H929" s="8"/>
      <c r="I929" s="115">
        <f>Table223[[#This Row],[Qty]]-Table223[[#This Row],[Issue Qty]]</f>
        <v>4</v>
      </c>
      <c r="J929" s="5">
        <v>3850</v>
      </c>
      <c r="K929" s="5">
        <f t="shared" si="45"/>
        <v>15400</v>
      </c>
      <c r="L929" s="82">
        <v>0.05</v>
      </c>
      <c r="M929" s="9">
        <f t="shared" si="46"/>
        <v>770</v>
      </c>
      <c r="N929" s="5"/>
      <c r="O929" s="5"/>
      <c r="P929" s="5">
        <f t="shared" si="47"/>
        <v>16170</v>
      </c>
      <c r="Q929" s="1" t="s">
        <v>606</v>
      </c>
      <c r="R929" s="1" t="s">
        <v>606</v>
      </c>
      <c r="S929" s="1" t="s">
        <v>794</v>
      </c>
      <c r="T929" s="1" t="s">
        <v>2728</v>
      </c>
      <c r="U929" s="1">
        <v>88073000</v>
      </c>
      <c r="V929" s="2"/>
      <c r="W929" s="21" t="s">
        <v>52</v>
      </c>
      <c r="X929" s="21" t="s">
        <v>1605</v>
      </c>
      <c r="Y929" s="21">
        <v>1</v>
      </c>
      <c r="Z929" s="12" t="s">
        <v>2949</v>
      </c>
      <c r="AA929" s="2"/>
      <c r="AB929" s="23"/>
      <c r="AC929" s="1"/>
      <c r="AD929" s="27"/>
    </row>
    <row r="930" spans="1:30" x14ac:dyDescent="0.25">
      <c r="A930" s="4">
        <v>46027</v>
      </c>
      <c r="B930" s="4">
        <v>46030</v>
      </c>
      <c r="C930" s="6" t="s">
        <v>1683</v>
      </c>
      <c r="D930" s="6" t="s">
        <v>2056</v>
      </c>
      <c r="E930" s="1" t="s">
        <v>803</v>
      </c>
      <c r="F930" s="1" t="s">
        <v>803</v>
      </c>
      <c r="G930" s="8">
        <v>5</v>
      </c>
      <c r="H930" s="8">
        <v>1</v>
      </c>
      <c r="I930" s="115">
        <f>Table223[[#This Row],[Qty]]-Table223[[#This Row],[Issue Qty]]</f>
        <v>4</v>
      </c>
      <c r="J930" s="5">
        <v>435</v>
      </c>
      <c r="K930" s="5">
        <f t="shared" si="45"/>
        <v>2175</v>
      </c>
      <c r="L930" s="82">
        <v>0.05</v>
      </c>
      <c r="M930" s="9">
        <f t="shared" si="46"/>
        <v>108.75</v>
      </c>
      <c r="N930" s="5"/>
      <c r="O930" s="5"/>
      <c r="P930" s="5">
        <f t="shared" si="47"/>
        <v>2283.75</v>
      </c>
      <c r="Q930" s="1" t="s">
        <v>606</v>
      </c>
      <c r="R930" s="1" t="s">
        <v>606</v>
      </c>
      <c r="S930" s="1" t="s">
        <v>794</v>
      </c>
      <c r="T930" s="1" t="s">
        <v>2728</v>
      </c>
      <c r="U930" s="1">
        <v>88073000</v>
      </c>
      <c r="V930" s="2"/>
      <c r="W930" s="21" t="s">
        <v>52</v>
      </c>
      <c r="X930" s="21" t="s">
        <v>1605</v>
      </c>
      <c r="Y930" s="21">
        <v>1</v>
      </c>
      <c r="Z930" s="12" t="s">
        <v>2723</v>
      </c>
      <c r="AA930" s="2"/>
      <c r="AB930" s="23"/>
      <c r="AC930" s="1"/>
      <c r="AD930" s="27"/>
    </row>
    <row r="931" spans="1:30" ht="30" x14ac:dyDescent="0.25">
      <c r="A931" s="4">
        <v>46027</v>
      </c>
      <c r="B931" s="4">
        <v>46030</v>
      </c>
      <c r="C931" s="6" t="s">
        <v>1693</v>
      </c>
      <c r="D931" s="6" t="s">
        <v>1890</v>
      </c>
      <c r="E931" s="39" t="s">
        <v>498</v>
      </c>
      <c r="F931" s="1" t="s">
        <v>498</v>
      </c>
      <c r="G931" s="8">
        <v>3</v>
      </c>
      <c r="H931" s="8">
        <v>3</v>
      </c>
      <c r="I931" s="115">
        <f>Table223[[#This Row],[Qty]]-Table223[[#This Row],[Issue Qty]]</f>
        <v>0</v>
      </c>
      <c r="J931" s="5">
        <v>19700</v>
      </c>
      <c r="K931" s="5">
        <f t="shared" si="45"/>
        <v>59100</v>
      </c>
      <c r="L931" s="82">
        <v>0.05</v>
      </c>
      <c r="M931" s="9">
        <f t="shared" si="46"/>
        <v>2955</v>
      </c>
      <c r="N931" s="5"/>
      <c r="O931" s="5">
        <v>-0.35</v>
      </c>
      <c r="P931" s="5">
        <f t="shared" si="47"/>
        <v>62054.65</v>
      </c>
      <c r="Q931" s="1" t="s">
        <v>606</v>
      </c>
      <c r="R931" s="1" t="s">
        <v>606</v>
      </c>
      <c r="S931" s="1" t="s">
        <v>794</v>
      </c>
      <c r="T931" s="1" t="s">
        <v>2728</v>
      </c>
      <c r="U931" s="1">
        <v>88073020</v>
      </c>
      <c r="V931" s="2"/>
      <c r="W931" s="21" t="s">
        <v>52</v>
      </c>
      <c r="X931" s="21"/>
      <c r="Y931" s="21">
        <f>1+1</f>
        <v>2</v>
      </c>
      <c r="Z931" s="12" t="s">
        <v>3324</v>
      </c>
      <c r="AA931" s="2"/>
      <c r="AB931" s="23"/>
      <c r="AC931" s="1"/>
      <c r="AD931" s="27"/>
    </row>
    <row r="932" spans="1:30" x14ac:dyDescent="0.25">
      <c r="A932" s="4">
        <v>46034</v>
      </c>
      <c r="B932" s="4">
        <v>46034</v>
      </c>
      <c r="C932" s="6" t="s">
        <v>54</v>
      </c>
      <c r="D932" s="6" t="s">
        <v>2729</v>
      </c>
      <c r="E932" s="87" t="s">
        <v>1606</v>
      </c>
      <c r="F932" s="1" t="s">
        <v>1606</v>
      </c>
      <c r="G932" s="8">
        <v>4</v>
      </c>
      <c r="H932" s="8">
        <v>4</v>
      </c>
      <c r="I932" s="115">
        <f>Table223[[#This Row],[Qty]]-Table223[[#This Row],[Issue Qty]]</f>
        <v>0</v>
      </c>
      <c r="J932" s="5">
        <v>5040</v>
      </c>
      <c r="K932" s="5">
        <f t="shared" si="45"/>
        <v>20160</v>
      </c>
      <c r="L932" s="82">
        <v>0.18</v>
      </c>
      <c r="M932" s="9">
        <f t="shared" si="46"/>
        <v>3628.7999999999997</v>
      </c>
      <c r="N932" s="5"/>
      <c r="O932" s="5"/>
      <c r="P932" s="5">
        <f t="shared" si="47"/>
        <v>23788.799999999999</v>
      </c>
      <c r="Q932" s="1" t="s">
        <v>2887</v>
      </c>
      <c r="R932" s="1" t="s">
        <v>633</v>
      </c>
      <c r="S932" s="1" t="s">
        <v>1511</v>
      </c>
      <c r="T932" s="1">
        <v>5660000153</v>
      </c>
      <c r="U932" s="1">
        <v>68151090</v>
      </c>
      <c r="V932" s="2"/>
      <c r="W932" s="21" t="s">
        <v>268</v>
      </c>
      <c r="X932" s="21"/>
      <c r="Y932" s="21">
        <v>4</v>
      </c>
      <c r="Z932" s="12" t="s">
        <v>3358</v>
      </c>
      <c r="AA932" s="2"/>
      <c r="AB932" s="23"/>
      <c r="AC932" s="1"/>
      <c r="AD932" s="27"/>
    </row>
    <row r="933" spans="1:30" x14ac:dyDescent="0.25">
      <c r="A933" s="4">
        <v>46034</v>
      </c>
      <c r="B933" s="4">
        <v>46034</v>
      </c>
      <c r="C933" s="6" t="s">
        <v>54</v>
      </c>
      <c r="D933" s="6" t="s">
        <v>2562</v>
      </c>
      <c r="E933" s="1" t="s">
        <v>1470</v>
      </c>
      <c r="F933" s="1" t="s">
        <v>1470</v>
      </c>
      <c r="G933" s="8">
        <v>4</v>
      </c>
      <c r="H933" s="8">
        <v>4</v>
      </c>
      <c r="I933" s="115">
        <f>Table223[[#This Row],[Qty]]-Table223[[#This Row],[Issue Qty]]</f>
        <v>0</v>
      </c>
      <c r="J933" s="5">
        <v>3290</v>
      </c>
      <c r="K933" s="5">
        <f t="shared" si="45"/>
        <v>13160</v>
      </c>
      <c r="L933" s="82">
        <v>0.18</v>
      </c>
      <c r="M933" s="9">
        <f t="shared" si="46"/>
        <v>2368.7999999999997</v>
      </c>
      <c r="N933" s="5"/>
      <c r="O933" s="5"/>
      <c r="P933" s="5">
        <f t="shared" si="47"/>
        <v>15528.8</v>
      </c>
      <c r="Q933" s="1" t="s">
        <v>2887</v>
      </c>
      <c r="R933" s="1" t="s">
        <v>633</v>
      </c>
      <c r="S933" s="1" t="s">
        <v>1511</v>
      </c>
      <c r="T933" s="1">
        <v>5660000153</v>
      </c>
      <c r="U933" s="1">
        <v>68151090</v>
      </c>
      <c r="V933" s="2"/>
      <c r="W933" s="21" t="s">
        <v>3349</v>
      </c>
      <c r="X933" s="21"/>
      <c r="Y933" s="21">
        <v>4</v>
      </c>
      <c r="Z933" s="12" t="s">
        <v>2887</v>
      </c>
      <c r="AA933" s="2"/>
      <c r="AB933" s="23"/>
      <c r="AC933" s="1"/>
      <c r="AD933" s="27"/>
    </row>
    <row r="934" spans="1:30" ht="30" x14ac:dyDescent="0.25">
      <c r="A934" s="4">
        <v>46027</v>
      </c>
      <c r="B934" s="4">
        <v>46034</v>
      </c>
      <c r="C934" s="6" t="s">
        <v>1683</v>
      </c>
      <c r="D934" s="6" t="s">
        <v>2730</v>
      </c>
      <c r="E934" s="87" t="s">
        <v>1607</v>
      </c>
      <c r="F934" s="1" t="s">
        <v>1607</v>
      </c>
      <c r="G934" s="8">
        <v>4</v>
      </c>
      <c r="H934" s="8">
        <v>0</v>
      </c>
      <c r="I934" s="115">
        <f>Table223[[#This Row],[Qty]]-Table223[[#This Row],[Issue Qty]]</f>
        <v>4</v>
      </c>
      <c r="J934" s="5">
        <v>180</v>
      </c>
      <c r="K934" s="5">
        <f t="shared" si="45"/>
        <v>720</v>
      </c>
      <c r="L934" s="82">
        <v>0.18</v>
      </c>
      <c r="M934" s="9">
        <f t="shared" si="46"/>
        <v>129.6</v>
      </c>
      <c r="N934" s="5"/>
      <c r="O934" s="5"/>
      <c r="P934" s="5">
        <f t="shared" si="47"/>
        <v>849.6</v>
      </c>
      <c r="Q934" s="1" t="s">
        <v>2887</v>
      </c>
      <c r="R934" s="1" t="s">
        <v>633</v>
      </c>
      <c r="S934" s="1" t="s">
        <v>343</v>
      </c>
      <c r="T934" s="1" t="s">
        <v>2731</v>
      </c>
      <c r="U934" s="1">
        <v>853690</v>
      </c>
      <c r="V934" s="2"/>
      <c r="W934" s="21" t="s">
        <v>3353</v>
      </c>
      <c r="X934" s="21"/>
      <c r="Y934" s="21">
        <v>4</v>
      </c>
      <c r="Z934" s="12" t="s">
        <v>1382</v>
      </c>
      <c r="AA934" s="63" t="s">
        <v>2732</v>
      </c>
      <c r="AB934" s="23"/>
      <c r="AC934" s="1"/>
      <c r="AD934" s="27"/>
    </row>
    <row r="935" spans="1:30" ht="45" x14ac:dyDescent="0.25">
      <c r="A935" s="4">
        <v>46035</v>
      </c>
      <c r="B935" s="4">
        <v>46035</v>
      </c>
      <c r="C935" s="6" t="s">
        <v>54</v>
      </c>
      <c r="D935" s="6" t="s">
        <v>2733</v>
      </c>
      <c r="E935" s="1" t="s">
        <v>1608</v>
      </c>
      <c r="F935" s="1" t="s">
        <v>1608</v>
      </c>
      <c r="G935" s="8">
        <v>1</v>
      </c>
      <c r="H935" s="8">
        <v>1</v>
      </c>
      <c r="I935" s="115">
        <f>Table223[[#This Row],[Qty]]-Table223[[#This Row],[Issue Qty]]</f>
        <v>0</v>
      </c>
      <c r="J935" s="5">
        <v>970</v>
      </c>
      <c r="K935" s="5">
        <f t="shared" si="45"/>
        <v>970</v>
      </c>
      <c r="L935" s="82">
        <v>0.18</v>
      </c>
      <c r="M935" s="9">
        <f t="shared" si="46"/>
        <v>174.6</v>
      </c>
      <c r="N935" s="5"/>
      <c r="O935" s="5"/>
      <c r="P935" s="5">
        <f t="shared" si="47"/>
        <v>1144.5999999999999</v>
      </c>
      <c r="Q935" s="1" t="s">
        <v>2887</v>
      </c>
      <c r="R935" s="1" t="s">
        <v>633</v>
      </c>
      <c r="S935" s="1" t="s">
        <v>764</v>
      </c>
      <c r="T935" s="1" t="s">
        <v>2734</v>
      </c>
      <c r="U935" s="1">
        <v>84879000</v>
      </c>
      <c r="V935" s="2" t="s">
        <v>2735</v>
      </c>
      <c r="W935" s="21" t="s">
        <v>3349</v>
      </c>
      <c r="X935" s="21"/>
      <c r="Y935" s="21">
        <v>1</v>
      </c>
      <c r="Z935" s="22" t="s">
        <v>1469</v>
      </c>
      <c r="AA935" s="2"/>
      <c r="AB935" s="23"/>
      <c r="AC935" s="1"/>
      <c r="AD935" s="27"/>
    </row>
    <row r="936" spans="1:30" ht="45" x14ac:dyDescent="0.25">
      <c r="A936" s="4">
        <v>46035</v>
      </c>
      <c r="B936" s="4">
        <v>46035</v>
      </c>
      <c r="C936" s="6" t="s">
        <v>54</v>
      </c>
      <c r="D936" s="6" t="s">
        <v>2736</v>
      </c>
      <c r="E936" s="1" t="s">
        <v>1609</v>
      </c>
      <c r="F936" s="1" t="s">
        <v>1609</v>
      </c>
      <c r="G936" s="8">
        <v>1</v>
      </c>
      <c r="H936" s="8">
        <v>1</v>
      </c>
      <c r="I936" s="115">
        <f>Table223[[#This Row],[Qty]]-Table223[[#This Row],[Issue Qty]]</f>
        <v>0</v>
      </c>
      <c r="J936" s="5">
        <v>2865</v>
      </c>
      <c r="K936" s="5">
        <f t="shared" si="45"/>
        <v>2865</v>
      </c>
      <c r="L936" s="82">
        <v>0.18</v>
      </c>
      <c r="M936" s="9">
        <f t="shared" si="46"/>
        <v>515.69999999999993</v>
      </c>
      <c r="N936" s="5"/>
      <c r="O936" s="5"/>
      <c r="P936" s="5">
        <f t="shared" si="47"/>
        <v>3380.7</v>
      </c>
      <c r="Q936" s="1" t="s">
        <v>2887</v>
      </c>
      <c r="R936" s="1" t="s">
        <v>633</v>
      </c>
      <c r="S936" s="1" t="s">
        <v>764</v>
      </c>
      <c r="T936" s="1" t="s">
        <v>2734</v>
      </c>
      <c r="U936" s="1">
        <v>84879000</v>
      </c>
      <c r="V936" s="2" t="s">
        <v>2735</v>
      </c>
      <c r="W936" s="21" t="s">
        <v>268</v>
      </c>
      <c r="X936" s="21"/>
      <c r="Y936" s="21">
        <v>1</v>
      </c>
      <c r="Z936" s="22" t="s">
        <v>1469</v>
      </c>
      <c r="AA936" s="2"/>
      <c r="AB936" s="23"/>
      <c r="AC936" s="1"/>
      <c r="AD936" s="27"/>
    </row>
    <row r="937" spans="1:30" ht="45" x14ac:dyDescent="0.25">
      <c r="A937" s="4">
        <v>46035</v>
      </c>
      <c r="B937" s="4">
        <v>46035</v>
      </c>
      <c r="C937" s="6" t="s">
        <v>54</v>
      </c>
      <c r="D937" s="6" t="s">
        <v>2737</v>
      </c>
      <c r="E937" s="1" t="s">
        <v>1610</v>
      </c>
      <c r="F937" s="1" t="s">
        <v>1610</v>
      </c>
      <c r="G937" s="8">
        <v>1</v>
      </c>
      <c r="H937" s="8">
        <v>1</v>
      </c>
      <c r="I937" s="115">
        <f>Table223[[#This Row],[Qty]]-Table223[[#This Row],[Issue Qty]]</f>
        <v>0</v>
      </c>
      <c r="J937" s="5">
        <v>4000</v>
      </c>
      <c r="K937" s="5">
        <f t="shared" si="45"/>
        <v>4000</v>
      </c>
      <c r="L937" s="82">
        <v>0.18</v>
      </c>
      <c r="M937" s="9">
        <f t="shared" si="46"/>
        <v>720</v>
      </c>
      <c r="N937" s="5"/>
      <c r="O937" s="5"/>
      <c r="P937" s="5">
        <f t="shared" si="47"/>
        <v>4720</v>
      </c>
      <c r="Q937" s="1" t="s">
        <v>2887</v>
      </c>
      <c r="R937" s="1" t="s">
        <v>633</v>
      </c>
      <c r="S937" s="1" t="s">
        <v>764</v>
      </c>
      <c r="T937" s="1" t="s">
        <v>2734</v>
      </c>
      <c r="U937" s="1">
        <v>84879000</v>
      </c>
      <c r="V937" s="2" t="s">
        <v>2735</v>
      </c>
      <c r="W937" s="21" t="s">
        <v>3349</v>
      </c>
      <c r="X937" s="21"/>
      <c r="Y937" s="21">
        <v>1</v>
      </c>
      <c r="Z937" s="22" t="s">
        <v>1469</v>
      </c>
      <c r="AA937" s="2"/>
      <c r="AB937" s="23"/>
      <c r="AC937" s="1"/>
      <c r="AD937" s="27"/>
    </row>
    <row r="938" spans="1:30" ht="45" x14ac:dyDescent="0.25">
      <c r="A938" s="4">
        <v>46035</v>
      </c>
      <c r="B938" s="4">
        <v>46035</v>
      </c>
      <c r="C938" s="6" t="s">
        <v>54</v>
      </c>
      <c r="D938" s="6" t="s">
        <v>2738</v>
      </c>
      <c r="E938" s="1" t="s">
        <v>1611</v>
      </c>
      <c r="F938" s="1" t="s">
        <v>1611</v>
      </c>
      <c r="G938" s="8">
        <v>1</v>
      </c>
      <c r="H938" s="8">
        <v>1</v>
      </c>
      <c r="I938" s="115">
        <f>Table223[[#This Row],[Qty]]-Table223[[#This Row],[Issue Qty]]</f>
        <v>0</v>
      </c>
      <c r="J938" s="5">
        <v>4000</v>
      </c>
      <c r="K938" s="5">
        <f t="shared" si="45"/>
        <v>4000</v>
      </c>
      <c r="L938" s="82">
        <v>0.18</v>
      </c>
      <c r="M938" s="9">
        <f t="shared" si="46"/>
        <v>720</v>
      </c>
      <c r="N938" s="5"/>
      <c r="O938" s="5"/>
      <c r="P938" s="5">
        <f t="shared" si="47"/>
        <v>4720</v>
      </c>
      <c r="Q938" s="1" t="s">
        <v>2887</v>
      </c>
      <c r="R938" s="1" t="s">
        <v>633</v>
      </c>
      <c r="S938" s="1" t="s">
        <v>764</v>
      </c>
      <c r="T938" s="1" t="s">
        <v>2734</v>
      </c>
      <c r="U938" s="1">
        <v>84879000</v>
      </c>
      <c r="V938" s="2" t="s">
        <v>2735</v>
      </c>
      <c r="W938" s="21" t="s">
        <v>268</v>
      </c>
      <c r="X938" s="21"/>
      <c r="Y938" s="21">
        <v>1</v>
      </c>
      <c r="Z938" s="22" t="s">
        <v>1469</v>
      </c>
      <c r="AA938" s="2"/>
      <c r="AB938" s="23"/>
      <c r="AC938" s="1"/>
      <c r="AD938" s="27"/>
    </row>
    <row r="939" spans="1:30" x14ac:dyDescent="0.25">
      <c r="A939" s="4">
        <v>46027</v>
      </c>
      <c r="B939" s="4">
        <v>46035</v>
      </c>
      <c r="C939" s="6" t="s">
        <v>1693</v>
      </c>
      <c r="D939" s="6" t="s">
        <v>2739</v>
      </c>
      <c r="E939" s="169" t="s">
        <v>1612</v>
      </c>
      <c r="F939" s="1" t="s">
        <v>1612</v>
      </c>
      <c r="G939" s="8">
        <v>2</v>
      </c>
      <c r="H939" s="8">
        <v>2</v>
      </c>
      <c r="I939" s="115">
        <f>Table223[[#This Row],[Qty]]-Table223[[#This Row],[Issue Qty]]</f>
        <v>0</v>
      </c>
      <c r="J939" s="5">
        <v>29.66</v>
      </c>
      <c r="K939" s="5">
        <f t="shared" si="45"/>
        <v>59.32</v>
      </c>
      <c r="L939" s="82">
        <v>0.18</v>
      </c>
      <c r="M939" s="9">
        <f t="shared" si="46"/>
        <v>10.6776</v>
      </c>
      <c r="N939" s="5"/>
      <c r="O939" s="5"/>
      <c r="P939" s="5">
        <f t="shared" si="47"/>
        <v>69.997600000000006</v>
      </c>
      <c r="Q939" s="1" t="s">
        <v>607</v>
      </c>
      <c r="R939" s="1" t="s">
        <v>607</v>
      </c>
      <c r="S939" s="1" t="s">
        <v>788</v>
      </c>
      <c r="T939" s="1" t="s">
        <v>2740</v>
      </c>
      <c r="U939" s="1">
        <v>85381010</v>
      </c>
      <c r="V939" s="2"/>
      <c r="W939" s="21"/>
      <c r="X939" s="21"/>
      <c r="Y939" s="21">
        <v>2</v>
      </c>
      <c r="Z939" s="12" t="s">
        <v>2996</v>
      </c>
      <c r="AA939" s="12" t="s">
        <v>1613</v>
      </c>
      <c r="AB939" s="23"/>
      <c r="AC939" s="1"/>
      <c r="AD939" s="27"/>
    </row>
    <row r="940" spans="1:30" x14ac:dyDescent="0.25">
      <c r="A940" s="4">
        <v>46035</v>
      </c>
      <c r="B940" s="4">
        <v>46041</v>
      </c>
      <c r="C940" s="6" t="s">
        <v>1683</v>
      </c>
      <c r="D940" s="6" t="s">
        <v>2741</v>
      </c>
      <c r="E940" s="1" t="s">
        <v>1614</v>
      </c>
      <c r="F940" s="1" t="s">
        <v>1614</v>
      </c>
      <c r="G940" s="8">
        <v>1</v>
      </c>
      <c r="H940" s="8">
        <v>1</v>
      </c>
      <c r="I940" s="115">
        <f>Table223[[#This Row],[Qty]]-Table223[[#This Row],[Issue Qty]]</f>
        <v>0</v>
      </c>
      <c r="J940" s="5">
        <v>299.99</v>
      </c>
      <c r="K940" s="5">
        <f t="shared" si="45"/>
        <v>299.99</v>
      </c>
      <c r="L940" s="82">
        <v>0.18</v>
      </c>
      <c r="M940" s="9">
        <f t="shared" si="46"/>
        <v>53.998199999999997</v>
      </c>
      <c r="N940" s="5"/>
      <c r="O940" s="5"/>
      <c r="P940" s="5">
        <f t="shared" si="47"/>
        <v>353.98820000000001</v>
      </c>
      <c r="Q940" s="1" t="s">
        <v>2887</v>
      </c>
      <c r="R940" s="1" t="s">
        <v>633</v>
      </c>
      <c r="S940" s="1" t="s">
        <v>899</v>
      </c>
      <c r="T940" s="1" t="s">
        <v>2742</v>
      </c>
      <c r="U940" s="1"/>
      <c r="V940" s="2"/>
      <c r="W940" s="21" t="s">
        <v>3349</v>
      </c>
      <c r="X940" s="21"/>
      <c r="Y940" s="21">
        <v>1</v>
      </c>
      <c r="Z940" s="12" t="s">
        <v>1546</v>
      </c>
      <c r="AA940" s="2"/>
      <c r="AB940" s="23"/>
      <c r="AC940" s="1"/>
      <c r="AD940" s="27"/>
    </row>
    <row r="941" spans="1:30" x14ac:dyDescent="0.25">
      <c r="A941" s="4">
        <v>46035</v>
      </c>
      <c r="B941" s="4">
        <v>46041</v>
      </c>
      <c r="C941" s="6" t="s">
        <v>1693</v>
      </c>
      <c r="D941" s="6" t="s">
        <v>2557</v>
      </c>
      <c r="E941" s="153" t="s">
        <v>1466</v>
      </c>
      <c r="F941" s="1" t="s">
        <v>1466</v>
      </c>
      <c r="G941" s="8">
        <v>3</v>
      </c>
      <c r="H941" s="8">
        <v>3</v>
      </c>
      <c r="I941" s="115">
        <f>Table223[[#This Row],[Qty]]-Table223[[#This Row],[Issue Qty]]</f>
        <v>0</v>
      </c>
      <c r="J941" s="5">
        <v>34150</v>
      </c>
      <c r="K941" s="5">
        <f t="shared" si="45"/>
        <v>102450</v>
      </c>
      <c r="L941" s="82">
        <v>0.05</v>
      </c>
      <c r="M941" s="9">
        <f t="shared" si="46"/>
        <v>5122.5</v>
      </c>
      <c r="N941" s="5"/>
      <c r="O941" s="5"/>
      <c r="P941" s="5">
        <f t="shared" si="47"/>
        <v>107572.5</v>
      </c>
      <c r="Q941" s="1" t="s">
        <v>2887</v>
      </c>
      <c r="R941" s="1" t="s">
        <v>633</v>
      </c>
      <c r="S941" s="1" t="s">
        <v>794</v>
      </c>
      <c r="T941" s="1" t="s">
        <v>2743</v>
      </c>
      <c r="U941" s="1">
        <v>88073020</v>
      </c>
      <c r="V941" s="2"/>
      <c r="W941" s="21" t="s">
        <v>3353</v>
      </c>
      <c r="X941" s="21"/>
      <c r="Y941" s="21">
        <v>2</v>
      </c>
      <c r="Z941" s="12" t="s">
        <v>3327</v>
      </c>
      <c r="AA941" s="2"/>
      <c r="AB941" s="23"/>
      <c r="AC941" s="1"/>
      <c r="AD941" s="27"/>
    </row>
    <row r="942" spans="1:30" x14ac:dyDescent="0.25">
      <c r="A942" s="4">
        <v>46035</v>
      </c>
      <c r="B942" s="4">
        <v>46041</v>
      </c>
      <c r="C942" s="6" t="s">
        <v>1693</v>
      </c>
      <c r="D942" s="6" t="s">
        <v>2553</v>
      </c>
      <c r="E942" s="153" t="s">
        <v>1461</v>
      </c>
      <c r="F942" s="1" t="s">
        <v>1461</v>
      </c>
      <c r="G942" s="8">
        <v>8</v>
      </c>
      <c r="H942" s="8">
        <v>7</v>
      </c>
      <c r="I942" s="115">
        <f>Table223[[#This Row],[Qty]]-Table223[[#This Row],[Issue Qty]]</f>
        <v>1</v>
      </c>
      <c r="J942" s="5">
        <v>6095.24</v>
      </c>
      <c r="K942" s="5">
        <f t="shared" si="45"/>
        <v>48761.919999999998</v>
      </c>
      <c r="L942" s="82">
        <v>0.05</v>
      </c>
      <c r="M942" s="9">
        <f t="shared" si="46"/>
        <v>2438.096</v>
      </c>
      <c r="N942" s="5"/>
      <c r="O942" s="5"/>
      <c r="P942" s="5">
        <f t="shared" si="47"/>
        <v>51200.015999999996</v>
      </c>
      <c r="Q942" s="1" t="s">
        <v>2887</v>
      </c>
      <c r="R942" s="1" t="s">
        <v>633</v>
      </c>
      <c r="S942" s="1" t="s">
        <v>634</v>
      </c>
      <c r="T942" s="1" t="s">
        <v>2744</v>
      </c>
      <c r="U942" s="1">
        <v>88073000</v>
      </c>
      <c r="V942" s="2"/>
      <c r="W942" s="21" t="s">
        <v>52</v>
      </c>
      <c r="X942" s="21" t="s">
        <v>1656</v>
      </c>
      <c r="Y942" s="21">
        <v>7</v>
      </c>
      <c r="Z942" s="12" t="s">
        <v>2887</v>
      </c>
      <c r="AA942" s="2"/>
      <c r="AB942" s="23"/>
      <c r="AC942" s="1"/>
      <c r="AD942" s="27"/>
    </row>
    <row r="943" spans="1:30" x14ac:dyDescent="0.25">
      <c r="A943" s="4">
        <v>46039</v>
      </c>
      <c r="B943" s="4">
        <v>46042</v>
      </c>
      <c r="C943" s="6" t="s">
        <v>1683</v>
      </c>
      <c r="D943" s="6" t="s">
        <v>1687</v>
      </c>
      <c r="E943" s="1" t="s">
        <v>24</v>
      </c>
      <c r="F943" s="1" t="s">
        <v>24</v>
      </c>
      <c r="G943" s="8">
        <v>12</v>
      </c>
      <c r="H943" s="8">
        <v>6</v>
      </c>
      <c r="I943" s="115">
        <f>Table223[[#This Row],[Qty]]-Table223[[#This Row],[Issue Qty]]</f>
        <v>6</v>
      </c>
      <c r="J943" s="5">
        <v>5600</v>
      </c>
      <c r="K943" s="5">
        <f t="shared" si="45"/>
        <v>67200</v>
      </c>
      <c r="L943" s="82">
        <v>0.05</v>
      </c>
      <c r="M943" s="9">
        <f t="shared" si="46"/>
        <v>3360</v>
      </c>
      <c r="N943" s="5"/>
      <c r="O943" s="5"/>
      <c r="P943" s="5">
        <f t="shared" si="47"/>
        <v>70560</v>
      </c>
      <c r="Q943" s="1" t="s">
        <v>2887</v>
      </c>
      <c r="R943" s="1" t="s">
        <v>633</v>
      </c>
      <c r="S943" s="1" t="s">
        <v>1420</v>
      </c>
      <c r="T943" s="1" t="s">
        <v>2745</v>
      </c>
      <c r="U943" s="1">
        <v>88073020</v>
      </c>
      <c r="V943" s="2"/>
      <c r="W943" s="21" t="s">
        <v>25</v>
      </c>
      <c r="X943" s="21"/>
      <c r="Y943" s="21">
        <v>6</v>
      </c>
      <c r="Z943" s="12" t="s">
        <v>3352</v>
      </c>
      <c r="AA943" s="2"/>
      <c r="AB943" s="23"/>
      <c r="AC943" s="1"/>
      <c r="AD943" s="27"/>
    </row>
    <row r="944" spans="1:30" x14ac:dyDescent="0.25">
      <c r="A944" s="4">
        <v>46039</v>
      </c>
      <c r="B944" s="4">
        <v>46042</v>
      </c>
      <c r="C944" s="6" t="s">
        <v>1683</v>
      </c>
      <c r="D944" s="6" t="s">
        <v>2563</v>
      </c>
      <c r="E944" s="39" t="s">
        <v>1471</v>
      </c>
      <c r="F944" s="1" t="s">
        <v>1471</v>
      </c>
      <c r="G944" s="8">
        <v>6</v>
      </c>
      <c r="H944" s="8">
        <v>6</v>
      </c>
      <c r="I944" s="115">
        <f>Table223[[#This Row],[Qty]]-Table223[[#This Row],[Issue Qty]]</f>
        <v>0</v>
      </c>
      <c r="J944" s="5">
        <v>18200</v>
      </c>
      <c r="K944" s="5">
        <f t="shared" si="45"/>
        <v>109200</v>
      </c>
      <c r="L944" s="82">
        <v>0.05</v>
      </c>
      <c r="M944" s="9">
        <f t="shared" si="46"/>
        <v>5460</v>
      </c>
      <c r="N944" s="5"/>
      <c r="O944" s="5"/>
      <c r="P944" s="5">
        <f t="shared" si="47"/>
        <v>114660</v>
      </c>
      <c r="Q944" s="1" t="s">
        <v>2887</v>
      </c>
      <c r="R944" s="1" t="s">
        <v>633</v>
      </c>
      <c r="S944" s="1" t="s">
        <v>1420</v>
      </c>
      <c r="T944" s="1" t="s">
        <v>2745</v>
      </c>
      <c r="U944" s="1">
        <v>88073020</v>
      </c>
      <c r="V944" s="2"/>
      <c r="W944" s="21" t="s">
        <v>821</v>
      </c>
      <c r="X944" s="21"/>
      <c r="Y944" s="21">
        <v>6</v>
      </c>
      <c r="Z944" s="12" t="s">
        <v>3400</v>
      </c>
      <c r="AA944" s="2"/>
      <c r="AB944" s="23"/>
      <c r="AC944" s="1"/>
      <c r="AD944" s="27"/>
    </row>
    <row r="945" spans="1:16383" s="24" customFormat="1" x14ac:dyDescent="0.25">
      <c r="A945" s="4">
        <v>46039</v>
      </c>
      <c r="B945" s="4">
        <v>46042</v>
      </c>
      <c r="C945" s="6" t="s">
        <v>1683</v>
      </c>
      <c r="D945" s="6" t="s">
        <v>2746</v>
      </c>
      <c r="E945" s="1" t="s">
        <v>1615</v>
      </c>
      <c r="F945" s="1" t="s">
        <v>1615</v>
      </c>
      <c r="G945" s="8">
        <v>6</v>
      </c>
      <c r="H945" s="8">
        <v>6</v>
      </c>
      <c r="I945" s="115">
        <f>Table223[[#This Row],[Qty]]-Table223[[#This Row],[Issue Qty]]</f>
        <v>0</v>
      </c>
      <c r="J945" s="5">
        <v>23400</v>
      </c>
      <c r="K945" s="5">
        <f t="shared" ref="K945:K1008" si="48">G945*J945</f>
        <v>140400</v>
      </c>
      <c r="L945" s="82">
        <v>0.05</v>
      </c>
      <c r="M945" s="9">
        <f t="shared" ref="M945:M1008" si="49">K945*L945</f>
        <v>7020</v>
      </c>
      <c r="N945" s="5"/>
      <c r="O945" s="5"/>
      <c r="P945" s="5">
        <f t="shared" ref="P945:P1008" si="50">K945+M945+N945+O945</f>
        <v>147420</v>
      </c>
      <c r="Q945" s="1" t="s">
        <v>2887</v>
      </c>
      <c r="R945" s="1" t="s">
        <v>633</v>
      </c>
      <c r="S945" s="1" t="s">
        <v>1420</v>
      </c>
      <c r="T945" s="1" t="s">
        <v>2745</v>
      </c>
      <c r="U945" s="1">
        <v>88073020</v>
      </c>
      <c r="V945" s="2"/>
      <c r="W945" s="21" t="s">
        <v>573</v>
      </c>
      <c r="X945" s="21"/>
      <c r="Y945" s="21">
        <v>4</v>
      </c>
      <c r="Z945" s="12" t="s">
        <v>3352</v>
      </c>
      <c r="AA945" s="2"/>
      <c r="AB945" s="23"/>
      <c r="AC945" s="1"/>
      <c r="AD945" s="2"/>
    </row>
    <row r="946" spans="1:16383" s="24" customFormat="1" ht="30" x14ac:dyDescent="0.25">
      <c r="A946" s="4">
        <v>46045</v>
      </c>
      <c r="B946" s="4">
        <v>46046</v>
      </c>
      <c r="C946" s="6" t="s">
        <v>1688</v>
      </c>
      <c r="D946" s="6" t="s">
        <v>2747</v>
      </c>
      <c r="E946" s="1" t="s">
        <v>1616</v>
      </c>
      <c r="F946" s="1" t="s">
        <v>1616</v>
      </c>
      <c r="G946" s="8">
        <v>1</v>
      </c>
      <c r="H946" s="8"/>
      <c r="I946" s="115">
        <f>Table223[[#This Row],[Qty]]-Table223[[#This Row],[Issue Qty]]</f>
        <v>1</v>
      </c>
      <c r="J946" s="10">
        <v>3681</v>
      </c>
      <c r="K946" s="10">
        <f t="shared" si="48"/>
        <v>3681</v>
      </c>
      <c r="L946" s="82">
        <v>0.18</v>
      </c>
      <c r="M946" s="9">
        <f t="shared" si="49"/>
        <v>662.57999999999993</v>
      </c>
      <c r="N946" s="5"/>
      <c r="O946" s="5">
        <v>0.42</v>
      </c>
      <c r="P946" s="5">
        <f t="shared" si="50"/>
        <v>4344</v>
      </c>
      <c r="Q946" s="1" t="s">
        <v>1408</v>
      </c>
      <c r="R946" s="1" t="s">
        <v>1617</v>
      </c>
      <c r="S946" s="1" t="s">
        <v>792</v>
      </c>
      <c r="T946" s="1" t="s">
        <v>2748</v>
      </c>
      <c r="U946" s="1">
        <v>88079000</v>
      </c>
      <c r="V946" s="2"/>
      <c r="W946" s="21" t="s">
        <v>327</v>
      </c>
      <c r="X946" s="21"/>
      <c r="Y946" s="21"/>
      <c r="Z946" s="12"/>
      <c r="AA946" s="1"/>
      <c r="AB946" s="23"/>
      <c r="AC946" s="1"/>
      <c r="AD946" s="2"/>
    </row>
    <row r="947" spans="1:16383" ht="45" x14ac:dyDescent="0.25">
      <c r="A947" s="4">
        <v>46045</v>
      </c>
      <c r="B947" s="4">
        <v>46049</v>
      </c>
      <c r="C947" s="6" t="s">
        <v>1683</v>
      </c>
      <c r="D947" s="6" t="s">
        <v>2749</v>
      </c>
      <c r="E947" s="6" t="s">
        <v>1618</v>
      </c>
      <c r="F947" s="6" t="s">
        <v>1618</v>
      </c>
      <c r="G947" s="8">
        <v>2</v>
      </c>
      <c r="H947" s="8"/>
      <c r="I947" s="115">
        <f>Table223[[#This Row],[Qty]]-Table223[[#This Row],[Issue Qty]]</f>
        <v>2</v>
      </c>
      <c r="J947" s="5">
        <v>5961.99</v>
      </c>
      <c r="K947" s="5">
        <f t="shared" si="48"/>
        <v>11923.98</v>
      </c>
      <c r="L947" s="82">
        <v>0.18</v>
      </c>
      <c r="M947" s="9">
        <f t="shared" si="49"/>
        <v>2146.3163999999997</v>
      </c>
      <c r="N947" s="5">
        <v>241.06</v>
      </c>
      <c r="O947" s="5"/>
      <c r="P947" s="5">
        <f t="shared" si="50"/>
        <v>14311.356399999999</v>
      </c>
      <c r="Q947" s="1" t="s">
        <v>1408</v>
      </c>
      <c r="R947" s="1" t="s">
        <v>1617</v>
      </c>
      <c r="S947" s="1" t="s">
        <v>634</v>
      </c>
      <c r="T947" s="1" t="s">
        <v>2750</v>
      </c>
      <c r="U947" s="1">
        <v>85076000</v>
      </c>
      <c r="V947" s="2"/>
      <c r="W947" s="21" t="s">
        <v>638</v>
      </c>
      <c r="X947" s="21"/>
      <c r="Y947" s="21"/>
      <c r="Z947" s="12"/>
      <c r="AA947" s="1"/>
      <c r="AB947" s="23"/>
      <c r="AC947" s="1"/>
      <c r="AD947" s="27"/>
    </row>
    <row r="948" spans="1:16383" ht="30" x14ac:dyDescent="0.25">
      <c r="A948" s="4">
        <v>46044</v>
      </c>
      <c r="B948" s="4">
        <v>46050</v>
      </c>
      <c r="C948" s="6" t="s">
        <v>54</v>
      </c>
      <c r="D948" s="6" t="s">
        <v>2751</v>
      </c>
      <c r="E948" s="6" t="s">
        <v>1619</v>
      </c>
      <c r="F948" s="1" t="s">
        <v>1619</v>
      </c>
      <c r="G948" s="8">
        <v>1</v>
      </c>
      <c r="H948" s="8"/>
      <c r="I948" s="115">
        <f>Table223[[#This Row],[Qty]]-Table223[[#This Row],[Issue Qty]]</f>
        <v>1</v>
      </c>
      <c r="J948" s="5">
        <v>2380</v>
      </c>
      <c r="K948" s="5">
        <f t="shared" si="48"/>
        <v>2380</v>
      </c>
      <c r="L948" s="82">
        <v>0.05</v>
      </c>
      <c r="M948" s="9">
        <f t="shared" si="49"/>
        <v>119</v>
      </c>
      <c r="N948" s="5"/>
      <c r="O948" s="5"/>
      <c r="P948" s="5">
        <f t="shared" si="50"/>
        <v>2499</v>
      </c>
      <c r="Q948" s="1" t="s">
        <v>1408</v>
      </c>
      <c r="R948" s="1" t="s">
        <v>1617</v>
      </c>
      <c r="S948" s="1" t="s">
        <v>1620</v>
      </c>
      <c r="T948" s="1" t="s">
        <v>2752</v>
      </c>
      <c r="U948" s="1">
        <v>88073000</v>
      </c>
      <c r="V948" s="2" t="s">
        <v>2753</v>
      </c>
      <c r="W948" s="21" t="s">
        <v>2754</v>
      </c>
      <c r="X948" s="21"/>
      <c r="Y948" s="21"/>
      <c r="Z948" s="12"/>
      <c r="AA948" s="1"/>
      <c r="AB948" s="23"/>
      <c r="AC948" s="1"/>
      <c r="AD948" s="27"/>
    </row>
    <row r="949" spans="1:16383" x14ac:dyDescent="0.25">
      <c r="A949" s="4">
        <v>46044</v>
      </c>
      <c r="B949" s="4">
        <v>46051</v>
      </c>
      <c r="C949" s="6" t="s">
        <v>1683</v>
      </c>
      <c r="D949" s="6" t="s">
        <v>2755</v>
      </c>
      <c r="E949" s="6" t="s">
        <v>1621</v>
      </c>
      <c r="F949" s="1" t="s">
        <v>1621</v>
      </c>
      <c r="G949" s="8">
        <v>1</v>
      </c>
      <c r="H949" s="8">
        <v>1</v>
      </c>
      <c r="I949" s="115">
        <f>Table223[[#This Row],[Qty]]-Table223[[#This Row],[Issue Qty]]</f>
        <v>0</v>
      </c>
      <c r="J949" s="5">
        <v>1999.15</v>
      </c>
      <c r="K949" s="5">
        <f t="shared" si="48"/>
        <v>1999.15</v>
      </c>
      <c r="L949" s="82">
        <v>0.18</v>
      </c>
      <c r="M949" s="9">
        <f t="shared" si="49"/>
        <v>359.84699999999998</v>
      </c>
      <c r="N949" s="5">
        <v>129</v>
      </c>
      <c r="O949" s="5"/>
      <c r="P949" s="5">
        <f t="shared" si="50"/>
        <v>2487.9970000000003</v>
      </c>
      <c r="Q949" s="1" t="s">
        <v>1408</v>
      </c>
      <c r="R949" s="1" t="s">
        <v>1617</v>
      </c>
      <c r="S949" s="1" t="s">
        <v>1255</v>
      </c>
      <c r="T949" s="1" t="s">
        <v>2756</v>
      </c>
      <c r="U949" s="1">
        <v>85065000</v>
      </c>
      <c r="V949" s="2"/>
      <c r="W949" s="21" t="s">
        <v>398</v>
      </c>
      <c r="X949" s="21"/>
      <c r="Y949" s="21">
        <v>1</v>
      </c>
      <c r="Z949" s="12" t="s">
        <v>2757</v>
      </c>
      <c r="AA949" s="1"/>
      <c r="AB949" s="23"/>
      <c r="AC949" s="1"/>
      <c r="AD949" s="27"/>
    </row>
    <row r="950" spans="1:16383" x14ac:dyDescent="0.25">
      <c r="A950" s="4">
        <v>46053</v>
      </c>
      <c r="B950" s="4">
        <v>46053</v>
      </c>
      <c r="C950" s="6" t="s">
        <v>1693</v>
      </c>
      <c r="D950" s="6" t="s">
        <v>2758</v>
      </c>
      <c r="E950" s="154" t="s">
        <v>2759</v>
      </c>
      <c r="F950" s="6" t="s">
        <v>2759</v>
      </c>
      <c r="G950" s="8">
        <v>5</v>
      </c>
      <c r="H950" s="8">
        <v>5</v>
      </c>
      <c r="I950" s="115">
        <f>Table223[[#This Row],[Qty]]-Table223[[#This Row],[Issue Qty]]</f>
        <v>0</v>
      </c>
      <c r="J950" s="10">
        <v>12653.61</v>
      </c>
      <c r="K950" s="5">
        <f t="shared" si="48"/>
        <v>63268.05</v>
      </c>
      <c r="L950" s="82">
        <v>0.18</v>
      </c>
      <c r="M950" s="9">
        <f t="shared" si="49"/>
        <v>11388.249</v>
      </c>
      <c r="N950" s="5"/>
      <c r="O950" s="5"/>
      <c r="P950" s="5">
        <f t="shared" si="50"/>
        <v>74656.298999999999</v>
      </c>
      <c r="Q950" s="1" t="s">
        <v>2887</v>
      </c>
      <c r="R950" s="1" t="s">
        <v>633</v>
      </c>
      <c r="S950" s="1" t="s">
        <v>893</v>
      </c>
      <c r="T950" s="1" t="s">
        <v>2760</v>
      </c>
      <c r="U950" s="1">
        <v>85177910</v>
      </c>
      <c r="V950" s="2"/>
      <c r="W950" s="21" t="s">
        <v>89</v>
      </c>
      <c r="X950" s="21"/>
      <c r="Y950" s="21">
        <v>5</v>
      </c>
      <c r="Z950" s="12" t="s">
        <v>3375</v>
      </c>
      <c r="AA950" s="2"/>
      <c r="AB950" s="23"/>
      <c r="AC950" s="1"/>
      <c r="AD950" s="27"/>
    </row>
    <row r="951" spans="1:16383" x14ac:dyDescent="0.25">
      <c r="A951" s="4">
        <v>46053</v>
      </c>
      <c r="B951" s="4">
        <v>46056</v>
      </c>
      <c r="C951" s="6" t="s">
        <v>1693</v>
      </c>
      <c r="D951" s="6" t="s">
        <v>2739</v>
      </c>
      <c r="E951" s="6" t="s">
        <v>1612</v>
      </c>
      <c r="F951" s="1" t="s">
        <v>1612</v>
      </c>
      <c r="G951" s="8">
        <v>5</v>
      </c>
      <c r="H951" s="8">
        <v>1</v>
      </c>
      <c r="I951" s="115">
        <f>Table223[[#This Row],[Qty]]-Table223[[#This Row],[Issue Qty]]</f>
        <v>4</v>
      </c>
      <c r="J951" s="5">
        <v>32.200000000000003</v>
      </c>
      <c r="K951" s="5">
        <f t="shared" si="48"/>
        <v>161</v>
      </c>
      <c r="L951" s="82">
        <v>0.18</v>
      </c>
      <c r="M951" s="9">
        <f t="shared" si="49"/>
        <v>28.98</v>
      </c>
      <c r="N951" s="5">
        <v>58.88</v>
      </c>
      <c r="O951" s="5"/>
      <c r="P951" s="5">
        <f t="shared" si="50"/>
        <v>248.85999999999999</v>
      </c>
      <c r="Q951" s="1" t="s">
        <v>1623</v>
      </c>
      <c r="R951" s="1" t="s">
        <v>1623</v>
      </c>
      <c r="S951" s="1" t="s">
        <v>788</v>
      </c>
      <c r="T951" s="1" t="s">
        <v>2761</v>
      </c>
      <c r="U951" s="1">
        <v>85381010</v>
      </c>
      <c r="V951" s="2">
        <v>55</v>
      </c>
      <c r="W951" s="21" t="s">
        <v>1624</v>
      </c>
      <c r="X951" s="21"/>
      <c r="Y951" s="21">
        <v>1</v>
      </c>
      <c r="Z951" s="12" t="s">
        <v>2997</v>
      </c>
      <c r="AA951" s="2"/>
      <c r="AB951" s="23"/>
      <c r="AC951" s="1"/>
      <c r="AD951" s="27"/>
    </row>
    <row r="952" spans="1:16383" x14ac:dyDescent="0.25">
      <c r="A952" s="4">
        <v>46057</v>
      </c>
      <c r="B952" s="4">
        <v>46058</v>
      </c>
      <c r="C952" s="6" t="s">
        <v>1693</v>
      </c>
      <c r="D952" s="6" t="s">
        <v>2726</v>
      </c>
      <c r="E952" s="6" t="s">
        <v>1602</v>
      </c>
      <c r="F952" s="1" t="s">
        <v>1602</v>
      </c>
      <c r="G952" s="8">
        <v>6</v>
      </c>
      <c r="H952" s="8">
        <v>3</v>
      </c>
      <c r="I952" s="115">
        <f>Table223[[#This Row],[Qty]]-Table223[[#This Row],[Issue Qty]]</f>
        <v>3</v>
      </c>
      <c r="J952" s="5">
        <v>354.29</v>
      </c>
      <c r="K952" s="5">
        <f t="shared" si="48"/>
        <v>2125.7400000000002</v>
      </c>
      <c r="L952" s="82">
        <v>0.05</v>
      </c>
      <c r="M952" s="9">
        <f t="shared" si="49"/>
        <v>106.28700000000002</v>
      </c>
      <c r="N952" s="5">
        <v>99</v>
      </c>
      <c r="O952" s="5"/>
      <c r="P952" s="5">
        <f t="shared" si="50"/>
        <v>2331.027</v>
      </c>
      <c r="Q952" s="1" t="s">
        <v>606</v>
      </c>
      <c r="R952" s="1" t="s">
        <v>606</v>
      </c>
      <c r="S952" s="1" t="s">
        <v>634</v>
      </c>
      <c r="T952" s="1" t="s">
        <v>2762</v>
      </c>
      <c r="U952" s="1">
        <v>88073000</v>
      </c>
      <c r="V952" s="2"/>
      <c r="W952" s="21" t="s">
        <v>1624</v>
      </c>
      <c r="X952" s="21"/>
      <c r="Y952" s="21">
        <v>3</v>
      </c>
      <c r="Z952" s="12" t="s">
        <v>2999</v>
      </c>
      <c r="AA952" s="2"/>
      <c r="AB952" s="23"/>
      <c r="AC952" s="1"/>
      <c r="AD952" s="27"/>
    </row>
    <row r="953" spans="1:16383" x14ac:dyDescent="0.25">
      <c r="A953" s="4">
        <v>46058</v>
      </c>
      <c r="B953" s="4">
        <v>46058</v>
      </c>
      <c r="C953" s="6" t="s">
        <v>54</v>
      </c>
      <c r="D953" s="6" t="s">
        <v>2604</v>
      </c>
      <c r="E953" s="6" t="s">
        <v>1507</v>
      </c>
      <c r="F953" s="1" t="s">
        <v>1507</v>
      </c>
      <c r="G953" s="8">
        <v>1</v>
      </c>
      <c r="H953" s="8">
        <v>1</v>
      </c>
      <c r="I953" s="115">
        <f>Table223[[#This Row],[Qty]]-Table223[[#This Row],[Issue Qty]]</f>
        <v>0</v>
      </c>
      <c r="J953" s="5">
        <v>4452.6000000000004</v>
      </c>
      <c r="K953" s="5">
        <f t="shared" si="48"/>
        <v>4452.6000000000004</v>
      </c>
      <c r="L953" s="82">
        <v>0.18</v>
      </c>
      <c r="M953" s="9">
        <f t="shared" si="49"/>
        <v>801.46800000000007</v>
      </c>
      <c r="N953" s="5"/>
      <c r="O953" s="5"/>
      <c r="P953" s="5">
        <f t="shared" si="50"/>
        <v>5254.0680000000002</v>
      </c>
      <c r="Q953" s="1" t="s">
        <v>536</v>
      </c>
      <c r="R953" s="1" t="s">
        <v>536</v>
      </c>
      <c r="S953" s="1" t="s">
        <v>358</v>
      </c>
      <c r="T953" s="1" t="s">
        <v>2763</v>
      </c>
      <c r="U953" s="1">
        <v>39269099</v>
      </c>
      <c r="V953" s="2">
        <v>5008</v>
      </c>
      <c r="W953" s="21"/>
      <c r="X953" s="21"/>
      <c r="Y953" s="21">
        <v>1</v>
      </c>
      <c r="Z953" s="12" t="s">
        <v>3352</v>
      </c>
      <c r="AA953" s="2"/>
      <c r="AB953" s="23"/>
      <c r="AC953" s="1"/>
      <c r="AD953" s="27"/>
    </row>
    <row r="954" spans="1:16383" s="189" customFormat="1" x14ac:dyDescent="0.25">
      <c r="A954" s="4">
        <v>46058</v>
      </c>
      <c r="B954" s="4">
        <v>46058</v>
      </c>
      <c r="C954" s="1" t="s">
        <v>54</v>
      </c>
      <c r="D954" s="188" t="s">
        <v>2603</v>
      </c>
      <c r="E954" s="1" t="s">
        <v>1506</v>
      </c>
      <c r="F954" s="8" t="s">
        <v>1506</v>
      </c>
      <c r="G954" s="8">
        <v>1</v>
      </c>
      <c r="H954" s="115">
        <v>1</v>
      </c>
      <c r="I954" s="5">
        <f>Table223[[#This Row],[Qty]]-Table223[[#This Row],[Issue Qty]]</f>
        <v>0</v>
      </c>
      <c r="J954" s="5">
        <v>2882.3</v>
      </c>
      <c r="K954" s="82">
        <f t="shared" si="48"/>
        <v>2882.3</v>
      </c>
      <c r="L954" s="82">
        <v>0.18</v>
      </c>
      <c r="M954" s="5">
        <f t="shared" si="49"/>
        <v>518.81399999999996</v>
      </c>
      <c r="N954" s="5"/>
      <c r="O954" s="5"/>
      <c r="P954" s="1">
        <f t="shared" si="50"/>
        <v>3401.114</v>
      </c>
      <c r="Q954" s="1" t="s">
        <v>2887</v>
      </c>
      <c r="R954" s="1" t="s">
        <v>536</v>
      </c>
      <c r="S954" s="1" t="s">
        <v>358</v>
      </c>
      <c r="T954" s="1" t="s">
        <v>2763</v>
      </c>
      <c r="U954" s="1">
        <v>39269099</v>
      </c>
      <c r="V954" s="21">
        <v>5008</v>
      </c>
      <c r="W954" s="8"/>
      <c r="X954" s="8"/>
      <c r="Y954" s="8">
        <v>1</v>
      </c>
      <c r="Z954" s="22" t="s">
        <v>3352</v>
      </c>
      <c r="AA954" s="29"/>
      <c r="AB954" s="2"/>
      <c r="AC954" s="2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  <c r="BW954" s="24"/>
      <c r="BX954" s="24"/>
      <c r="BY954" s="24"/>
      <c r="BZ954" s="24"/>
      <c r="CA954" s="24"/>
      <c r="CB954" s="24"/>
      <c r="CC954" s="24"/>
      <c r="CD954" s="24"/>
      <c r="CE954" s="24"/>
      <c r="CF954" s="24"/>
      <c r="CG954" s="24"/>
      <c r="CH954" s="24"/>
      <c r="CI954" s="24"/>
      <c r="CJ954" s="24"/>
      <c r="CK954" s="24"/>
      <c r="CL954" s="24"/>
      <c r="CM954" s="24"/>
      <c r="CN954" s="24"/>
      <c r="CO954" s="24"/>
      <c r="CP954" s="24"/>
      <c r="CQ954" s="24"/>
      <c r="CR954" s="24"/>
      <c r="CS954" s="24"/>
      <c r="CT954" s="24"/>
      <c r="CU954" s="24"/>
      <c r="CV954" s="24"/>
      <c r="CW954" s="24"/>
      <c r="CX954" s="24"/>
      <c r="CY954" s="24"/>
      <c r="CZ954" s="24"/>
      <c r="DA954" s="24"/>
      <c r="DB954" s="24"/>
      <c r="DC954" s="24"/>
      <c r="DD954" s="24"/>
      <c r="DE954" s="24"/>
      <c r="DF954" s="24"/>
      <c r="DG954" s="24"/>
      <c r="DH954" s="24"/>
      <c r="DI954" s="24"/>
      <c r="DJ954" s="24"/>
      <c r="DK954" s="24"/>
      <c r="DL954" s="24"/>
      <c r="DM954" s="24"/>
      <c r="DN954" s="24"/>
      <c r="DO954" s="24"/>
      <c r="DP954" s="24"/>
      <c r="DQ954" s="24"/>
      <c r="DR954" s="24"/>
      <c r="DS954" s="24"/>
      <c r="DT954" s="24"/>
      <c r="DU954" s="24"/>
      <c r="DV954" s="24"/>
      <c r="DW954" s="24"/>
      <c r="DX954" s="24"/>
      <c r="DY954" s="24"/>
      <c r="DZ954" s="24"/>
      <c r="EA954" s="24"/>
      <c r="EB954" s="24"/>
      <c r="EC954" s="24"/>
      <c r="ED954" s="24"/>
      <c r="EE954" s="24"/>
      <c r="EF954" s="24"/>
      <c r="EG954" s="24"/>
      <c r="EH954" s="24"/>
      <c r="EI954" s="24"/>
      <c r="EJ954" s="24"/>
      <c r="EK954" s="24"/>
      <c r="EL954" s="24"/>
      <c r="EM954" s="24"/>
      <c r="EN954" s="24"/>
      <c r="EO954" s="24"/>
      <c r="EP954" s="24"/>
      <c r="EQ954" s="24"/>
      <c r="ER954" s="24"/>
      <c r="ES954" s="24"/>
      <c r="ET954" s="24"/>
      <c r="EU954" s="24"/>
      <c r="EV954" s="24"/>
      <c r="EW954" s="24"/>
      <c r="EX954" s="24"/>
      <c r="EY954" s="24"/>
      <c r="EZ954" s="24"/>
      <c r="FA954" s="24"/>
      <c r="FB954" s="24"/>
      <c r="FC954" s="24"/>
      <c r="FD954" s="24"/>
      <c r="FE954" s="24"/>
      <c r="FF954" s="24"/>
      <c r="FG954" s="24"/>
      <c r="FH954" s="24"/>
      <c r="FI954" s="24"/>
      <c r="FJ954" s="24"/>
      <c r="FK954" s="24"/>
      <c r="FL954" s="24"/>
      <c r="FM954" s="24"/>
      <c r="FN954" s="24"/>
      <c r="FO954" s="24"/>
      <c r="FP954" s="24"/>
      <c r="FQ954" s="24"/>
      <c r="FR954" s="24"/>
      <c r="FS954" s="24"/>
      <c r="FT954" s="24"/>
      <c r="FU954" s="24"/>
      <c r="FV954" s="24"/>
      <c r="FW954" s="24"/>
      <c r="FX954" s="24"/>
      <c r="FY954" s="24"/>
      <c r="FZ954" s="24"/>
      <c r="GA954" s="24"/>
      <c r="GB954" s="24"/>
      <c r="GC954" s="24"/>
      <c r="GD954" s="24"/>
      <c r="GE954" s="24"/>
      <c r="GF954" s="24"/>
      <c r="GG954" s="24"/>
      <c r="GH954" s="24"/>
      <c r="GI954" s="24"/>
      <c r="GJ954" s="24"/>
      <c r="GK954" s="24"/>
      <c r="GL954" s="24"/>
      <c r="GM954" s="24"/>
      <c r="GN954" s="24"/>
      <c r="GO954" s="24"/>
      <c r="GP954" s="24"/>
      <c r="GQ954" s="24"/>
      <c r="GR954" s="24"/>
      <c r="GS954" s="24"/>
      <c r="GT954" s="24"/>
      <c r="GU954" s="24"/>
      <c r="GV954" s="24"/>
      <c r="GW954" s="24"/>
      <c r="GX954" s="24"/>
      <c r="GY954" s="24"/>
      <c r="GZ954" s="24"/>
      <c r="HA954" s="24"/>
      <c r="HB954" s="24"/>
      <c r="HC954" s="24"/>
      <c r="HD954" s="24"/>
      <c r="HE954" s="24"/>
      <c r="HF954" s="24"/>
      <c r="HG954" s="24"/>
      <c r="HH954" s="24"/>
      <c r="HI954" s="24"/>
      <c r="HJ954" s="24"/>
      <c r="HK954" s="24"/>
      <c r="HL954" s="24"/>
      <c r="HM954" s="24"/>
      <c r="HN954" s="24"/>
      <c r="HO954" s="24"/>
      <c r="HP954" s="24"/>
      <c r="HQ954" s="24"/>
      <c r="HR954" s="24"/>
      <c r="HS954" s="24"/>
      <c r="HT954" s="24"/>
      <c r="HU954" s="24"/>
      <c r="HV954" s="24"/>
      <c r="HW954" s="24"/>
      <c r="HX954" s="24"/>
      <c r="HY954" s="24"/>
      <c r="HZ954" s="24"/>
      <c r="IA954" s="24"/>
      <c r="IB954" s="24"/>
      <c r="IC954" s="24"/>
      <c r="ID954" s="24"/>
      <c r="IE954" s="24"/>
      <c r="IF954" s="24"/>
      <c r="IG954" s="24"/>
      <c r="IH954" s="24"/>
      <c r="II954" s="24"/>
      <c r="IJ954" s="24"/>
      <c r="IK954" s="24"/>
      <c r="IL954" s="24"/>
      <c r="IM954" s="24"/>
      <c r="IN954" s="24"/>
      <c r="IO954" s="24"/>
      <c r="IP954" s="24"/>
      <c r="IQ954" s="24"/>
      <c r="IR954" s="24"/>
      <c r="IS954" s="24"/>
      <c r="IT954" s="24"/>
      <c r="IU954" s="24"/>
      <c r="IV954" s="24"/>
      <c r="IW954" s="24"/>
      <c r="IX954" s="24"/>
      <c r="IY954" s="24"/>
      <c r="IZ954" s="24"/>
      <c r="JA954" s="24"/>
      <c r="JB954" s="24"/>
      <c r="JC954" s="24"/>
      <c r="JD954" s="24"/>
      <c r="JE954" s="24"/>
      <c r="JF954" s="24"/>
      <c r="JG954" s="24"/>
      <c r="JH954" s="24"/>
      <c r="JI954" s="24"/>
      <c r="JJ954" s="24"/>
      <c r="JK954" s="24"/>
      <c r="JL954" s="24"/>
      <c r="JM954" s="24"/>
      <c r="JN954" s="24"/>
      <c r="JO954" s="24"/>
      <c r="JP954" s="24"/>
      <c r="JQ954" s="24"/>
      <c r="JR954" s="24"/>
      <c r="JS954" s="24"/>
      <c r="JT954" s="24"/>
      <c r="JU954" s="24"/>
      <c r="JV954" s="24"/>
      <c r="JW954" s="24"/>
      <c r="JX954" s="24"/>
      <c r="JY954" s="24"/>
      <c r="JZ954" s="24"/>
      <c r="KA954" s="24"/>
      <c r="KB954" s="24"/>
      <c r="KC954" s="24"/>
      <c r="KD954" s="24"/>
      <c r="KE954" s="24"/>
      <c r="KF954" s="24"/>
      <c r="KG954" s="24"/>
      <c r="KH954" s="24"/>
      <c r="KI954" s="24"/>
      <c r="KJ954" s="24"/>
      <c r="KK954" s="24"/>
      <c r="KL954" s="24"/>
      <c r="KM954" s="24"/>
      <c r="KN954" s="24"/>
      <c r="KO954" s="24"/>
      <c r="KP954" s="24"/>
      <c r="KQ954" s="24"/>
      <c r="KR954" s="24"/>
      <c r="KS954" s="24"/>
      <c r="KT954" s="24"/>
      <c r="KU954" s="24"/>
      <c r="KV954" s="24"/>
      <c r="KW954" s="24"/>
      <c r="KX954" s="24"/>
      <c r="KY954" s="24"/>
      <c r="KZ954" s="24"/>
      <c r="LA954" s="24"/>
      <c r="LB954" s="24"/>
      <c r="LC954" s="24"/>
      <c r="LD954" s="24"/>
      <c r="LE954" s="24"/>
      <c r="LF954" s="24"/>
      <c r="LG954" s="24"/>
      <c r="LH954" s="24"/>
      <c r="LI954" s="24"/>
      <c r="LJ954" s="24"/>
      <c r="LK954" s="24"/>
      <c r="LL954" s="24"/>
      <c r="LM954" s="24"/>
      <c r="LN954" s="24"/>
      <c r="LO954" s="24"/>
      <c r="LP954" s="24"/>
      <c r="LQ954" s="24"/>
      <c r="LR954" s="24"/>
      <c r="LS954" s="24"/>
      <c r="LT954" s="24"/>
      <c r="LU954" s="24"/>
      <c r="LV954" s="24"/>
      <c r="LW954" s="24"/>
      <c r="LX954" s="24"/>
      <c r="LY954" s="24"/>
      <c r="LZ954" s="24"/>
      <c r="MA954" s="24"/>
      <c r="MB954" s="24"/>
      <c r="MC954" s="24"/>
      <c r="MD954" s="24"/>
      <c r="ME954" s="24"/>
      <c r="MF954" s="24"/>
      <c r="MG954" s="24"/>
      <c r="MH954" s="24"/>
      <c r="MI954" s="24"/>
      <c r="MJ954" s="24"/>
      <c r="MK954" s="24"/>
      <c r="ML954" s="24"/>
      <c r="MM954" s="24"/>
      <c r="MN954" s="24"/>
      <c r="MO954" s="24"/>
      <c r="MP954" s="24"/>
      <c r="MQ954" s="24"/>
      <c r="MR954" s="24"/>
      <c r="MS954" s="24"/>
      <c r="MT954" s="24"/>
      <c r="MU954" s="24"/>
      <c r="MV954" s="24"/>
      <c r="MW954" s="24"/>
      <c r="MX954" s="24"/>
      <c r="MY954" s="24"/>
      <c r="MZ954" s="24"/>
      <c r="NA954" s="24"/>
      <c r="NB954" s="24"/>
      <c r="NC954" s="24"/>
      <c r="ND954" s="24"/>
      <c r="NE954" s="24"/>
      <c r="NF954" s="24"/>
      <c r="NG954" s="24"/>
      <c r="NH954" s="24"/>
      <c r="NI954" s="24"/>
      <c r="NJ954" s="24"/>
      <c r="NK954" s="24"/>
      <c r="NL954" s="24"/>
      <c r="NM954" s="24"/>
      <c r="NN954" s="24"/>
      <c r="NO954" s="24"/>
      <c r="NP954" s="24"/>
      <c r="NQ954" s="24"/>
      <c r="NR954" s="24"/>
      <c r="NS954" s="24"/>
      <c r="NT954" s="24"/>
      <c r="NU954" s="24"/>
      <c r="NV954" s="24"/>
      <c r="NW954" s="24"/>
      <c r="NX954" s="24"/>
      <c r="NY954" s="24"/>
      <c r="NZ954" s="24"/>
      <c r="OA954" s="24"/>
      <c r="OB954" s="24"/>
      <c r="OC954" s="24"/>
      <c r="OD954" s="24"/>
      <c r="OE954" s="24"/>
      <c r="OF954" s="24"/>
      <c r="OG954" s="24"/>
      <c r="OH954" s="24"/>
      <c r="OI954" s="24"/>
      <c r="OJ954" s="24"/>
      <c r="OK954" s="24"/>
      <c r="OL954" s="24"/>
      <c r="OM954" s="24"/>
      <c r="ON954" s="24"/>
      <c r="OO954" s="24"/>
      <c r="OP954" s="24"/>
      <c r="OQ954" s="24"/>
      <c r="OR954" s="24"/>
      <c r="OS954" s="24"/>
      <c r="OT954" s="24"/>
      <c r="OU954" s="24"/>
      <c r="OV954" s="24"/>
      <c r="OW954" s="24"/>
      <c r="OX954" s="24"/>
      <c r="OY954" s="24"/>
      <c r="OZ954" s="24"/>
      <c r="PA954" s="24"/>
      <c r="PB954" s="24"/>
      <c r="PC954" s="24"/>
      <c r="PD954" s="24"/>
      <c r="PE954" s="24"/>
      <c r="PF954" s="24"/>
      <c r="PG954" s="24"/>
      <c r="PH954" s="24"/>
      <c r="PI954" s="24"/>
      <c r="PJ954" s="24"/>
      <c r="PK954" s="24"/>
      <c r="PL954" s="24"/>
      <c r="PM954" s="24"/>
      <c r="PN954" s="24"/>
      <c r="PO954" s="24"/>
      <c r="PP954" s="24"/>
      <c r="PQ954" s="24"/>
      <c r="PR954" s="24"/>
      <c r="PS954" s="24"/>
      <c r="PT954" s="24"/>
      <c r="PU954" s="24"/>
      <c r="PV954" s="24"/>
      <c r="PW954" s="24"/>
      <c r="PX954" s="24"/>
      <c r="PY954" s="24"/>
      <c r="PZ954" s="24"/>
      <c r="QA954" s="24"/>
      <c r="QB954" s="24"/>
      <c r="QC954" s="24"/>
      <c r="QD954" s="24"/>
      <c r="QE954" s="24"/>
      <c r="QF954" s="24"/>
      <c r="QG954" s="24"/>
      <c r="QH954" s="24"/>
      <c r="QI954" s="24"/>
      <c r="QJ954" s="24"/>
      <c r="QK954" s="24"/>
      <c r="QL954" s="24"/>
      <c r="QM954" s="24"/>
      <c r="QN954" s="24"/>
      <c r="QO954" s="24"/>
      <c r="QP954" s="24"/>
      <c r="QQ954" s="24"/>
      <c r="QR954" s="24"/>
      <c r="QS954" s="24"/>
      <c r="QT954" s="24"/>
      <c r="QU954" s="24"/>
      <c r="QV954" s="24"/>
      <c r="QW954" s="24"/>
      <c r="QX954" s="24"/>
      <c r="QY954" s="24"/>
      <c r="QZ954" s="24"/>
      <c r="RA954" s="24"/>
      <c r="RB954" s="24"/>
      <c r="RC954" s="24"/>
      <c r="RD954" s="24"/>
      <c r="RE954" s="24"/>
      <c r="RF954" s="24"/>
      <c r="RG954" s="24"/>
      <c r="RH954" s="24"/>
      <c r="RI954" s="24"/>
      <c r="RJ954" s="24"/>
      <c r="RK954" s="24"/>
      <c r="RL954" s="24"/>
      <c r="RM954" s="24"/>
      <c r="RN954" s="24"/>
      <c r="RO954" s="24"/>
      <c r="RP954" s="24"/>
      <c r="RQ954" s="24"/>
      <c r="RR954" s="24"/>
      <c r="RS954" s="24"/>
      <c r="RT954" s="24"/>
      <c r="RU954" s="24"/>
      <c r="RV954" s="24"/>
      <c r="RW954" s="24"/>
      <c r="RX954" s="24"/>
      <c r="RY954" s="24"/>
      <c r="RZ954" s="24"/>
      <c r="SA954" s="24"/>
      <c r="SB954" s="24"/>
      <c r="SC954" s="24"/>
      <c r="SD954" s="24"/>
      <c r="SE954" s="24"/>
      <c r="SF954" s="24"/>
      <c r="SG954" s="24"/>
      <c r="SH954" s="24"/>
      <c r="SI954" s="24"/>
      <c r="SJ954" s="24"/>
      <c r="SK954" s="24"/>
      <c r="SL954" s="24"/>
      <c r="SM954" s="24"/>
      <c r="SN954" s="24"/>
      <c r="SO954" s="24"/>
      <c r="SP954" s="24"/>
      <c r="SQ954" s="24"/>
      <c r="SR954" s="24"/>
      <c r="SS954" s="24"/>
      <c r="ST954" s="24"/>
      <c r="SU954" s="24"/>
      <c r="SV954" s="24"/>
      <c r="SW954" s="24"/>
      <c r="SX954" s="24"/>
      <c r="SY954" s="24"/>
      <c r="SZ954" s="24"/>
      <c r="TA954" s="24"/>
      <c r="TB954" s="24"/>
      <c r="TC954" s="24"/>
      <c r="TD954" s="24"/>
      <c r="TE954" s="24"/>
      <c r="TF954" s="24"/>
      <c r="TG954" s="24"/>
      <c r="TH954" s="24"/>
      <c r="TI954" s="24"/>
      <c r="TJ954" s="24"/>
      <c r="TK954" s="24"/>
      <c r="TL954" s="24"/>
      <c r="TM954" s="24"/>
      <c r="TN954" s="24"/>
      <c r="TO954" s="24"/>
      <c r="TP954" s="24"/>
      <c r="TQ954" s="24"/>
      <c r="TR954" s="24"/>
      <c r="TS954" s="24"/>
      <c r="TT954" s="24"/>
      <c r="TU954" s="24"/>
      <c r="TV954" s="24"/>
      <c r="TW954" s="24"/>
      <c r="TX954" s="24"/>
      <c r="TY954" s="24"/>
      <c r="TZ954" s="24"/>
      <c r="UA954" s="24"/>
      <c r="UB954" s="24"/>
      <c r="UC954" s="24"/>
      <c r="UD954" s="24"/>
      <c r="UE954" s="24"/>
      <c r="UF954" s="24"/>
      <c r="UG954" s="24"/>
      <c r="UH954" s="24"/>
      <c r="UI954" s="24"/>
      <c r="UJ954" s="24"/>
      <c r="UK954" s="24"/>
      <c r="UL954" s="24"/>
      <c r="UM954" s="24"/>
      <c r="UN954" s="24"/>
      <c r="UO954" s="24"/>
      <c r="UP954" s="24"/>
      <c r="UQ954" s="24"/>
      <c r="UR954" s="24"/>
      <c r="US954" s="24"/>
      <c r="UT954" s="24"/>
      <c r="UU954" s="24"/>
      <c r="UV954" s="24"/>
      <c r="UW954" s="24"/>
      <c r="UX954" s="24"/>
      <c r="UY954" s="24"/>
      <c r="UZ954" s="24"/>
      <c r="VA954" s="24"/>
      <c r="VB954" s="24"/>
      <c r="VC954" s="24"/>
      <c r="VD954" s="24"/>
      <c r="VE954" s="24"/>
      <c r="VF954" s="24"/>
      <c r="VG954" s="24"/>
      <c r="VH954" s="24"/>
      <c r="VI954" s="24"/>
      <c r="VJ954" s="24"/>
      <c r="VK954" s="24"/>
      <c r="VL954" s="24"/>
      <c r="VM954" s="24"/>
      <c r="VN954" s="24"/>
      <c r="VO954" s="24"/>
      <c r="VP954" s="24"/>
      <c r="VQ954" s="24"/>
      <c r="VR954" s="24"/>
      <c r="VS954" s="24"/>
      <c r="VT954" s="24"/>
      <c r="VU954" s="24"/>
      <c r="VV954" s="24"/>
      <c r="VW954" s="24"/>
      <c r="VX954" s="24"/>
      <c r="VY954" s="24"/>
      <c r="VZ954" s="24"/>
      <c r="WA954" s="24"/>
      <c r="WB954" s="24"/>
      <c r="WC954" s="24"/>
      <c r="WD954" s="24"/>
      <c r="WE954" s="24"/>
      <c r="WF954" s="24"/>
      <c r="WG954" s="24"/>
      <c r="WH954" s="24"/>
      <c r="WI954" s="24"/>
      <c r="WJ954" s="24"/>
      <c r="WK954" s="24"/>
      <c r="WL954" s="24"/>
      <c r="WM954" s="24"/>
      <c r="WN954" s="24"/>
      <c r="WO954" s="24"/>
      <c r="WP954" s="24"/>
      <c r="WQ954" s="24"/>
      <c r="WR954" s="24"/>
      <c r="WS954" s="24"/>
      <c r="WT954" s="24"/>
      <c r="WU954" s="24"/>
      <c r="WV954" s="24"/>
      <c r="WW954" s="24"/>
      <c r="WX954" s="24"/>
      <c r="WY954" s="24"/>
      <c r="WZ954" s="24"/>
      <c r="XA954" s="24"/>
      <c r="XB954" s="24"/>
      <c r="XC954" s="24"/>
      <c r="XD954" s="24"/>
      <c r="XE954" s="24"/>
      <c r="XF954" s="24"/>
      <c r="XG954" s="24"/>
      <c r="XH954" s="24"/>
      <c r="XI954" s="24"/>
      <c r="XJ954" s="24"/>
      <c r="XK954" s="24"/>
      <c r="XL954" s="24"/>
      <c r="XM954" s="24"/>
      <c r="XN954" s="24"/>
      <c r="XO954" s="24"/>
      <c r="XP954" s="24"/>
      <c r="XQ954" s="24"/>
      <c r="XR954" s="24"/>
      <c r="XS954" s="24"/>
      <c r="XT954" s="24"/>
      <c r="XU954" s="24"/>
      <c r="XV954" s="24"/>
      <c r="XW954" s="24"/>
      <c r="XX954" s="24"/>
      <c r="XY954" s="24"/>
      <c r="XZ954" s="24"/>
      <c r="YA954" s="24"/>
      <c r="YB954" s="24"/>
      <c r="YC954" s="24"/>
      <c r="YD954" s="24"/>
      <c r="YE954" s="24"/>
      <c r="YF954" s="24"/>
      <c r="YG954" s="24"/>
      <c r="YH954" s="24"/>
      <c r="YI954" s="24"/>
      <c r="YJ954" s="24"/>
      <c r="YK954" s="24"/>
      <c r="YL954" s="24"/>
      <c r="YM954" s="24"/>
      <c r="YN954" s="24"/>
      <c r="YO954" s="24"/>
      <c r="YP954" s="24"/>
      <c r="YQ954" s="24"/>
      <c r="YR954" s="24"/>
      <c r="YS954" s="24"/>
      <c r="YT954" s="24"/>
      <c r="YU954" s="24"/>
      <c r="YV954" s="24"/>
      <c r="YW954" s="24"/>
      <c r="YX954" s="24"/>
      <c r="YY954" s="24"/>
      <c r="YZ954" s="24"/>
      <c r="ZA954" s="24"/>
      <c r="ZB954" s="24"/>
      <c r="ZC954" s="24"/>
      <c r="ZD954" s="24"/>
      <c r="ZE954" s="24"/>
      <c r="ZF954" s="24"/>
      <c r="ZG954" s="24"/>
      <c r="ZH954" s="24"/>
      <c r="ZI954" s="24"/>
      <c r="ZJ954" s="24"/>
      <c r="ZK954" s="24"/>
      <c r="ZL954" s="24"/>
      <c r="ZM954" s="24"/>
      <c r="ZN954" s="24"/>
      <c r="ZO954" s="24"/>
      <c r="ZP954" s="24"/>
      <c r="ZQ954" s="24"/>
      <c r="ZR954" s="24"/>
      <c r="ZS954" s="24"/>
      <c r="ZT954" s="24"/>
      <c r="ZU954" s="24"/>
      <c r="ZV954" s="24"/>
      <c r="ZW954" s="24"/>
      <c r="ZX954" s="24"/>
      <c r="ZY954" s="24"/>
      <c r="ZZ954" s="24"/>
      <c r="AAA954" s="24"/>
      <c r="AAB954" s="24"/>
      <c r="AAC954" s="24"/>
      <c r="AAD954" s="24"/>
      <c r="AAE954" s="24"/>
      <c r="AAF954" s="24"/>
      <c r="AAG954" s="24"/>
      <c r="AAH954" s="24"/>
      <c r="AAI954" s="24"/>
      <c r="AAJ954" s="24"/>
      <c r="AAK954" s="24"/>
      <c r="AAL954" s="24"/>
      <c r="AAM954" s="24"/>
      <c r="AAN954" s="24"/>
      <c r="AAO954" s="24"/>
      <c r="AAP954" s="24"/>
      <c r="AAQ954" s="24"/>
      <c r="AAR954" s="24"/>
      <c r="AAS954" s="24"/>
      <c r="AAT954" s="24"/>
      <c r="AAU954" s="24"/>
      <c r="AAV954" s="24"/>
      <c r="AAW954" s="24"/>
      <c r="AAX954" s="24"/>
      <c r="AAY954" s="24"/>
      <c r="AAZ954" s="24"/>
      <c r="ABA954" s="24"/>
      <c r="ABB954" s="24"/>
      <c r="ABC954" s="24"/>
      <c r="ABD954" s="24"/>
      <c r="ABE954" s="24"/>
      <c r="ABF954" s="24"/>
      <c r="ABG954" s="24"/>
      <c r="ABH954" s="24"/>
      <c r="ABI954" s="24"/>
      <c r="ABJ954" s="24"/>
      <c r="ABK954" s="24"/>
      <c r="ABL954" s="24"/>
      <c r="ABM954" s="24"/>
      <c r="ABN954" s="24"/>
      <c r="ABO954" s="24"/>
      <c r="ABP954" s="24"/>
      <c r="ABQ954" s="24"/>
      <c r="ABR954" s="24"/>
      <c r="ABS954" s="24"/>
      <c r="ABT954" s="24"/>
      <c r="ABU954" s="24"/>
      <c r="ABV954" s="24"/>
      <c r="ABW954" s="24"/>
      <c r="ABX954" s="24"/>
      <c r="ABY954" s="24"/>
      <c r="ABZ954" s="24"/>
      <c r="ACA954" s="24"/>
      <c r="ACB954" s="24"/>
      <c r="ACC954" s="24"/>
      <c r="ACD954" s="24"/>
      <c r="ACE954" s="24"/>
      <c r="ACF954" s="24"/>
      <c r="ACG954" s="24"/>
      <c r="ACH954" s="24"/>
      <c r="ACI954" s="24"/>
      <c r="ACJ954" s="24"/>
      <c r="ACK954" s="24"/>
      <c r="ACL954" s="24"/>
      <c r="ACM954" s="24"/>
      <c r="ACN954" s="24"/>
      <c r="ACO954" s="24"/>
      <c r="ACP954" s="24"/>
      <c r="ACQ954" s="24"/>
      <c r="ACR954" s="24"/>
      <c r="ACS954" s="24"/>
      <c r="ACT954" s="24"/>
      <c r="ACU954" s="24"/>
      <c r="ACV954" s="24"/>
      <c r="ACW954" s="24"/>
      <c r="ACX954" s="24"/>
      <c r="ACY954" s="24"/>
      <c r="ACZ954" s="24"/>
      <c r="ADA954" s="24"/>
      <c r="ADB954" s="24"/>
      <c r="ADC954" s="24"/>
      <c r="ADD954" s="24"/>
      <c r="ADE954" s="24"/>
      <c r="ADF954" s="24"/>
      <c r="ADG954" s="24"/>
      <c r="ADH954" s="24"/>
      <c r="ADI954" s="24"/>
      <c r="ADJ954" s="24"/>
      <c r="ADK954" s="24"/>
      <c r="ADL954" s="24"/>
      <c r="ADM954" s="24"/>
      <c r="ADN954" s="24"/>
      <c r="ADO954" s="24"/>
      <c r="ADP954" s="24"/>
      <c r="ADQ954" s="24"/>
      <c r="ADR954" s="24"/>
      <c r="ADS954" s="24"/>
      <c r="ADT954" s="24"/>
      <c r="ADU954" s="24"/>
      <c r="ADV954" s="24"/>
      <c r="ADW954" s="24"/>
      <c r="ADX954" s="24"/>
      <c r="ADY954" s="24"/>
      <c r="ADZ954" s="24"/>
      <c r="AEA954" s="24"/>
      <c r="AEB954" s="24"/>
      <c r="AEC954" s="24"/>
      <c r="AED954" s="24"/>
      <c r="AEE954" s="24"/>
      <c r="AEF954" s="24"/>
      <c r="AEG954" s="24"/>
      <c r="AEH954" s="24"/>
      <c r="AEI954" s="24"/>
      <c r="AEJ954" s="24"/>
      <c r="AEK954" s="24"/>
      <c r="AEL954" s="24"/>
      <c r="AEM954" s="24"/>
      <c r="AEN954" s="24"/>
      <c r="AEO954" s="24"/>
      <c r="AEP954" s="24"/>
      <c r="AEQ954" s="24"/>
      <c r="AER954" s="24"/>
      <c r="AES954" s="24"/>
      <c r="AET954" s="24"/>
      <c r="AEU954" s="24"/>
      <c r="AEV954" s="24"/>
      <c r="AEW954" s="24"/>
      <c r="AEX954" s="24"/>
      <c r="AEY954" s="24"/>
      <c r="AEZ954" s="24"/>
      <c r="AFA954" s="24"/>
      <c r="AFB954" s="24"/>
      <c r="AFC954" s="24"/>
      <c r="AFD954" s="24"/>
      <c r="AFE954" s="24"/>
      <c r="AFF954" s="24"/>
      <c r="AFG954" s="24"/>
      <c r="AFH954" s="24"/>
      <c r="AFI954" s="24"/>
      <c r="AFJ954" s="24"/>
      <c r="AFK954" s="24"/>
      <c r="AFL954" s="24"/>
      <c r="AFM954" s="24"/>
      <c r="AFN954" s="24"/>
      <c r="AFO954" s="24"/>
      <c r="AFP954" s="24"/>
      <c r="AFQ954" s="24"/>
      <c r="AFR954" s="24"/>
      <c r="AFS954" s="24"/>
      <c r="AFT954" s="24"/>
      <c r="AFU954" s="24"/>
      <c r="AFV954" s="24"/>
      <c r="AFW954" s="24"/>
      <c r="AFX954" s="24"/>
      <c r="AFY954" s="24"/>
      <c r="AFZ954" s="24"/>
      <c r="AGA954" s="24"/>
      <c r="AGB954" s="24"/>
      <c r="AGC954" s="24"/>
      <c r="AGD954" s="24"/>
      <c r="AGE954" s="24"/>
      <c r="AGF954" s="24"/>
      <c r="AGG954" s="24"/>
      <c r="AGH954" s="24"/>
      <c r="AGI954" s="24"/>
      <c r="AGJ954" s="24"/>
      <c r="AGK954" s="24"/>
      <c r="AGL954" s="24"/>
      <c r="AGM954" s="24"/>
      <c r="AGN954" s="24"/>
      <c r="AGO954" s="24"/>
      <c r="AGP954" s="24"/>
      <c r="AGQ954" s="24"/>
      <c r="AGR954" s="24"/>
      <c r="AGS954" s="24"/>
      <c r="AGT954" s="24"/>
      <c r="AGU954" s="24"/>
      <c r="AGV954" s="24"/>
      <c r="AGW954" s="24"/>
      <c r="AGX954" s="24"/>
      <c r="AGY954" s="24"/>
      <c r="AGZ954" s="24"/>
      <c r="AHA954" s="24"/>
      <c r="AHB954" s="24"/>
      <c r="AHC954" s="24"/>
      <c r="AHD954" s="24"/>
      <c r="AHE954" s="24"/>
      <c r="AHF954" s="24"/>
      <c r="AHG954" s="24"/>
      <c r="AHH954" s="24"/>
      <c r="AHI954" s="24"/>
      <c r="AHJ954" s="24"/>
      <c r="AHK954" s="24"/>
      <c r="AHL954" s="24"/>
      <c r="AHM954" s="24"/>
      <c r="AHN954" s="24"/>
      <c r="AHO954" s="24"/>
      <c r="AHP954" s="24"/>
      <c r="AHQ954" s="24"/>
      <c r="AHR954" s="24"/>
      <c r="AHS954" s="24"/>
      <c r="AHT954" s="24"/>
      <c r="AHU954" s="24"/>
      <c r="AHV954" s="24"/>
      <c r="AHW954" s="24"/>
      <c r="AHX954" s="24"/>
      <c r="AHY954" s="24"/>
      <c r="AHZ954" s="24"/>
      <c r="AIA954" s="24"/>
      <c r="AIB954" s="24"/>
      <c r="AIC954" s="24"/>
      <c r="AID954" s="24"/>
      <c r="AIE954" s="24"/>
      <c r="AIF954" s="24"/>
      <c r="AIG954" s="24"/>
      <c r="AIH954" s="24"/>
      <c r="AII954" s="24"/>
      <c r="AIJ954" s="24"/>
      <c r="AIK954" s="24"/>
      <c r="AIL954" s="24"/>
      <c r="AIM954" s="24"/>
      <c r="AIN954" s="24"/>
      <c r="AIO954" s="24"/>
      <c r="AIP954" s="24"/>
      <c r="AIQ954" s="24"/>
      <c r="AIR954" s="24"/>
      <c r="AIS954" s="24"/>
      <c r="AIT954" s="24"/>
      <c r="AIU954" s="24"/>
      <c r="AIV954" s="24"/>
      <c r="AIW954" s="24"/>
      <c r="AIX954" s="24"/>
      <c r="AIY954" s="24"/>
      <c r="AIZ954" s="24"/>
      <c r="AJA954" s="24"/>
      <c r="AJB954" s="24"/>
      <c r="AJC954" s="24"/>
      <c r="AJD954" s="24"/>
      <c r="AJE954" s="24"/>
      <c r="AJF954" s="24"/>
      <c r="AJG954" s="24"/>
      <c r="AJH954" s="24"/>
      <c r="AJI954" s="24"/>
      <c r="AJJ954" s="24"/>
      <c r="AJK954" s="24"/>
      <c r="AJL954" s="24"/>
      <c r="AJM954" s="24"/>
      <c r="AJN954" s="24"/>
      <c r="AJO954" s="24"/>
      <c r="AJP954" s="24"/>
      <c r="AJQ954" s="24"/>
      <c r="AJR954" s="24"/>
      <c r="AJS954" s="24"/>
      <c r="AJT954" s="24"/>
      <c r="AJU954" s="24"/>
      <c r="AJV954" s="24"/>
      <c r="AJW954" s="24"/>
      <c r="AJX954" s="24"/>
      <c r="AJY954" s="24"/>
      <c r="AJZ954" s="24"/>
      <c r="AKA954" s="24"/>
      <c r="AKB954" s="24"/>
      <c r="AKC954" s="24"/>
      <c r="AKD954" s="24"/>
      <c r="AKE954" s="24"/>
      <c r="AKF954" s="24"/>
      <c r="AKG954" s="24"/>
      <c r="AKH954" s="24"/>
      <c r="AKI954" s="24"/>
      <c r="AKJ954" s="24"/>
      <c r="AKK954" s="24"/>
      <c r="AKL954" s="24"/>
      <c r="AKM954" s="24"/>
      <c r="AKN954" s="24"/>
      <c r="AKO954" s="24"/>
      <c r="AKP954" s="24"/>
      <c r="AKQ954" s="24"/>
      <c r="AKR954" s="24"/>
      <c r="AKS954" s="24"/>
      <c r="AKT954" s="24"/>
      <c r="AKU954" s="24"/>
      <c r="AKV954" s="24"/>
      <c r="AKW954" s="24"/>
      <c r="AKX954" s="24"/>
      <c r="AKY954" s="24"/>
      <c r="AKZ954" s="24"/>
      <c r="ALA954" s="24"/>
      <c r="ALB954" s="24"/>
      <c r="ALC954" s="24"/>
      <c r="ALD954" s="24"/>
      <c r="ALE954" s="24"/>
      <c r="ALF954" s="24"/>
      <c r="ALG954" s="24"/>
      <c r="ALH954" s="24"/>
      <c r="ALI954" s="24"/>
      <c r="ALJ954" s="24"/>
      <c r="ALK954" s="24"/>
      <c r="ALL954" s="24"/>
      <c r="ALM954" s="24"/>
      <c r="ALN954" s="24"/>
      <c r="ALO954" s="24"/>
      <c r="ALP954" s="24"/>
      <c r="ALQ954" s="24"/>
      <c r="ALR954" s="24"/>
      <c r="ALS954" s="24"/>
      <c r="ALT954" s="24"/>
      <c r="ALU954" s="24"/>
      <c r="ALV954" s="24"/>
      <c r="ALW954" s="24"/>
      <c r="ALX954" s="24"/>
      <c r="ALY954" s="24"/>
      <c r="ALZ954" s="24"/>
      <c r="AMA954" s="24"/>
      <c r="AMB954" s="24"/>
      <c r="AMC954" s="24"/>
      <c r="AMD954" s="24"/>
      <c r="AME954" s="24"/>
      <c r="AMF954" s="24"/>
      <c r="AMG954" s="24"/>
      <c r="AMH954" s="24"/>
      <c r="AMI954" s="24"/>
      <c r="AMJ954" s="24"/>
      <c r="AMK954" s="24"/>
      <c r="AML954" s="24"/>
      <c r="AMM954" s="24"/>
      <c r="AMN954" s="24"/>
      <c r="AMO954" s="24"/>
      <c r="AMP954" s="24"/>
      <c r="AMQ954" s="24"/>
      <c r="AMR954" s="24"/>
      <c r="AMS954" s="24"/>
      <c r="AMT954" s="24"/>
      <c r="AMU954" s="24"/>
      <c r="AMV954" s="24"/>
      <c r="AMW954" s="24"/>
      <c r="AMX954" s="24"/>
      <c r="AMY954" s="24"/>
      <c r="AMZ954" s="24"/>
      <c r="ANA954" s="24"/>
      <c r="ANB954" s="24"/>
      <c r="ANC954" s="24"/>
      <c r="AND954" s="24"/>
      <c r="ANE954" s="24"/>
      <c r="ANF954" s="24"/>
      <c r="ANG954" s="24"/>
      <c r="ANH954" s="24"/>
      <c r="ANI954" s="24"/>
      <c r="ANJ954" s="24"/>
      <c r="ANK954" s="24"/>
      <c r="ANL954" s="24"/>
      <c r="ANM954" s="24"/>
      <c r="ANN954" s="24"/>
      <c r="ANO954" s="24"/>
      <c r="ANP954" s="24"/>
      <c r="ANQ954" s="24"/>
      <c r="ANR954" s="24"/>
      <c r="ANS954" s="24"/>
      <c r="ANT954" s="24"/>
      <c r="ANU954" s="24"/>
      <c r="ANV954" s="24"/>
      <c r="ANW954" s="24"/>
      <c r="ANX954" s="24"/>
      <c r="ANY954" s="24"/>
      <c r="ANZ954" s="24"/>
      <c r="AOA954" s="24"/>
      <c r="AOB954" s="24"/>
      <c r="AOC954" s="24"/>
      <c r="AOD954" s="24"/>
      <c r="AOE954" s="24"/>
      <c r="AOF954" s="24"/>
      <c r="AOG954" s="24"/>
      <c r="AOH954" s="24"/>
      <c r="AOI954" s="24"/>
      <c r="AOJ954" s="24"/>
      <c r="AOK954" s="24"/>
      <c r="AOL954" s="24"/>
      <c r="AOM954" s="24"/>
      <c r="AON954" s="24"/>
      <c r="AOO954" s="24"/>
      <c r="AOP954" s="24"/>
      <c r="AOQ954" s="24"/>
      <c r="AOR954" s="24"/>
      <c r="AOS954" s="24"/>
      <c r="AOT954" s="24"/>
      <c r="AOU954" s="24"/>
      <c r="AOV954" s="24"/>
      <c r="AOW954" s="24"/>
      <c r="AOX954" s="24"/>
      <c r="AOY954" s="24"/>
      <c r="AOZ954" s="24"/>
      <c r="APA954" s="24"/>
      <c r="APB954" s="24"/>
      <c r="APC954" s="24"/>
      <c r="APD954" s="24"/>
      <c r="APE954" s="24"/>
      <c r="APF954" s="24"/>
      <c r="APG954" s="24"/>
      <c r="APH954" s="24"/>
      <c r="API954" s="24"/>
      <c r="APJ954" s="24"/>
      <c r="APK954" s="24"/>
      <c r="APL954" s="24"/>
      <c r="APM954" s="24"/>
      <c r="APN954" s="24"/>
      <c r="APO954" s="24"/>
      <c r="APP954" s="24"/>
      <c r="APQ954" s="24"/>
      <c r="APR954" s="24"/>
      <c r="APS954" s="24"/>
      <c r="APT954" s="24"/>
      <c r="APU954" s="24"/>
      <c r="APV954" s="24"/>
      <c r="APW954" s="24"/>
      <c r="APX954" s="24"/>
      <c r="APY954" s="24"/>
      <c r="APZ954" s="24"/>
      <c r="AQA954" s="24"/>
      <c r="AQB954" s="24"/>
      <c r="AQC954" s="24"/>
      <c r="AQD954" s="24"/>
      <c r="AQE954" s="24"/>
      <c r="AQF954" s="24"/>
      <c r="AQG954" s="24"/>
      <c r="AQH954" s="24"/>
      <c r="AQI954" s="24"/>
      <c r="AQJ954" s="24"/>
      <c r="AQK954" s="24"/>
      <c r="AQL954" s="24"/>
      <c r="AQM954" s="24"/>
      <c r="AQN954" s="24"/>
      <c r="AQO954" s="24"/>
      <c r="AQP954" s="24"/>
      <c r="AQQ954" s="24"/>
      <c r="AQR954" s="24"/>
      <c r="AQS954" s="24"/>
      <c r="AQT954" s="24"/>
      <c r="AQU954" s="24"/>
      <c r="AQV954" s="24"/>
      <c r="AQW954" s="24"/>
      <c r="AQX954" s="24"/>
      <c r="AQY954" s="24"/>
      <c r="AQZ954" s="24"/>
      <c r="ARA954" s="24"/>
      <c r="ARB954" s="24"/>
      <c r="ARC954" s="24"/>
      <c r="ARD954" s="24"/>
      <c r="ARE954" s="24"/>
      <c r="ARF954" s="24"/>
      <c r="ARG954" s="24"/>
      <c r="ARH954" s="24"/>
      <c r="ARI954" s="24"/>
      <c r="ARJ954" s="24"/>
      <c r="ARK954" s="24"/>
      <c r="ARL954" s="24"/>
      <c r="ARM954" s="24"/>
      <c r="ARN954" s="24"/>
      <c r="ARO954" s="24"/>
      <c r="ARP954" s="24"/>
      <c r="ARQ954" s="24"/>
      <c r="ARR954" s="24"/>
      <c r="ARS954" s="24"/>
      <c r="ART954" s="24"/>
      <c r="ARU954" s="24"/>
      <c r="ARV954" s="24"/>
      <c r="ARW954" s="24"/>
      <c r="ARX954" s="24"/>
      <c r="ARY954" s="24"/>
      <c r="ARZ954" s="24"/>
      <c r="ASA954" s="24"/>
      <c r="ASB954" s="24"/>
      <c r="ASC954" s="24"/>
      <c r="ASD954" s="24"/>
      <c r="ASE954" s="24"/>
      <c r="ASF954" s="24"/>
      <c r="ASG954" s="24"/>
      <c r="ASH954" s="24"/>
      <c r="ASI954" s="24"/>
      <c r="ASJ954" s="24"/>
      <c r="ASK954" s="24"/>
      <c r="ASL954" s="24"/>
      <c r="ASM954" s="24"/>
      <c r="ASN954" s="24"/>
      <c r="ASO954" s="24"/>
      <c r="ASP954" s="24"/>
      <c r="ASQ954" s="24"/>
      <c r="ASR954" s="24"/>
      <c r="ASS954" s="24"/>
      <c r="AST954" s="24"/>
      <c r="ASU954" s="24"/>
      <c r="ASV954" s="24"/>
      <c r="ASW954" s="24"/>
      <c r="ASX954" s="24"/>
      <c r="ASY954" s="24"/>
      <c r="ASZ954" s="24"/>
      <c r="ATA954" s="24"/>
      <c r="ATB954" s="24"/>
      <c r="ATC954" s="24"/>
      <c r="ATD954" s="24"/>
      <c r="ATE954" s="24"/>
      <c r="ATF954" s="24"/>
      <c r="ATG954" s="24"/>
      <c r="ATH954" s="24"/>
      <c r="ATI954" s="24"/>
      <c r="ATJ954" s="24"/>
      <c r="ATK954" s="24"/>
      <c r="ATL954" s="24"/>
      <c r="ATM954" s="24"/>
      <c r="ATN954" s="24"/>
      <c r="ATO954" s="24"/>
      <c r="ATP954" s="24"/>
      <c r="ATQ954" s="24"/>
      <c r="ATR954" s="24"/>
      <c r="ATS954" s="24"/>
      <c r="ATT954" s="24"/>
      <c r="ATU954" s="24"/>
      <c r="ATV954" s="24"/>
      <c r="ATW954" s="24"/>
      <c r="ATX954" s="24"/>
      <c r="ATY954" s="24"/>
      <c r="ATZ954" s="24"/>
      <c r="AUA954" s="24"/>
      <c r="AUB954" s="24"/>
      <c r="AUC954" s="24"/>
      <c r="AUD954" s="24"/>
      <c r="AUE954" s="24"/>
      <c r="AUF954" s="24"/>
      <c r="AUG954" s="24"/>
      <c r="AUH954" s="24"/>
      <c r="AUI954" s="24"/>
      <c r="AUJ954" s="24"/>
      <c r="AUK954" s="24"/>
      <c r="AUL954" s="24"/>
      <c r="AUM954" s="24"/>
      <c r="AUN954" s="24"/>
      <c r="AUO954" s="24"/>
      <c r="AUP954" s="24"/>
      <c r="AUQ954" s="24"/>
      <c r="AUR954" s="24"/>
      <c r="AUS954" s="24"/>
      <c r="AUT954" s="24"/>
      <c r="AUU954" s="24"/>
      <c r="AUV954" s="24"/>
      <c r="AUW954" s="24"/>
      <c r="AUX954" s="24"/>
      <c r="AUY954" s="24"/>
      <c r="AUZ954" s="24"/>
      <c r="AVA954" s="24"/>
      <c r="AVB954" s="24"/>
      <c r="AVC954" s="24"/>
      <c r="AVD954" s="24"/>
      <c r="AVE954" s="24"/>
      <c r="AVF954" s="24"/>
      <c r="AVG954" s="24"/>
      <c r="AVH954" s="24"/>
      <c r="AVI954" s="24"/>
      <c r="AVJ954" s="24"/>
      <c r="AVK954" s="24"/>
      <c r="AVL954" s="24"/>
      <c r="AVM954" s="24"/>
      <c r="AVN954" s="24"/>
      <c r="AVO954" s="24"/>
      <c r="AVP954" s="24"/>
      <c r="AVQ954" s="24"/>
      <c r="AVR954" s="24"/>
      <c r="AVS954" s="24"/>
      <c r="AVT954" s="24"/>
      <c r="AVU954" s="24"/>
      <c r="AVV954" s="24"/>
      <c r="AVW954" s="24"/>
      <c r="AVX954" s="24"/>
      <c r="AVY954" s="24"/>
      <c r="AVZ954" s="24"/>
      <c r="AWA954" s="24"/>
      <c r="AWB954" s="24"/>
      <c r="AWC954" s="24"/>
      <c r="AWD954" s="24"/>
      <c r="AWE954" s="24"/>
      <c r="AWF954" s="24"/>
      <c r="AWG954" s="24"/>
      <c r="AWH954" s="24"/>
      <c r="AWI954" s="24"/>
      <c r="AWJ954" s="24"/>
      <c r="AWK954" s="24"/>
      <c r="AWL954" s="24"/>
      <c r="AWM954" s="24"/>
      <c r="AWN954" s="24"/>
      <c r="AWO954" s="24"/>
      <c r="AWP954" s="24"/>
      <c r="AWQ954" s="24"/>
      <c r="AWR954" s="24"/>
      <c r="AWS954" s="24"/>
      <c r="AWT954" s="24"/>
      <c r="AWU954" s="24"/>
      <c r="AWV954" s="24"/>
      <c r="AWW954" s="24"/>
      <c r="AWX954" s="24"/>
      <c r="AWY954" s="24"/>
      <c r="AWZ954" s="24"/>
      <c r="AXA954" s="24"/>
      <c r="AXB954" s="24"/>
      <c r="AXC954" s="24"/>
      <c r="AXD954" s="24"/>
      <c r="AXE954" s="24"/>
      <c r="AXF954" s="24"/>
      <c r="AXG954" s="24"/>
      <c r="AXH954" s="24"/>
      <c r="AXI954" s="24"/>
      <c r="AXJ954" s="24"/>
      <c r="AXK954" s="24"/>
      <c r="AXL954" s="24"/>
      <c r="AXM954" s="24"/>
      <c r="AXN954" s="24"/>
      <c r="AXO954" s="24"/>
      <c r="AXP954" s="24"/>
      <c r="AXQ954" s="24"/>
      <c r="AXR954" s="24"/>
      <c r="AXS954" s="24"/>
      <c r="AXT954" s="24"/>
      <c r="AXU954" s="24"/>
      <c r="AXV954" s="24"/>
      <c r="AXW954" s="24"/>
      <c r="AXX954" s="24"/>
      <c r="AXY954" s="24"/>
      <c r="AXZ954" s="24"/>
      <c r="AYA954" s="24"/>
      <c r="AYB954" s="24"/>
      <c r="AYC954" s="24"/>
      <c r="AYD954" s="24"/>
      <c r="AYE954" s="24"/>
      <c r="AYF954" s="24"/>
      <c r="AYG954" s="24"/>
      <c r="AYH954" s="24"/>
      <c r="AYI954" s="24"/>
      <c r="AYJ954" s="24"/>
      <c r="AYK954" s="24"/>
      <c r="AYL954" s="24"/>
      <c r="AYM954" s="24"/>
      <c r="AYN954" s="24"/>
      <c r="AYO954" s="24"/>
      <c r="AYP954" s="24"/>
      <c r="AYQ954" s="24"/>
      <c r="AYR954" s="24"/>
      <c r="AYS954" s="24"/>
      <c r="AYT954" s="24"/>
      <c r="AYU954" s="24"/>
      <c r="AYV954" s="24"/>
      <c r="AYW954" s="24"/>
      <c r="AYX954" s="24"/>
      <c r="AYY954" s="24"/>
      <c r="AYZ954" s="24"/>
      <c r="AZA954" s="24"/>
      <c r="AZB954" s="24"/>
      <c r="AZC954" s="24"/>
      <c r="AZD954" s="24"/>
      <c r="AZE954" s="24"/>
      <c r="AZF954" s="24"/>
      <c r="AZG954" s="24"/>
      <c r="AZH954" s="24"/>
      <c r="AZI954" s="24"/>
      <c r="AZJ954" s="24"/>
      <c r="AZK954" s="24"/>
      <c r="AZL954" s="24"/>
      <c r="AZM954" s="24"/>
      <c r="AZN954" s="24"/>
      <c r="AZO954" s="24"/>
      <c r="AZP954" s="24"/>
      <c r="AZQ954" s="24"/>
      <c r="AZR954" s="24"/>
      <c r="AZS954" s="24"/>
      <c r="AZT954" s="24"/>
      <c r="AZU954" s="24"/>
      <c r="AZV954" s="24"/>
      <c r="AZW954" s="24"/>
      <c r="AZX954" s="24"/>
      <c r="AZY954" s="24"/>
      <c r="AZZ954" s="24"/>
      <c r="BAA954" s="24"/>
      <c r="BAB954" s="24"/>
      <c r="BAC954" s="24"/>
      <c r="BAD954" s="24"/>
      <c r="BAE954" s="24"/>
      <c r="BAF954" s="24"/>
      <c r="BAG954" s="24"/>
      <c r="BAH954" s="24"/>
      <c r="BAI954" s="24"/>
      <c r="BAJ954" s="24"/>
      <c r="BAK954" s="24"/>
      <c r="BAL954" s="24"/>
      <c r="BAM954" s="24"/>
      <c r="BAN954" s="24"/>
      <c r="BAO954" s="24"/>
      <c r="BAP954" s="24"/>
      <c r="BAQ954" s="24"/>
      <c r="BAR954" s="24"/>
      <c r="BAS954" s="24"/>
      <c r="BAT954" s="24"/>
      <c r="BAU954" s="24"/>
      <c r="BAV954" s="24"/>
      <c r="BAW954" s="24"/>
      <c r="BAX954" s="24"/>
      <c r="BAY954" s="24"/>
      <c r="BAZ954" s="24"/>
      <c r="BBA954" s="24"/>
      <c r="BBB954" s="24"/>
      <c r="BBC954" s="24"/>
      <c r="BBD954" s="24"/>
      <c r="BBE954" s="24"/>
      <c r="BBF954" s="24"/>
      <c r="BBG954" s="24"/>
      <c r="BBH954" s="24"/>
      <c r="BBI954" s="24"/>
      <c r="BBJ954" s="24"/>
      <c r="BBK954" s="24"/>
      <c r="BBL954" s="24"/>
      <c r="BBM954" s="24"/>
      <c r="BBN954" s="24"/>
      <c r="BBO954" s="24"/>
      <c r="BBP954" s="24"/>
      <c r="BBQ954" s="24"/>
      <c r="BBR954" s="24"/>
      <c r="BBS954" s="24"/>
      <c r="BBT954" s="24"/>
      <c r="BBU954" s="24"/>
      <c r="BBV954" s="24"/>
      <c r="BBW954" s="24"/>
      <c r="BBX954" s="24"/>
      <c r="BBY954" s="24"/>
      <c r="BBZ954" s="24"/>
      <c r="BCA954" s="24"/>
      <c r="BCB954" s="24"/>
      <c r="BCC954" s="24"/>
      <c r="BCD954" s="24"/>
      <c r="BCE954" s="24"/>
      <c r="BCF954" s="24"/>
      <c r="BCG954" s="24"/>
      <c r="BCH954" s="24"/>
      <c r="BCI954" s="24"/>
      <c r="BCJ954" s="24"/>
      <c r="BCK954" s="24"/>
      <c r="BCL954" s="24"/>
      <c r="BCM954" s="24"/>
      <c r="BCN954" s="24"/>
      <c r="BCO954" s="24"/>
      <c r="BCP954" s="24"/>
      <c r="BCQ954" s="24"/>
      <c r="BCR954" s="24"/>
      <c r="BCS954" s="24"/>
      <c r="BCT954" s="24"/>
      <c r="BCU954" s="24"/>
      <c r="BCV954" s="24"/>
      <c r="BCW954" s="24"/>
      <c r="BCX954" s="24"/>
      <c r="BCY954" s="24"/>
      <c r="BCZ954" s="24"/>
      <c r="BDA954" s="24"/>
      <c r="BDB954" s="24"/>
      <c r="BDC954" s="24"/>
      <c r="BDD954" s="24"/>
      <c r="BDE954" s="24"/>
      <c r="BDF954" s="24"/>
      <c r="BDG954" s="24"/>
      <c r="BDH954" s="24"/>
      <c r="BDI954" s="24"/>
      <c r="BDJ954" s="24"/>
      <c r="BDK954" s="24"/>
      <c r="BDL954" s="24"/>
      <c r="BDM954" s="24"/>
      <c r="BDN954" s="24"/>
      <c r="BDO954" s="24"/>
      <c r="BDP954" s="24"/>
      <c r="BDQ954" s="24"/>
      <c r="BDR954" s="24"/>
      <c r="BDS954" s="24"/>
      <c r="BDT954" s="24"/>
      <c r="BDU954" s="24"/>
      <c r="BDV954" s="24"/>
      <c r="BDW954" s="24"/>
      <c r="BDX954" s="24"/>
      <c r="BDY954" s="24"/>
      <c r="BDZ954" s="24"/>
      <c r="BEA954" s="24"/>
      <c r="BEB954" s="24"/>
      <c r="BEC954" s="24"/>
      <c r="BED954" s="24"/>
      <c r="BEE954" s="24"/>
      <c r="BEF954" s="24"/>
      <c r="BEG954" s="24"/>
      <c r="BEH954" s="24"/>
      <c r="BEI954" s="24"/>
      <c r="BEJ954" s="24"/>
      <c r="BEK954" s="24"/>
      <c r="BEL954" s="24"/>
      <c r="BEM954" s="24"/>
      <c r="BEN954" s="24"/>
      <c r="BEO954" s="24"/>
      <c r="BEP954" s="24"/>
      <c r="BEQ954" s="24"/>
      <c r="BER954" s="24"/>
      <c r="BES954" s="24"/>
      <c r="BET954" s="24"/>
      <c r="BEU954" s="24"/>
      <c r="BEV954" s="24"/>
      <c r="BEW954" s="24"/>
      <c r="BEX954" s="24"/>
      <c r="BEY954" s="24"/>
      <c r="BEZ954" s="24"/>
      <c r="BFA954" s="24"/>
      <c r="BFB954" s="24"/>
      <c r="BFC954" s="24"/>
      <c r="BFD954" s="24"/>
      <c r="BFE954" s="24"/>
      <c r="BFF954" s="24"/>
      <c r="BFG954" s="24"/>
      <c r="BFH954" s="24"/>
      <c r="BFI954" s="24"/>
      <c r="BFJ954" s="24"/>
      <c r="BFK954" s="24"/>
      <c r="BFL954" s="24"/>
      <c r="BFM954" s="24"/>
      <c r="BFN954" s="24"/>
      <c r="BFO954" s="24"/>
      <c r="BFP954" s="24"/>
      <c r="BFQ954" s="24"/>
      <c r="BFR954" s="24"/>
      <c r="BFS954" s="24"/>
      <c r="BFT954" s="24"/>
      <c r="BFU954" s="24"/>
      <c r="BFV954" s="24"/>
      <c r="BFW954" s="24"/>
      <c r="BFX954" s="24"/>
      <c r="BFY954" s="24"/>
      <c r="BFZ954" s="24"/>
      <c r="BGA954" s="24"/>
      <c r="BGB954" s="24"/>
      <c r="BGC954" s="24"/>
      <c r="BGD954" s="24"/>
      <c r="BGE954" s="24"/>
      <c r="BGF954" s="24"/>
      <c r="BGG954" s="24"/>
      <c r="BGH954" s="24"/>
      <c r="BGI954" s="24"/>
      <c r="BGJ954" s="24"/>
      <c r="BGK954" s="24"/>
      <c r="BGL954" s="24"/>
      <c r="BGM954" s="24"/>
      <c r="BGN954" s="24"/>
      <c r="BGO954" s="24"/>
      <c r="BGP954" s="24"/>
      <c r="BGQ954" s="24"/>
      <c r="BGR954" s="24"/>
      <c r="BGS954" s="24"/>
      <c r="BGT954" s="24"/>
      <c r="BGU954" s="24"/>
      <c r="BGV954" s="24"/>
      <c r="BGW954" s="24"/>
      <c r="BGX954" s="24"/>
      <c r="BGY954" s="24"/>
      <c r="BGZ954" s="24"/>
      <c r="BHA954" s="24"/>
      <c r="BHB954" s="24"/>
      <c r="BHC954" s="24"/>
      <c r="BHD954" s="24"/>
      <c r="BHE954" s="24"/>
      <c r="BHF954" s="24"/>
      <c r="BHG954" s="24"/>
      <c r="BHH954" s="24"/>
      <c r="BHI954" s="24"/>
      <c r="BHJ954" s="24"/>
      <c r="BHK954" s="24"/>
      <c r="BHL954" s="24"/>
      <c r="BHM954" s="24"/>
      <c r="BHN954" s="24"/>
      <c r="BHO954" s="24"/>
      <c r="BHP954" s="24"/>
      <c r="BHQ954" s="24"/>
      <c r="BHR954" s="24"/>
      <c r="BHS954" s="24"/>
      <c r="BHT954" s="24"/>
      <c r="BHU954" s="24"/>
      <c r="BHV954" s="24"/>
      <c r="BHW954" s="24"/>
      <c r="BHX954" s="24"/>
      <c r="BHY954" s="24"/>
      <c r="BHZ954" s="24"/>
      <c r="BIA954" s="24"/>
      <c r="BIB954" s="24"/>
      <c r="BIC954" s="24"/>
      <c r="BID954" s="24"/>
      <c r="BIE954" s="24"/>
      <c r="BIF954" s="24"/>
      <c r="BIG954" s="24"/>
      <c r="BIH954" s="24"/>
      <c r="BII954" s="24"/>
      <c r="BIJ954" s="24"/>
      <c r="BIK954" s="24"/>
      <c r="BIL954" s="24"/>
      <c r="BIM954" s="24"/>
      <c r="BIN954" s="24"/>
      <c r="BIO954" s="24"/>
      <c r="BIP954" s="24"/>
      <c r="BIQ954" s="24"/>
      <c r="BIR954" s="24"/>
      <c r="BIS954" s="24"/>
      <c r="BIT954" s="24"/>
      <c r="BIU954" s="24"/>
      <c r="BIV954" s="24"/>
      <c r="BIW954" s="24"/>
      <c r="BIX954" s="24"/>
      <c r="BIY954" s="24"/>
      <c r="BIZ954" s="24"/>
      <c r="BJA954" s="24"/>
      <c r="BJB954" s="24"/>
      <c r="BJC954" s="24"/>
      <c r="BJD954" s="24"/>
      <c r="BJE954" s="24"/>
      <c r="BJF954" s="24"/>
      <c r="BJG954" s="24"/>
      <c r="BJH954" s="24"/>
      <c r="BJI954" s="24"/>
      <c r="BJJ954" s="24"/>
      <c r="BJK954" s="24"/>
      <c r="BJL954" s="24"/>
      <c r="BJM954" s="24"/>
      <c r="BJN954" s="24"/>
      <c r="BJO954" s="24"/>
      <c r="BJP954" s="24"/>
      <c r="BJQ954" s="24"/>
      <c r="BJR954" s="24"/>
      <c r="BJS954" s="24"/>
      <c r="BJT954" s="24"/>
      <c r="BJU954" s="24"/>
      <c r="BJV954" s="24"/>
      <c r="BJW954" s="24"/>
      <c r="BJX954" s="24"/>
      <c r="BJY954" s="24"/>
      <c r="BJZ954" s="24"/>
      <c r="BKA954" s="24"/>
      <c r="BKB954" s="24"/>
      <c r="BKC954" s="24"/>
      <c r="BKD954" s="24"/>
      <c r="BKE954" s="24"/>
      <c r="BKF954" s="24"/>
      <c r="BKG954" s="24"/>
      <c r="BKH954" s="24"/>
      <c r="BKI954" s="24"/>
      <c r="BKJ954" s="24"/>
      <c r="BKK954" s="24"/>
      <c r="BKL954" s="24"/>
      <c r="BKM954" s="24"/>
      <c r="BKN954" s="24"/>
      <c r="BKO954" s="24"/>
      <c r="BKP954" s="24"/>
      <c r="BKQ954" s="24"/>
      <c r="BKR954" s="24"/>
      <c r="BKS954" s="24"/>
      <c r="BKT954" s="24"/>
      <c r="BKU954" s="24"/>
      <c r="BKV954" s="24"/>
      <c r="BKW954" s="24"/>
      <c r="BKX954" s="24"/>
      <c r="BKY954" s="24"/>
      <c r="BKZ954" s="24"/>
      <c r="BLA954" s="24"/>
      <c r="BLB954" s="24"/>
      <c r="BLC954" s="24"/>
      <c r="BLD954" s="24"/>
      <c r="BLE954" s="24"/>
      <c r="BLF954" s="24"/>
      <c r="BLG954" s="24"/>
      <c r="BLH954" s="24"/>
      <c r="BLI954" s="24"/>
      <c r="BLJ954" s="24"/>
      <c r="BLK954" s="24"/>
      <c r="BLL954" s="24"/>
      <c r="BLM954" s="24"/>
      <c r="BLN954" s="24"/>
      <c r="BLO954" s="24"/>
      <c r="BLP954" s="24"/>
      <c r="BLQ954" s="24"/>
      <c r="BLR954" s="24"/>
      <c r="BLS954" s="24"/>
      <c r="BLT954" s="24"/>
      <c r="BLU954" s="24"/>
      <c r="BLV954" s="24"/>
      <c r="BLW954" s="24"/>
      <c r="BLX954" s="24"/>
      <c r="BLY954" s="24"/>
      <c r="BLZ954" s="24"/>
      <c r="BMA954" s="24"/>
      <c r="BMB954" s="24"/>
      <c r="BMC954" s="24"/>
      <c r="BMD954" s="24"/>
      <c r="BME954" s="24"/>
      <c r="BMF954" s="24"/>
      <c r="BMG954" s="24"/>
      <c r="BMH954" s="24"/>
      <c r="BMI954" s="24"/>
      <c r="BMJ954" s="24"/>
      <c r="BMK954" s="24"/>
      <c r="BML954" s="24"/>
      <c r="BMM954" s="24"/>
      <c r="BMN954" s="24"/>
      <c r="BMO954" s="24"/>
      <c r="BMP954" s="24"/>
      <c r="BMQ954" s="24"/>
      <c r="BMR954" s="24"/>
      <c r="BMS954" s="24"/>
      <c r="BMT954" s="24"/>
      <c r="BMU954" s="24"/>
      <c r="BMV954" s="24"/>
      <c r="BMW954" s="24"/>
      <c r="BMX954" s="24"/>
      <c r="BMY954" s="24"/>
      <c r="BMZ954" s="24"/>
      <c r="BNA954" s="24"/>
      <c r="BNB954" s="24"/>
      <c r="BNC954" s="24"/>
      <c r="BND954" s="24"/>
      <c r="BNE954" s="24"/>
      <c r="BNF954" s="24"/>
      <c r="BNG954" s="24"/>
      <c r="BNH954" s="24"/>
      <c r="BNI954" s="24"/>
      <c r="BNJ954" s="24"/>
      <c r="BNK954" s="24"/>
      <c r="BNL954" s="24"/>
      <c r="BNM954" s="24"/>
      <c r="BNN954" s="24"/>
      <c r="BNO954" s="24"/>
      <c r="BNP954" s="24"/>
      <c r="BNQ954" s="24"/>
      <c r="BNR954" s="24"/>
      <c r="BNS954" s="24"/>
      <c r="BNT954" s="24"/>
      <c r="BNU954" s="24"/>
      <c r="BNV954" s="24"/>
      <c r="BNW954" s="24"/>
      <c r="BNX954" s="24"/>
      <c r="BNY954" s="24"/>
      <c r="BNZ954" s="24"/>
      <c r="BOA954" s="24"/>
      <c r="BOB954" s="24"/>
      <c r="BOC954" s="24"/>
      <c r="BOD954" s="24"/>
      <c r="BOE954" s="24"/>
      <c r="BOF954" s="24"/>
      <c r="BOG954" s="24"/>
      <c r="BOH954" s="24"/>
      <c r="BOI954" s="24"/>
      <c r="BOJ954" s="24"/>
      <c r="BOK954" s="24"/>
      <c r="BOL954" s="24"/>
      <c r="BOM954" s="24"/>
      <c r="BON954" s="24"/>
      <c r="BOO954" s="24"/>
      <c r="BOP954" s="24"/>
      <c r="BOQ954" s="24"/>
      <c r="BOR954" s="24"/>
      <c r="BOS954" s="24"/>
      <c r="BOT954" s="24"/>
      <c r="BOU954" s="24"/>
      <c r="BOV954" s="24"/>
      <c r="BOW954" s="24"/>
      <c r="BOX954" s="24"/>
      <c r="BOY954" s="24"/>
      <c r="BOZ954" s="24"/>
      <c r="BPA954" s="24"/>
      <c r="BPB954" s="24"/>
      <c r="BPC954" s="24"/>
      <c r="BPD954" s="24"/>
      <c r="BPE954" s="24"/>
      <c r="BPF954" s="24"/>
      <c r="BPG954" s="24"/>
      <c r="BPH954" s="24"/>
      <c r="BPI954" s="24"/>
      <c r="BPJ954" s="24"/>
      <c r="BPK954" s="24"/>
      <c r="BPL954" s="24"/>
      <c r="BPM954" s="24"/>
      <c r="BPN954" s="24"/>
      <c r="BPO954" s="24"/>
      <c r="BPP954" s="24"/>
      <c r="BPQ954" s="24"/>
      <c r="BPR954" s="24"/>
      <c r="BPS954" s="24"/>
      <c r="BPT954" s="24"/>
      <c r="BPU954" s="24"/>
      <c r="BPV954" s="24"/>
      <c r="BPW954" s="24"/>
      <c r="BPX954" s="24"/>
      <c r="BPY954" s="24"/>
      <c r="BPZ954" s="24"/>
      <c r="BQA954" s="24"/>
      <c r="BQB954" s="24"/>
      <c r="BQC954" s="24"/>
      <c r="BQD954" s="24"/>
      <c r="BQE954" s="24"/>
      <c r="BQF954" s="24"/>
      <c r="BQG954" s="24"/>
      <c r="BQH954" s="24"/>
      <c r="BQI954" s="24"/>
      <c r="BQJ954" s="24"/>
      <c r="BQK954" s="24"/>
      <c r="BQL954" s="24"/>
      <c r="BQM954" s="24"/>
      <c r="BQN954" s="24"/>
      <c r="BQO954" s="24"/>
      <c r="BQP954" s="24"/>
      <c r="BQQ954" s="24"/>
      <c r="BQR954" s="24"/>
      <c r="BQS954" s="24"/>
      <c r="BQT954" s="24"/>
      <c r="BQU954" s="24"/>
      <c r="BQV954" s="24"/>
      <c r="BQW954" s="24"/>
      <c r="BQX954" s="24"/>
      <c r="BQY954" s="24"/>
      <c r="BQZ954" s="24"/>
      <c r="BRA954" s="24"/>
      <c r="BRB954" s="24"/>
      <c r="BRC954" s="24"/>
      <c r="BRD954" s="24"/>
      <c r="BRE954" s="24"/>
      <c r="BRF954" s="24"/>
      <c r="BRG954" s="24"/>
      <c r="BRH954" s="24"/>
      <c r="BRI954" s="24"/>
      <c r="BRJ954" s="24"/>
      <c r="BRK954" s="24"/>
      <c r="BRL954" s="24"/>
      <c r="BRM954" s="24"/>
      <c r="BRN954" s="24"/>
      <c r="BRO954" s="24"/>
      <c r="BRP954" s="24"/>
      <c r="BRQ954" s="24"/>
      <c r="BRR954" s="24"/>
      <c r="BRS954" s="24"/>
      <c r="BRT954" s="24"/>
      <c r="BRU954" s="24"/>
      <c r="BRV954" s="24"/>
      <c r="BRW954" s="24"/>
      <c r="BRX954" s="24"/>
      <c r="BRY954" s="24"/>
      <c r="BRZ954" s="24"/>
      <c r="BSA954" s="24"/>
      <c r="BSB954" s="24"/>
      <c r="BSC954" s="24"/>
      <c r="BSD954" s="24"/>
      <c r="BSE954" s="24"/>
      <c r="BSF954" s="24"/>
      <c r="BSG954" s="24"/>
      <c r="BSH954" s="24"/>
      <c r="BSI954" s="24"/>
      <c r="BSJ954" s="24"/>
      <c r="BSK954" s="24"/>
      <c r="BSL954" s="24"/>
      <c r="BSM954" s="24"/>
      <c r="BSN954" s="24"/>
      <c r="BSO954" s="24"/>
      <c r="BSP954" s="24"/>
      <c r="BSQ954" s="24"/>
      <c r="BSR954" s="24"/>
      <c r="BSS954" s="24"/>
      <c r="BST954" s="24"/>
      <c r="BSU954" s="24"/>
      <c r="BSV954" s="24"/>
      <c r="BSW954" s="24"/>
      <c r="BSX954" s="24"/>
      <c r="BSY954" s="24"/>
      <c r="BSZ954" s="24"/>
      <c r="BTA954" s="24"/>
      <c r="BTB954" s="24"/>
      <c r="BTC954" s="24"/>
      <c r="BTD954" s="24"/>
      <c r="BTE954" s="24"/>
      <c r="BTF954" s="24"/>
      <c r="BTG954" s="24"/>
      <c r="BTH954" s="24"/>
      <c r="BTI954" s="24"/>
      <c r="BTJ954" s="24"/>
      <c r="BTK954" s="24"/>
      <c r="BTL954" s="24"/>
      <c r="BTM954" s="24"/>
      <c r="BTN954" s="24"/>
      <c r="BTO954" s="24"/>
      <c r="BTP954" s="24"/>
      <c r="BTQ954" s="24"/>
      <c r="BTR954" s="24"/>
      <c r="BTS954" s="24"/>
      <c r="BTT954" s="24"/>
      <c r="BTU954" s="24"/>
      <c r="BTV954" s="24"/>
      <c r="BTW954" s="24"/>
      <c r="BTX954" s="24"/>
      <c r="BTY954" s="24"/>
      <c r="BTZ954" s="24"/>
      <c r="BUA954" s="24"/>
      <c r="BUB954" s="24"/>
      <c r="BUC954" s="24"/>
      <c r="BUD954" s="24"/>
      <c r="BUE954" s="24"/>
      <c r="BUF954" s="24"/>
      <c r="BUG954" s="24"/>
      <c r="BUH954" s="24"/>
      <c r="BUI954" s="24"/>
      <c r="BUJ954" s="24"/>
      <c r="BUK954" s="24"/>
      <c r="BUL954" s="24"/>
      <c r="BUM954" s="24"/>
      <c r="BUN954" s="24"/>
      <c r="BUO954" s="24"/>
      <c r="BUP954" s="24"/>
      <c r="BUQ954" s="24"/>
      <c r="BUR954" s="24"/>
      <c r="BUS954" s="24"/>
      <c r="BUT954" s="24"/>
      <c r="BUU954" s="24"/>
      <c r="BUV954" s="24"/>
      <c r="BUW954" s="24"/>
      <c r="BUX954" s="24"/>
      <c r="BUY954" s="24"/>
      <c r="BUZ954" s="24"/>
      <c r="BVA954" s="24"/>
      <c r="BVB954" s="24"/>
      <c r="BVC954" s="24"/>
      <c r="BVD954" s="24"/>
      <c r="BVE954" s="24"/>
      <c r="BVF954" s="24"/>
      <c r="BVG954" s="24"/>
      <c r="BVH954" s="24"/>
      <c r="BVI954" s="24"/>
      <c r="BVJ954" s="24"/>
      <c r="BVK954" s="24"/>
      <c r="BVL954" s="24"/>
      <c r="BVM954" s="24"/>
      <c r="BVN954" s="24"/>
      <c r="BVO954" s="24"/>
      <c r="BVP954" s="24"/>
      <c r="BVQ954" s="24"/>
      <c r="BVR954" s="24"/>
      <c r="BVS954" s="24"/>
      <c r="BVT954" s="24"/>
      <c r="BVU954" s="24"/>
      <c r="BVV954" s="24"/>
      <c r="BVW954" s="24"/>
      <c r="BVX954" s="24"/>
      <c r="BVY954" s="24"/>
      <c r="BVZ954" s="24"/>
      <c r="BWA954" s="24"/>
      <c r="BWB954" s="24"/>
      <c r="BWC954" s="24"/>
      <c r="BWD954" s="24"/>
      <c r="BWE954" s="24"/>
      <c r="BWF954" s="24"/>
      <c r="BWG954" s="24"/>
      <c r="BWH954" s="24"/>
      <c r="BWI954" s="24"/>
      <c r="BWJ954" s="24"/>
      <c r="BWK954" s="24"/>
      <c r="BWL954" s="24"/>
      <c r="BWM954" s="24"/>
      <c r="BWN954" s="24"/>
      <c r="BWO954" s="24"/>
      <c r="BWP954" s="24"/>
      <c r="BWQ954" s="24"/>
      <c r="BWR954" s="24"/>
      <c r="BWS954" s="24"/>
      <c r="BWT954" s="24"/>
      <c r="BWU954" s="24"/>
      <c r="BWV954" s="24"/>
      <c r="BWW954" s="24"/>
      <c r="BWX954" s="24"/>
      <c r="BWY954" s="24"/>
      <c r="BWZ954" s="24"/>
      <c r="BXA954" s="24"/>
      <c r="BXB954" s="24"/>
      <c r="BXC954" s="24"/>
      <c r="BXD954" s="24"/>
      <c r="BXE954" s="24"/>
      <c r="BXF954" s="24"/>
      <c r="BXG954" s="24"/>
      <c r="BXH954" s="24"/>
      <c r="BXI954" s="24"/>
      <c r="BXJ954" s="24"/>
      <c r="BXK954" s="24"/>
      <c r="BXL954" s="24"/>
      <c r="BXM954" s="24"/>
      <c r="BXN954" s="24"/>
      <c r="BXO954" s="24"/>
      <c r="BXP954" s="24"/>
      <c r="BXQ954" s="24"/>
      <c r="BXR954" s="24"/>
      <c r="BXS954" s="24"/>
      <c r="BXT954" s="24"/>
      <c r="BXU954" s="24"/>
      <c r="BXV954" s="24"/>
      <c r="BXW954" s="24"/>
      <c r="BXX954" s="24"/>
      <c r="BXY954" s="24"/>
      <c r="BXZ954" s="24"/>
      <c r="BYA954" s="24"/>
      <c r="BYB954" s="24"/>
      <c r="BYC954" s="24"/>
      <c r="BYD954" s="24"/>
      <c r="BYE954" s="24"/>
      <c r="BYF954" s="24"/>
      <c r="BYG954" s="24"/>
      <c r="BYH954" s="24"/>
      <c r="BYI954" s="24"/>
      <c r="BYJ954" s="24"/>
      <c r="BYK954" s="24"/>
      <c r="BYL954" s="24"/>
      <c r="BYM954" s="24"/>
      <c r="BYN954" s="24"/>
      <c r="BYO954" s="24"/>
      <c r="BYP954" s="24"/>
      <c r="BYQ954" s="24"/>
      <c r="BYR954" s="24"/>
      <c r="BYS954" s="24"/>
      <c r="BYT954" s="24"/>
      <c r="BYU954" s="24"/>
      <c r="BYV954" s="24"/>
      <c r="BYW954" s="24"/>
      <c r="BYX954" s="24"/>
      <c r="BYY954" s="24"/>
      <c r="BYZ954" s="24"/>
      <c r="BZA954" s="24"/>
      <c r="BZB954" s="24"/>
      <c r="BZC954" s="24"/>
      <c r="BZD954" s="24"/>
      <c r="BZE954" s="24"/>
      <c r="BZF954" s="24"/>
      <c r="BZG954" s="24"/>
      <c r="BZH954" s="24"/>
      <c r="BZI954" s="24"/>
      <c r="BZJ954" s="24"/>
      <c r="BZK954" s="24"/>
      <c r="BZL954" s="24"/>
      <c r="BZM954" s="24"/>
      <c r="BZN954" s="24"/>
      <c r="BZO954" s="24"/>
      <c r="BZP954" s="24"/>
      <c r="BZQ954" s="24"/>
      <c r="BZR954" s="24"/>
      <c r="BZS954" s="24"/>
      <c r="BZT954" s="24"/>
      <c r="BZU954" s="24"/>
      <c r="BZV954" s="24"/>
      <c r="BZW954" s="24"/>
      <c r="BZX954" s="24"/>
      <c r="BZY954" s="24"/>
      <c r="BZZ954" s="24"/>
      <c r="CAA954" s="24"/>
      <c r="CAB954" s="24"/>
      <c r="CAC954" s="24"/>
      <c r="CAD954" s="24"/>
      <c r="CAE954" s="24"/>
      <c r="CAF954" s="24"/>
      <c r="CAG954" s="24"/>
      <c r="CAH954" s="24"/>
      <c r="CAI954" s="24"/>
      <c r="CAJ954" s="24"/>
      <c r="CAK954" s="24"/>
      <c r="CAL954" s="24"/>
      <c r="CAM954" s="24"/>
      <c r="CAN954" s="24"/>
      <c r="CAO954" s="24"/>
      <c r="CAP954" s="24"/>
      <c r="CAQ954" s="24"/>
      <c r="CAR954" s="24"/>
      <c r="CAS954" s="24"/>
      <c r="CAT954" s="24"/>
      <c r="CAU954" s="24"/>
      <c r="CAV954" s="24"/>
      <c r="CAW954" s="24"/>
      <c r="CAX954" s="24"/>
      <c r="CAY954" s="24"/>
      <c r="CAZ954" s="24"/>
      <c r="CBA954" s="24"/>
      <c r="CBB954" s="24"/>
      <c r="CBC954" s="24"/>
      <c r="CBD954" s="24"/>
      <c r="CBE954" s="24"/>
      <c r="CBF954" s="24"/>
      <c r="CBG954" s="24"/>
      <c r="CBH954" s="24"/>
      <c r="CBI954" s="24"/>
      <c r="CBJ954" s="24"/>
      <c r="CBK954" s="24"/>
      <c r="CBL954" s="24"/>
      <c r="CBM954" s="24"/>
      <c r="CBN954" s="24"/>
      <c r="CBO954" s="24"/>
      <c r="CBP954" s="24"/>
      <c r="CBQ954" s="24"/>
      <c r="CBR954" s="24"/>
      <c r="CBS954" s="24"/>
      <c r="CBT954" s="24"/>
      <c r="CBU954" s="24"/>
      <c r="CBV954" s="24"/>
      <c r="CBW954" s="24"/>
      <c r="CBX954" s="24"/>
      <c r="CBY954" s="24"/>
      <c r="CBZ954" s="24"/>
      <c r="CCA954" s="24"/>
      <c r="CCB954" s="24"/>
      <c r="CCC954" s="24"/>
      <c r="CCD954" s="24"/>
      <c r="CCE954" s="24"/>
      <c r="CCF954" s="24"/>
      <c r="CCG954" s="24"/>
      <c r="CCH954" s="24"/>
      <c r="CCI954" s="24"/>
      <c r="CCJ954" s="24"/>
      <c r="CCK954" s="24"/>
      <c r="CCL954" s="24"/>
      <c r="CCM954" s="24"/>
      <c r="CCN954" s="24"/>
      <c r="CCO954" s="24"/>
      <c r="CCP954" s="24"/>
      <c r="CCQ954" s="24"/>
      <c r="CCR954" s="24"/>
      <c r="CCS954" s="24"/>
      <c r="CCT954" s="24"/>
      <c r="CCU954" s="24"/>
      <c r="CCV954" s="24"/>
      <c r="CCW954" s="24"/>
      <c r="CCX954" s="24"/>
      <c r="CCY954" s="24"/>
      <c r="CCZ954" s="24"/>
      <c r="CDA954" s="24"/>
      <c r="CDB954" s="24"/>
      <c r="CDC954" s="24"/>
      <c r="CDD954" s="24"/>
      <c r="CDE954" s="24"/>
      <c r="CDF954" s="24"/>
      <c r="CDG954" s="24"/>
      <c r="CDH954" s="24"/>
      <c r="CDI954" s="24"/>
      <c r="CDJ954" s="24"/>
      <c r="CDK954" s="24"/>
      <c r="CDL954" s="24"/>
      <c r="CDM954" s="24"/>
      <c r="CDN954" s="24"/>
      <c r="CDO954" s="24"/>
      <c r="CDP954" s="24"/>
      <c r="CDQ954" s="24"/>
      <c r="CDR954" s="24"/>
      <c r="CDS954" s="24"/>
      <c r="CDT954" s="24"/>
      <c r="CDU954" s="24"/>
      <c r="CDV954" s="24"/>
      <c r="CDW954" s="24"/>
      <c r="CDX954" s="24"/>
      <c r="CDY954" s="24"/>
      <c r="CDZ954" s="24"/>
      <c r="CEA954" s="24"/>
      <c r="CEB954" s="24"/>
      <c r="CEC954" s="24"/>
      <c r="CED954" s="24"/>
      <c r="CEE954" s="24"/>
      <c r="CEF954" s="24"/>
      <c r="CEG954" s="24"/>
      <c r="CEH954" s="24"/>
      <c r="CEI954" s="24"/>
      <c r="CEJ954" s="24"/>
      <c r="CEK954" s="24"/>
      <c r="CEL954" s="24"/>
      <c r="CEM954" s="24"/>
      <c r="CEN954" s="24"/>
      <c r="CEO954" s="24"/>
      <c r="CEP954" s="24"/>
      <c r="CEQ954" s="24"/>
      <c r="CER954" s="24"/>
      <c r="CES954" s="24"/>
      <c r="CET954" s="24"/>
      <c r="CEU954" s="24"/>
      <c r="CEV954" s="24"/>
      <c r="CEW954" s="24"/>
      <c r="CEX954" s="24"/>
      <c r="CEY954" s="24"/>
      <c r="CEZ954" s="24"/>
      <c r="CFA954" s="24"/>
      <c r="CFB954" s="24"/>
      <c r="CFC954" s="24"/>
      <c r="CFD954" s="24"/>
      <c r="CFE954" s="24"/>
      <c r="CFF954" s="24"/>
      <c r="CFG954" s="24"/>
      <c r="CFH954" s="24"/>
      <c r="CFI954" s="24"/>
      <c r="CFJ954" s="24"/>
      <c r="CFK954" s="24"/>
      <c r="CFL954" s="24"/>
      <c r="CFM954" s="24"/>
      <c r="CFN954" s="24"/>
      <c r="CFO954" s="24"/>
      <c r="CFP954" s="24"/>
      <c r="CFQ954" s="24"/>
      <c r="CFR954" s="24"/>
      <c r="CFS954" s="24"/>
      <c r="CFT954" s="24"/>
      <c r="CFU954" s="24"/>
      <c r="CFV954" s="24"/>
      <c r="CFW954" s="24"/>
      <c r="CFX954" s="24"/>
      <c r="CFY954" s="24"/>
      <c r="CFZ954" s="24"/>
      <c r="CGA954" s="24"/>
      <c r="CGB954" s="24"/>
      <c r="CGC954" s="24"/>
      <c r="CGD954" s="24"/>
      <c r="CGE954" s="24"/>
      <c r="CGF954" s="24"/>
      <c r="CGG954" s="24"/>
      <c r="CGH954" s="24"/>
      <c r="CGI954" s="24"/>
      <c r="CGJ954" s="24"/>
      <c r="CGK954" s="24"/>
      <c r="CGL954" s="24"/>
      <c r="CGM954" s="24"/>
      <c r="CGN954" s="24"/>
      <c r="CGO954" s="24"/>
      <c r="CGP954" s="24"/>
      <c r="CGQ954" s="24"/>
      <c r="CGR954" s="24"/>
      <c r="CGS954" s="24"/>
      <c r="CGT954" s="24"/>
      <c r="CGU954" s="24"/>
      <c r="CGV954" s="24"/>
      <c r="CGW954" s="24"/>
      <c r="CGX954" s="24"/>
      <c r="CGY954" s="24"/>
      <c r="CGZ954" s="24"/>
      <c r="CHA954" s="24"/>
      <c r="CHB954" s="24"/>
      <c r="CHC954" s="24"/>
      <c r="CHD954" s="24"/>
      <c r="CHE954" s="24"/>
      <c r="CHF954" s="24"/>
      <c r="CHG954" s="24"/>
      <c r="CHH954" s="24"/>
      <c r="CHI954" s="24"/>
      <c r="CHJ954" s="24"/>
      <c r="CHK954" s="24"/>
      <c r="CHL954" s="24"/>
      <c r="CHM954" s="24"/>
      <c r="CHN954" s="24"/>
      <c r="CHO954" s="24"/>
      <c r="CHP954" s="24"/>
      <c r="CHQ954" s="24"/>
      <c r="CHR954" s="24"/>
      <c r="CHS954" s="24"/>
      <c r="CHT954" s="24"/>
      <c r="CHU954" s="24"/>
      <c r="CHV954" s="24"/>
      <c r="CHW954" s="24"/>
      <c r="CHX954" s="24"/>
      <c r="CHY954" s="24"/>
      <c r="CHZ954" s="24"/>
      <c r="CIA954" s="24"/>
      <c r="CIB954" s="24"/>
      <c r="CIC954" s="24"/>
      <c r="CID954" s="24"/>
      <c r="CIE954" s="24"/>
      <c r="CIF954" s="24"/>
      <c r="CIG954" s="24"/>
      <c r="CIH954" s="24"/>
      <c r="CII954" s="24"/>
      <c r="CIJ954" s="24"/>
      <c r="CIK954" s="24"/>
      <c r="CIL954" s="24"/>
      <c r="CIM954" s="24"/>
      <c r="CIN954" s="24"/>
      <c r="CIO954" s="24"/>
      <c r="CIP954" s="24"/>
      <c r="CIQ954" s="24"/>
      <c r="CIR954" s="24"/>
      <c r="CIS954" s="24"/>
      <c r="CIT954" s="24"/>
      <c r="CIU954" s="24"/>
      <c r="CIV954" s="24"/>
      <c r="CIW954" s="24"/>
      <c r="CIX954" s="24"/>
      <c r="CIY954" s="24"/>
      <c r="CIZ954" s="24"/>
      <c r="CJA954" s="24"/>
      <c r="CJB954" s="24"/>
      <c r="CJC954" s="24"/>
      <c r="CJD954" s="24"/>
      <c r="CJE954" s="24"/>
      <c r="CJF954" s="24"/>
      <c r="CJG954" s="24"/>
      <c r="CJH954" s="24"/>
      <c r="CJI954" s="24"/>
      <c r="CJJ954" s="24"/>
      <c r="CJK954" s="24"/>
      <c r="CJL954" s="24"/>
      <c r="CJM954" s="24"/>
      <c r="CJN954" s="24"/>
      <c r="CJO954" s="24"/>
      <c r="CJP954" s="24"/>
      <c r="CJQ954" s="24"/>
      <c r="CJR954" s="24"/>
      <c r="CJS954" s="24"/>
      <c r="CJT954" s="24"/>
      <c r="CJU954" s="24"/>
      <c r="CJV954" s="24"/>
      <c r="CJW954" s="24"/>
      <c r="CJX954" s="24"/>
      <c r="CJY954" s="24"/>
      <c r="CJZ954" s="24"/>
      <c r="CKA954" s="24"/>
      <c r="CKB954" s="24"/>
      <c r="CKC954" s="24"/>
      <c r="CKD954" s="24"/>
      <c r="CKE954" s="24"/>
      <c r="CKF954" s="24"/>
      <c r="CKG954" s="24"/>
      <c r="CKH954" s="24"/>
      <c r="CKI954" s="24"/>
      <c r="CKJ954" s="24"/>
      <c r="CKK954" s="24"/>
      <c r="CKL954" s="24"/>
      <c r="CKM954" s="24"/>
      <c r="CKN954" s="24"/>
      <c r="CKO954" s="24"/>
      <c r="CKP954" s="24"/>
      <c r="CKQ954" s="24"/>
      <c r="CKR954" s="24"/>
      <c r="CKS954" s="24"/>
      <c r="CKT954" s="24"/>
      <c r="CKU954" s="24"/>
      <c r="CKV954" s="24"/>
      <c r="CKW954" s="24"/>
      <c r="CKX954" s="24"/>
      <c r="CKY954" s="24"/>
      <c r="CKZ954" s="24"/>
      <c r="CLA954" s="24"/>
      <c r="CLB954" s="24"/>
      <c r="CLC954" s="24"/>
      <c r="CLD954" s="24"/>
      <c r="CLE954" s="24"/>
      <c r="CLF954" s="24"/>
      <c r="CLG954" s="24"/>
      <c r="CLH954" s="24"/>
      <c r="CLI954" s="24"/>
      <c r="CLJ954" s="24"/>
      <c r="CLK954" s="24"/>
      <c r="CLL954" s="24"/>
      <c r="CLM954" s="24"/>
      <c r="CLN954" s="24"/>
      <c r="CLO954" s="24"/>
      <c r="CLP954" s="24"/>
      <c r="CLQ954" s="24"/>
      <c r="CLR954" s="24"/>
      <c r="CLS954" s="24"/>
      <c r="CLT954" s="24"/>
      <c r="CLU954" s="24"/>
      <c r="CLV954" s="24"/>
      <c r="CLW954" s="24"/>
      <c r="CLX954" s="24"/>
      <c r="CLY954" s="24"/>
      <c r="CLZ954" s="24"/>
      <c r="CMA954" s="24"/>
      <c r="CMB954" s="24"/>
      <c r="CMC954" s="24"/>
      <c r="CMD954" s="24"/>
      <c r="CME954" s="24"/>
      <c r="CMF954" s="24"/>
      <c r="CMG954" s="24"/>
      <c r="CMH954" s="24"/>
      <c r="CMI954" s="24"/>
      <c r="CMJ954" s="24"/>
      <c r="CMK954" s="24"/>
      <c r="CML954" s="24"/>
      <c r="CMM954" s="24"/>
      <c r="CMN954" s="24"/>
      <c r="CMO954" s="24"/>
      <c r="CMP954" s="24"/>
      <c r="CMQ954" s="24"/>
      <c r="CMR954" s="24"/>
      <c r="CMS954" s="24"/>
      <c r="CMT954" s="24"/>
      <c r="CMU954" s="24"/>
      <c r="CMV954" s="24"/>
      <c r="CMW954" s="24"/>
      <c r="CMX954" s="24"/>
      <c r="CMY954" s="24"/>
      <c r="CMZ954" s="24"/>
      <c r="CNA954" s="24"/>
      <c r="CNB954" s="24"/>
      <c r="CNC954" s="24"/>
      <c r="CND954" s="24"/>
      <c r="CNE954" s="24"/>
      <c r="CNF954" s="24"/>
      <c r="CNG954" s="24"/>
      <c r="CNH954" s="24"/>
      <c r="CNI954" s="24"/>
      <c r="CNJ954" s="24"/>
      <c r="CNK954" s="24"/>
      <c r="CNL954" s="24"/>
      <c r="CNM954" s="24"/>
      <c r="CNN954" s="24"/>
      <c r="CNO954" s="24"/>
      <c r="CNP954" s="24"/>
      <c r="CNQ954" s="24"/>
      <c r="CNR954" s="24"/>
      <c r="CNS954" s="24"/>
      <c r="CNT954" s="24"/>
      <c r="CNU954" s="24"/>
      <c r="CNV954" s="24"/>
      <c r="CNW954" s="24"/>
      <c r="CNX954" s="24"/>
      <c r="CNY954" s="24"/>
      <c r="CNZ954" s="24"/>
      <c r="COA954" s="24"/>
      <c r="COB954" s="24"/>
      <c r="COC954" s="24"/>
      <c r="COD954" s="24"/>
      <c r="COE954" s="24"/>
      <c r="COF954" s="24"/>
      <c r="COG954" s="24"/>
      <c r="COH954" s="24"/>
      <c r="COI954" s="24"/>
      <c r="COJ954" s="24"/>
      <c r="COK954" s="24"/>
      <c r="COL954" s="24"/>
      <c r="COM954" s="24"/>
      <c r="CON954" s="24"/>
      <c r="COO954" s="24"/>
      <c r="COP954" s="24"/>
      <c r="COQ954" s="24"/>
      <c r="COR954" s="24"/>
      <c r="COS954" s="24"/>
      <c r="COT954" s="24"/>
      <c r="COU954" s="24"/>
      <c r="COV954" s="24"/>
      <c r="COW954" s="24"/>
      <c r="COX954" s="24"/>
      <c r="COY954" s="24"/>
      <c r="COZ954" s="24"/>
      <c r="CPA954" s="24"/>
      <c r="CPB954" s="24"/>
      <c r="CPC954" s="24"/>
      <c r="CPD954" s="24"/>
      <c r="CPE954" s="24"/>
      <c r="CPF954" s="24"/>
      <c r="CPG954" s="24"/>
      <c r="CPH954" s="24"/>
      <c r="CPI954" s="24"/>
      <c r="CPJ954" s="24"/>
      <c r="CPK954" s="24"/>
      <c r="CPL954" s="24"/>
      <c r="CPM954" s="24"/>
      <c r="CPN954" s="24"/>
      <c r="CPO954" s="24"/>
      <c r="CPP954" s="24"/>
      <c r="CPQ954" s="24"/>
      <c r="CPR954" s="24"/>
      <c r="CPS954" s="24"/>
      <c r="CPT954" s="24"/>
      <c r="CPU954" s="24"/>
      <c r="CPV954" s="24"/>
      <c r="CPW954" s="24"/>
      <c r="CPX954" s="24"/>
      <c r="CPY954" s="24"/>
      <c r="CPZ954" s="24"/>
      <c r="CQA954" s="24"/>
      <c r="CQB954" s="24"/>
      <c r="CQC954" s="24"/>
      <c r="CQD954" s="24"/>
      <c r="CQE954" s="24"/>
      <c r="CQF954" s="24"/>
      <c r="CQG954" s="24"/>
      <c r="CQH954" s="24"/>
      <c r="CQI954" s="24"/>
      <c r="CQJ954" s="24"/>
      <c r="CQK954" s="24"/>
      <c r="CQL954" s="24"/>
      <c r="CQM954" s="24"/>
      <c r="CQN954" s="24"/>
      <c r="CQO954" s="24"/>
      <c r="CQP954" s="24"/>
      <c r="CQQ954" s="24"/>
      <c r="CQR954" s="24"/>
      <c r="CQS954" s="24"/>
      <c r="CQT954" s="24"/>
      <c r="CQU954" s="24"/>
      <c r="CQV954" s="24"/>
      <c r="CQW954" s="24"/>
      <c r="CQX954" s="24"/>
      <c r="CQY954" s="24"/>
      <c r="CQZ954" s="24"/>
      <c r="CRA954" s="24"/>
      <c r="CRB954" s="24"/>
      <c r="CRC954" s="24"/>
      <c r="CRD954" s="24"/>
      <c r="CRE954" s="24"/>
      <c r="CRF954" s="24"/>
      <c r="CRG954" s="24"/>
      <c r="CRH954" s="24"/>
      <c r="CRI954" s="24"/>
      <c r="CRJ954" s="24"/>
      <c r="CRK954" s="24"/>
      <c r="CRL954" s="24"/>
      <c r="CRM954" s="24"/>
      <c r="CRN954" s="24"/>
      <c r="CRO954" s="24"/>
      <c r="CRP954" s="24"/>
      <c r="CRQ954" s="24"/>
      <c r="CRR954" s="24"/>
      <c r="CRS954" s="24"/>
      <c r="CRT954" s="24"/>
      <c r="CRU954" s="24"/>
      <c r="CRV954" s="24"/>
      <c r="CRW954" s="24"/>
      <c r="CRX954" s="24"/>
      <c r="CRY954" s="24"/>
      <c r="CRZ954" s="24"/>
      <c r="CSA954" s="24"/>
      <c r="CSB954" s="24"/>
      <c r="CSC954" s="24"/>
      <c r="CSD954" s="24"/>
      <c r="CSE954" s="24"/>
      <c r="CSF954" s="24"/>
      <c r="CSG954" s="24"/>
      <c r="CSH954" s="24"/>
      <c r="CSI954" s="24"/>
      <c r="CSJ954" s="24"/>
      <c r="CSK954" s="24"/>
      <c r="CSL954" s="24"/>
      <c r="CSM954" s="24"/>
      <c r="CSN954" s="24"/>
      <c r="CSO954" s="24"/>
      <c r="CSP954" s="24"/>
      <c r="CSQ954" s="24"/>
      <c r="CSR954" s="24"/>
      <c r="CSS954" s="24"/>
      <c r="CST954" s="24"/>
      <c r="CSU954" s="24"/>
      <c r="CSV954" s="24"/>
      <c r="CSW954" s="24"/>
      <c r="CSX954" s="24"/>
      <c r="CSY954" s="24"/>
      <c r="CSZ954" s="24"/>
      <c r="CTA954" s="24"/>
      <c r="CTB954" s="24"/>
      <c r="CTC954" s="24"/>
      <c r="CTD954" s="24"/>
      <c r="CTE954" s="24"/>
      <c r="CTF954" s="24"/>
      <c r="CTG954" s="24"/>
      <c r="CTH954" s="24"/>
      <c r="CTI954" s="24"/>
      <c r="CTJ954" s="24"/>
      <c r="CTK954" s="24"/>
      <c r="CTL954" s="24"/>
      <c r="CTM954" s="24"/>
      <c r="CTN954" s="24"/>
      <c r="CTO954" s="24"/>
      <c r="CTP954" s="24"/>
      <c r="CTQ954" s="24"/>
      <c r="CTR954" s="24"/>
      <c r="CTS954" s="24"/>
      <c r="CTT954" s="24"/>
      <c r="CTU954" s="24"/>
      <c r="CTV954" s="24"/>
      <c r="CTW954" s="24"/>
      <c r="CTX954" s="24"/>
      <c r="CTY954" s="24"/>
      <c r="CTZ954" s="24"/>
      <c r="CUA954" s="24"/>
      <c r="CUB954" s="24"/>
      <c r="CUC954" s="24"/>
      <c r="CUD954" s="24"/>
      <c r="CUE954" s="24"/>
      <c r="CUF954" s="24"/>
      <c r="CUG954" s="24"/>
      <c r="CUH954" s="24"/>
      <c r="CUI954" s="24"/>
      <c r="CUJ954" s="24"/>
      <c r="CUK954" s="24"/>
      <c r="CUL954" s="24"/>
      <c r="CUM954" s="24"/>
      <c r="CUN954" s="24"/>
      <c r="CUO954" s="24"/>
      <c r="CUP954" s="24"/>
      <c r="CUQ954" s="24"/>
      <c r="CUR954" s="24"/>
      <c r="CUS954" s="24"/>
      <c r="CUT954" s="24"/>
      <c r="CUU954" s="24"/>
      <c r="CUV954" s="24"/>
      <c r="CUW954" s="24"/>
      <c r="CUX954" s="24"/>
      <c r="CUY954" s="24"/>
      <c r="CUZ954" s="24"/>
      <c r="CVA954" s="24"/>
      <c r="CVB954" s="24"/>
      <c r="CVC954" s="24"/>
      <c r="CVD954" s="24"/>
      <c r="CVE954" s="24"/>
      <c r="CVF954" s="24"/>
      <c r="CVG954" s="24"/>
      <c r="CVH954" s="24"/>
      <c r="CVI954" s="24"/>
      <c r="CVJ954" s="24"/>
      <c r="CVK954" s="24"/>
      <c r="CVL954" s="24"/>
      <c r="CVM954" s="24"/>
      <c r="CVN954" s="24"/>
      <c r="CVO954" s="24"/>
      <c r="CVP954" s="24"/>
      <c r="CVQ954" s="24"/>
      <c r="CVR954" s="24"/>
      <c r="CVS954" s="24"/>
      <c r="CVT954" s="24"/>
      <c r="CVU954" s="24"/>
      <c r="CVV954" s="24"/>
      <c r="CVW954" s="24"/>
      <c r="CVX954" s="24"/>
      <c r="CVY954" s="24"/>
      <c r="CVZ954" s="24"/>
      <c r="CWA954" s="24"/>
      <c r="CWB954" s="24"/>
      <c r="CWC954" s="24"/>
      <c r="CWD954" s="24"/>
      <c r="CWE954" s="24"/>
      <c r="CWF954" s="24"/>
      <c r="CWG954" s="24"/>
      <c r="CWH954" s="24"/>
      <c r="CWI954" s="24"/>
      <c r="CWJ954" s="24"/>
      <c r="CWK954" s="24"/>
      <c r="CWL954" s="24"/>
      <c r="CWM954" s="24"/>
      <c r="CWN954" s="24"/>
      <c r="CWO954" s="24"/>
      <c r="CWP954" s="24"/>
      <c r="CWQ954" s="24"/>
      <c r="CWR954" s="24"/>
      <c r="CWS954" s="24"/>
      <c r="CWT954" s="24"/>
      <c r="CWU954" s="24"/>
      <c r="CWV954" s="24"/>
      <c r="CWW954" s="24"/>
      <c r="CWX954" s="24"/>
      <c r="CWY954" s="24"/>
      <c r="CWZ954" s="24"/>
      <c r="CXA954" s="24"/>
      <c r="CXB954" s="24"/>
      <c r="CXC954" s="24"/>
      <c r="CXD954" s="24"/>
      <c r="CXE954" s="24"/>
      <c r="CXF954" s="24"/>
      <c r="CXG954" s="24"/>
      <c r="CXH954" s="24"/>
      <c r="CXI954" s="24"/>
      <c r="CXJ954" s="24"/>
      <c r="CXK954" s="24"/>
      <c r="CXL954" s="24"/>
      <c r="CXM954" s="24"/>
      <c r="CXN954" s="24"/>
      <c r="CXO954" s="24"/>
      <c r="CXP954" s="24"/>
      <c r="CXQ954" s="24"/>
      <c r="CXR954" s="24"/>
      <c r="CXS954" s="24"/>
      <c r="CXT954" s="24"/>
      <c r="CXU954" s="24"/>
      <c r="CXV954" s="24"/>
      <c r="CXW954" s="24"/>
      <c r="CXX954" s="24"/>
      <c r="CXY954" s="24"/>
      <c r="CXZ954" s="24"/>
      <c r="CYA954" s="24"/>
      <c r="CYB954" s="24"/>
      <c r="CYC954" s="24"/>
      <c r="CYD954" s="24"/>
      <c r="CYE954" s="24"/>
      <c r="CYF954" s="24"/>
      <c r="CYG954" s="24"/>
      <c r="CYH954" s="24"/>
      <c r="CYI954" s="24"/>
      <c r="CYJ954" s="24"/>
      <c r="CYK954" s="24"/>
      <c r="CYL954" s="24"/>
      <c r="CYM954" s="24"/>
      <c r="CYN954" s="24"/>
      <c r="CYO954" s="24"/>
      <c r="CYP954" s="24"/>
      <c r="CYQ954" s="24"/>
      <c r="CYR954" s="24"/>
      <c r="CYS954" s="24"/>
      <c r="CYT954" s="24"/>
      <c r="CYU954" s="24"/>
      <c r="CYV954" s="24"/>
      <c r="CYW954" s="24"/>
      <c r="CYX954" s="24"/>
      <c r="CYY954" s="24"/>
      <c r="CYZ954" s="24"/>
      <c r="CZA954" s="24"/>
      <c r="CZB954" s="24"/>
      <c r="CZC954" s="24"/>
      <c r="CZD954" s="24"/>
      <c r="CZE954" s="24"/>
      <c r="CZF954" s="24"/>
      <c r="CZG954" s="24"/>
      <c r="CZH954" s="24"/>
      <c r="CZI954" s="24"/>
      <c r="CZJ954" s="24"/>
      <c r="CZK954" s="24"/>
      <c r="CZL954" s="24"/>
      <c r="CZM954" s="24"/>
      <c r="CZN954" s="24"/>
      <c r="CZO954" s="24"/>
      <c r="CZP954" s="24"/>
      <c r="CZQ954" s="24"/>
      <c r="CZR954" s="24"/>
      <c r="CZS954" s="24"/>
      <c r="CZT954" s="24"/>
      <c r="CZU954" s="24"/>
      <c r="CZV954" s="24"/>
      <c r="CZW954" s="24"/>
      <c r="CZX954" s="24"/>
      <c r="CZY954" s="24"/>
      <c r="CZZ954" s="24"/>
      <c r="DAA954" s="24"/>
      <c r="DAB954" s="24"/>
      <c r="DAC954" s="24"/>
      <c r="DAD954" s="24"/>
      <c r="DAE954" s="24"/>
      <c r="DAF954" s="24"/>
      <c r="DAG954" s="24"/>
      <c r="DAH954" s="24"/>
      <c r="DAI954" s="24"/>
      <c r="DAJ954" s="24"/>
      <c r="DAK954" s="24"/>
      <c r="DAL954" s="24"/>
      <c r="DAM954" s="24"/>
      <c r="DAN954" s="24"/>
      <c r="DAO954" s="24"/>
      <c r="DAP954" s="24"/>
      <c r="DAQ954" s="24"/>
      <c r="DAR954" s="24"/>
      <c r="DAS954" s="24"/>
      <c r="DAT954" s="24"/>
      <c r="DAU954" s="24"/>
      <c r="DAV954" s="24"/>
      <c r="DAW954" s="24"/>
      <c r="DAX954" s="24"/>
      <c r="DAY954" s="24"/>
      <c r="DAZ954" s="24"/>
      <c r="DBA954" s="24"/>
      <c r="DBB954" s="24"/>
      <c r="DBC954" s="24"/>
      <c r="DBD954" s="24"/>
      <c r="DBE954" s="24"/>
      <c r="DBF954" s="24"/>
      <c r="DBG954" s="24"/>
      <c r="DBH954" s="24"/>
      <c r="DBI954" s="24"/>
      <c r="DBJ954" s="24"/>
      <c r="DBK954" s="24"/>
      <c r="DBL954" s="24"/>
      <c r="DBM954" s="24"/>
      <c r="DBN954" s="24"/>
      <c r="DBO954" s="24"/>
      <c r="DBP954" s="24"/>
      <c r="DBQ954" s="24"/>
      <c r="DBR954" s="24"/>
      <c r="DBS954" s="24"/>
      <c r="DBT954" s="24"/>
      <c r="DBU954" s="24"/>
      <c r="DBV954" s="24"/>
      <c r="DBW954" s="24"/>
      <c r="DBX954" s="24"/>
      <c r="DBY954" s="24"/>
      <c r="DBZ954" s="24"/>
      <c r="DCA954" s="24"/>
      <c r="DCB954" s="24"/>
      <c r="DCC954" s="24"/>
      <c r="DCD954" s="24"/>
      <c r="DCE954" s="24"/>
      <c r="DCF954" s="24"/>
      <c r="DCG954" s="24"/>
      <c r="DCH954" s="24"/>
      <c r="DCI954" s="24"/>
      <c r="DCJ954" s="24"/>
      <c r="DCK954" s="24"/>
      <c r="DCL954" s="24"/>
      <c r="DCM954" s="24"/>
      <c r="DCN954" s="24"/>
      <c r="DCO954" s="24"/>
      <c r="DCP954" s="24"/>
      <c r="DCQ954" s="24"/>
      <c r="DCR954" s="24"/>
      <c r="DCS954" s="24"/>
      <c r="DCT954" s="24"/>
      <c r="DCU954" s="24"/>
      <c r="DCV954" s="24"/>
      <c r="DCW954" s="24"/>
      <c r="DCX954" s="24"/>
      <c r="DCY954" s="24"/>
      <c r="DCZ954" s="24"/>
      <c r="DDA954" s="24"/>
      <c r="DDB954" s="24"/>
      <c r="DDC954" s="24"/>
      <c r="DDD954" s="24"/>
      <c r="DDE954" s="24"/>
      <c r="DDF954" s="24"/>
      <c r="DDG954" s="24"/>
      <c r="DDH954" s="24"/>
      <c r="DDI954" s="24"/>
      <c r="DDJ954" s="24"/>
      <c r="DDK954" s="24"/>
      <c r="DDL954" s="24"/>
      <c r="DDM954" s="24"/>
      <c r="DDN954" s="24"/>
      <c r="DDO954" s="24"/>
      <c r="DDP954" s="24"/>
      <c r="DDQ954" s="24"/>
      <c r="DDR954" s="24"/>
      <c r="DDS954" s="24"/>
      <c r="DDT954" s="24"/>
      <c r="DDU954" s="24"/>
      <c r="DDV954" s="24"/>
      <c r="DDW954" s="24"/>
      <c r="DDX954" s="24"/>
      <c r="DDY954" s="24"/>
      <c r="DDZ954" s="24"/>
      <c r="DEA954" s="24"/>
      <c r="DEB954" s="24"/>
      <c r="DEC954" s="24"/>
      <c r="DED954" s="24"/>
      <c r="DEE954" s="24"/>
      <c r="DEF954" s="24"/>
      <c r="DEG954" s="24"/>
      <c r="DEH954" s="24"/>
      <c r="DEI954" s="24"/>
      <c r="DEJ954" s="24"/>
      <c r="DEK954" s="24"/>
      <c r="DEL954" s="24"/>
      <c r="DEM954" s="24"/>
      <c r="DEN954" s="24"/>
      <c r="DEO954" s="24"/>
      <c r="DEP954" s="24"/>
      <c r="DEQ954" s="24"/>
      <c r="DER954" s="24"/>
      <c r="DES954" s="24"/>
      <c r="DET954" s="24"/>
      <c r="DEU954" s="24"/>
      <c r="DEV954" s="24"/>
      <c r="DEW954" s="24"/>
      <c r="DEX954" s="24"/>
      <c r="DEY954" s="24"/>
      <c r="DEZ954" s="24"/>
      <c r="DFA954" s="24"/>
      <c r="DFB954" s="24"/>
      <c r="DFC954" s="24"/>
      <c r="DFD954" s="24"/>
      <c r="DFE954" s="24"/>
      <c r="DFF954" s="24"/>
      <c r="DFG954" s="24"/>
      <c r="DFH954" s="24"/>
      <c r="DFI954" s="24"/>
      <c r="DFJ954" s="24"/>
      <c r="DFK954" s="24"/>
      <c r="DFL954" s="24"/>
      <c r="DFM954" s="24"/>
      <c r="DFN954" s="24"/>
      <c r="DFO954" s="24"/>
      <c r="DFP954" s="24"/>
      <c r="DFQ954" s="24"/>
      <c r="DFR954" s="24"/>
      <c r="DFS954" s="24"/>
      <c r="DFT954" s="24"/>
      <c r="DFU954" s="24"/>
      <c r="DFV954" s="24"/>
      <c r="DFW954" s="24"/>
      <c r="DFX954" s="24"/>
      <c r="DFY954" s="24"/>
      <c r="DFZ954" s="24"/>
      <c r="DGA954" s="24"/>
      <c r="DGB954" s="24"/>
      <c r="DGC954" s="24"/>
      <c r="DGD954" s="24"/>
      <c r="DGE954" s="24"/>
      <c r="DGF954" s="24"/>
      <c r="DGG954" s="24"/>
      <c r="DGH954" s="24"/>
      <c r="DGI954" s="24"/>
      <c r="DGJ954" s="24"/>
      <c r="DGK954" s="24"/>
      <c r="DGL954" s="24"/>
      <c r="DGM954" s="24"/>
      <c r="DGN954" s="24"/>
      <c r="DGO954" s="24"/>
      <c r="DGP954" s="24"/>
      <c r="DGQ954" s="24"/>
      <c r="DGR954" s="24"/>
      <c r="DGS954" s="24"/>
      <c r="DGT954" s="24"/>
      <c r="DGU954" s="24"/>
      <c r="DGV954" s="24"/>
      <c r="DGW954" s="24"/>
      <c r="DGX954" s="24"/>
      <c r="DGY954" s="24"/>
      <c r="DGZ954" s="24"/>
      <c r="DHA954" s="24"/>
      <c r="DHB954" s="24"/>
      <c r="DHC954" s="24"/>
      <c r="DHD954" s="24"/>
      <c r="DHE954" s="24"/>
      <c r="DHF954" s="24"/>
      <c r="DHG954" s="24"/>
      <c r="DHH954" s="24"/>
      <c r="DHI954" s="24"/>
      <c r="DHJ954" s="24"/>
      <c r="DHK954" s="24"/>
      <c r="DHL954" s="24"/>
      <c r="DHM954" s="24"/>
      <c r="DHN954" s="24"/>
      <c r="DHO954" s="24"/>
      <c r="DHP954" s="24"/>
      <c r="DHQ954" s="24"/>
      <c r="DHR954" s="24"/>
      <c r="DHS954" s="24"/>
      <c r="DHT954" s="24"/>
      <c r="DHU954" s="24"/>
      <c r="DHV954" s="24"/>
      <c r="DHW954" s="24"/>
      <c r="DHX954" s="24"/>
      <c r="DHY954" s="24"/>
      <c r="DHZ954" s="24"/>
      <c r="DIA954" s="24"/>
      <c r="DIB954" s="24"/>
      <c r="DIC954" s="24"/>
      <c r="DID954" s="24"/>
      <c r="DIE954" s="24"/>
      <c r="DIF954" s="24"/>
      <c r="DIG954" s="24"/>
      <c r="DIH954" s="24"/>
      <c r="DII954" s="24"/>
      <c r="DIJ954" s="24"/>
      <c r="DIK954" s="24"/>
      <c r="DIL954" s="24"/>
      <c r="DIM954" s="24"/>
      <c r="DIN954" s="24"/>
      <c r="DIO954" s="24"/>
      <c r="DIP954" s="24"/>
      <c r="DIQ954" s="24"/>
      <c r="DIR954" s="24"/>
      <c r="DIS954" s="24"/>
      <c r="DIT954" s="24"/>
      <c r="DIU954" s="24"/>
      <c r="DIV954" s="24"/>
      <c r="DIW954" s="24"/>
      <c r="DIX954" s="24"/>
      <c r="DIY954" s="24"/>
      <c r="DIZ954" s="24"/>
      <c r="DJA954" s="24"/>
      <c r="DJB954" s="24"/>
      <c r="DJC954" s="24"/>
      <c r="DJD954" s="24"/>
      <c r="DJE954" s="24"/>
      <c r="DJF954" s="24"/>
      <c r="DJG954" s="24"/>
      <c r="DJH954" s="24"/>
      <c r="DJI954" s="24"/>
      <c r="DJJ954" s="24"/>
      <c r="DJK954" s="24"/>
      <c r="DJL954" s="24"/>
      <c r="DJM954" s="24"/>
      <c r="DJN954" s="24"/>
      <c r="DJO954" s="24"/>
      <c r="DJP954" s="24"/>
      <c r="DJQ954" s="24"/>
      <c r="DJR954" s="24"/>
      <c r="DJS954" s="24"/>
      <c r="DJT954" s="24"/>
      <c r="DJU954" s="24"/>
      <c r="DJV954" s="24"/>
      <c r="DJW954" s="24"/>
      <c r="DJX954" s="24"/>
      <c r="DJY954" s="24"/>
      <c r="DJZ954" s="24"/>
      <c r="DKA954" s="24"/>
      <c r="DKB954" s="24"/>
      <c r="DKC954" s="24"/>
      <c r="DKD954" s="24"/>
      <c r="DKE954" s="24"/>
      <c r="DKF954" s="24"/>
      <c r="DKG954" s="24"/>
      <c r="DKH954" s="24"/>
      <c r="DKI954" s="24"/>
      <c r="DKJ954" s="24"/>
      <c r="DKK954" s="24"/>
      <c r="DKL954" s="24"/>
      <c r="DKM954" s="24"/>
      <c r="DKN954" s="24"/>
      <c r="DKO954" s="24"/>
      <c r="DKP954" s="24"/>
      <c r="DKQ954" s="24"/>
      <c r="DKR954" s="24"/>
      <c r="DKS954" s="24"/>
      <c r="DKT954" s="24"/>
      <c r="DKU954" s="24"/>
      <c r="DKV954" s="24"/>
      <c r="DKW954" s="24"/>
      <c r="DKX954" s="24"/>
      <c r="DKY954" s="24"/>
      <c r="DKZ954" s="24"/>
      <c r="DLA954" s="24"/>
      <c r="DLB954" s="24"/>
      <c r="DLC954" s="24"/>
      <c r="DLD954" s="24"/>
      <c r="DLE954" s="24"/>
      <c r="DLF954" s="24"/>
      <c r="DLG954" s="24"/>
      <c r="DLH954" s="24"/>
      <c r="DLI954" s="24"/>
      <c r="DLJ954" s="24"/>
      <c r="DLK954" s="24"/>
      <c r="DLL954" s="24"/>
      <c r="DLM954" s="24"/>
      <c r="DLN954" s="24"/>
      <c r="DLO954" s="24"/>
      <c r="DLP954" s="24"/>
      <c r="DLQ954" s="24"/>
      <c r="DLR954" s="24"/>
      <c r="DLS954" s="24"/>
      <c r="DLT954" s="24"/>
      <c r="DLU954" s="24"/>
      <c r="DLV954" s="24"/>
      <c r="DLW954" s="24"/>
      <c r="DLX954" s="24"/>
      <c r="DLY954" s="24"/>
      <c r="DLZ954" s="24"/>
      <c r="DMA954" s="24"/>
      <c r="DMB954" s="24"/>
      <c r="DMC954" s="24"/>
      <c r="DMD954" s="24"/>
      <c r="DME954" s="24"/>
      <c r="DMF954" s="24"/>
      <c r="DMG954" s="24"/>
      <c r="DMH954" s="24"/>
      <c r="DMI954" s="24"/>
      <c r="DMJ954" s="24"/>
      <c r="DMK954" s="24"/>
      <c r="DML954" s="24"/>
      <c r="DMM954" s="24"/>
      <c r="DMN954" s="24"/>
      <c r="DMO954" s="24"/>
      <c r="DMP954" s="24"/>
      <c r="DMQ954" s="24"/>
      <c r="DMR954" s="24"/>
      <c r="DMS954" s="24"/>
      <c r="DMT954" s="24"/>
      <c r="DMU954" s="24"/>
      <c r="DMV954" s="24"/>
      <c r="DMW954" s="24"/>
      <c r="DMX954" s="24"/>
      <c r="DMY954" s="24"/>
      <c r="DMZ954" s="24"/>
      <c r="DNA954" s="24"/>
      <c r="DNB954" s="24"/>
      <c r="DNC954" s="24"/>
      <c r="DND954" s="24"/>
      <c r="DNE954" s="24"/>
      <c r="DNF954" s="24"/>
      <c r="DNG954" s="24"/>
      <c r="DNH954" s="24"/>
      <c r="DNI954" s="24"/>
      <c r="DNJ954" s="24"/>
      <c r="DNK954" s="24"/>
      <c r="DNL954" s="24"/>
      <c r="DNM954" s="24"/>
      <c r="DNN954" s="24"/>
      <c r="DNO954" s="24"/>
      <c r="DNP954" s="24"/>
      <c r="DNQ954" s="24"/>
      <c r="DNR954" s="24"/>
      <c r="DNS954" s="24"/>
      <c r="DNT954" s="24"/>
      <c r="DNU954" s="24"/>
      <c r="DNV954" s="24"/>
      <c r="DNW954" s="24"/>
      <c r="DNX954" s="24"/>
      <c r="DNY954" s="24"/>
      <c r="DNZ954" s="24"/>
      <c r="DOA954" s="24"/>
      <c r="DOB954" s="24"/>
      <c r="DOC954" s="24"/>
      <c r="DOD954" s="24"/>
      <c r="DOE954" s="24"/>
      <c r="DOF954" s="24"/>
      <c r="DOG954" s="24"/>
      <c r="DOH954" s="24"/>
      <c r="DOI954" s="24"/>
      <c r="DOJ954" s="24"/>
      <c r="DOK954" s="24"/>
      <c r="DOL954" s="24"/>
      <c r="DOM954" s="24"/>
      <c r="DON954" s="24"/>
      <c r="DOO954" s="24"/>
      <c r="DOP954" s="24"/>
      <c r="DOQ954" s="24"/>
      <c r="DOR954" s="24"/>
      <c r="DOS954" s="24"/>
      <c r="DOT954" s="24"/>
      <c r="DOU954" s="24"/>
      <c r="DOV954" s="24"/>
      <c r="DOW954" s="24"/>
      <c r="DOX954" s="24"/>
      <c r="DOY954" s="24"/>
      <c r="DOZ954" s="24"/>
      <c r="DPA954" s="24"/>
      <c r="DPB954" s="24"/>
      <c r="DPC954" s="24"/>
      <c r="DPD954" s="24"/>
      <c r="DPE954" s="24"/>
      <c r="DPF954" s="24"/>
      <c r="DPG954" s="24"/>
      <c r="DPH954" s="24"/>
      <c r="DPI954" s="24"/>
      <c r="DPJ954" s="24"/>
      <c r="DPK954" s="24"/>
      <c r="DPL954" s="24"/>
      <c r="DPM954" s="24"/>
      <c r="DPN954" s="24"/>
      <c r="DPO954" s="24"/>
      <c r="DPP954" s="24"/>
      <c r="DPQ954" s="24"/>
      <c r="DPR954" s="24"/>
      <c r="DPS954" s="24"/>
      <c r="DPT954" s="24"/>
      <c r="DPU954" s="24"/>
      <c r="DPV954" s="24"/>
      <c r="DPW954" s="24"/>
      <c r="DPX954" s="24"/>
      <c r="DPY954" s="24"/>
      <c r="DPZ954" s="24"/>
      <c r="DQA954" s="24"/>
      <c r="DQB954" s="24"/>
      <c r="DQC954" s="24"/>
      <c r="DQD954" s="24"/>
      <c r="DQE954" s="24"/>
      <c r="DQF954" s="24"/>
      <c r="DQG954" s="24"/>
      <c r="DQH954" s="24"/>
      <c r="DQI954" s="24"/>
      <c r="DQJ954" s="24"/>
      <c r="DQK954" s="24"/>
      <c r="DQL954" s="24"/>
      <c r="DQM954" s="24"/>
      <c r="DQN954" s="24"/>
      <c r="DQO954" s="24"/>
      <c r="DQP954" s="24"/>
      <c r="DQQ954" s="24"/>
      <c r="DQR954" s="24"/>
      <c r="DQS954" s="24"/>
      <c r="DQT954" s="24"/>
      <c r="DQU954" s="24"/>
      <c r="DQV954" s="24"/>
      <c r="DQW954" s="24"/>
      <c r="DQX954" s="24"/>
      <c r="DQY954" s="24"/>
      <c r="DQZ954" s="24"/>
      <c r="DRA954" s="24"/>
      <c r="DRB954" s="24"/>
      <c r="DRC954" s="24"/>
      <c r="DRD954" s="24"/>
      <c r="DRE954" s="24"/>
      <c r="DRF954" s="24"/>
      <c r="DRG954" s="24"/>
      <c r="DRH954" s="24"/>
      <c r="DRI954" s="24"/>
      <c r="DRJ954" s="24"/>
      <c r="DRK954" s="24"/>
      <c r="DRL954" s="24"/>
      <c r="DRM954" s="24"/>
      <c r="DRN954" s="24"/>
      <c r="DRO954" s="24"/>
      <c r="DRP954" s="24"/>
      <c r="DRQ954" s="24"/>
      <c r="DRR954" s="24"/>
      <c r="DRS954" s="24"/>
      <c r="DRT954" s="24"/>
      <c r="DRU954" s="24"/>
      <c r="DRV954" s="24"/>
      <c r="DRW954" s="24"/>
      <c r="DRX954" s="24"/>
      <c r="DRY954" s="24"/>
      <c r="DRZ954" s="24"/>
      <c r="DSA954" s="24"/>
      <c r="DSB954" s="24"/>
      <c r="DSC954" s="24"/>
      <c r="DSD954" s="24"/>
      <c r="DSE954" s="24"/>
      <c r="DSF954" s="24"/>
      <c r="DSG954" s="24"/>
      <c r="DSH954" s="24"/>
      <c r="DSI954" s="24"/>
      <c r="DSJ954" s="24"/>
      <c r="DSK954" s="24"/>
      <c r="DSL954" s="24"/>
      <c r="DSM954" s="24"/>
      <c r="DSN954" s="24"/>
      <c r="DSO954" s="24"/>
      <c r="DSP954" s="24"/>
      <c r="DSQ954" s="24"/>
      <c r="DSR954" s="24"/>
      <c r="DSS954" s="24"/>
      <c r="DST954" s="24"/>
      <c r="DSU954" s="24"/>
      <c r="DSV954" s="24"/>
      <c r="DSW954" s="24"/>
      <c r="DSX954" s="24"/>
      <c r="DSY954" s="24"/>
      <c r="DSZ954" s="24"/>
      <c r="DTA954" s="24"/>
      <c r="DTB954" s="24"/>
      <c r="DTC954" s="24"/>
      <c r="DTD954" s="24"/>
      <c r="DTE954" s="24"/>
      <c r="DTF954" s="24"/>
      <c r="DTG954" s="24"/>
      <c r="DTH954" s="24"/>
      <c r="DTI954" s="24"/>
      <c r="DTJ954" s="24"/>
      <c r="DTK954" s="24"/>
      <c r="DTL954" s="24"/>
      <c r="DTM954" s="24"/>
      <c r="DTN954" s="24"/>
      <c r="DTO954" s="24"/>
      <c r="DTP954" s="24"/>
      <c r="DTQ954" s="24"/>
      <c r="DTR954" s="24"/>
      <c r="DTS954" s="24"/>
      <c r="DTT954" s="24"/>
      <c r="DTU954" s="24"/>
      <c r="DTV954" s="24"/>
      <c r="DTW954" s="24"/>
      <c r="DTX954" s="24"/>
      <c r="DTY954" s="24"/>
      <c r="DTZ954" s="24"/>
      <c r="DUA954" s="24"/>
      <c r="DUB954" s="24"/>
      <c r="DUC954" s="24"/>
      <c r="DUD954" s="24"/>
      <c r="DUE954" s="24"/>
      <c r="DUF954" s="24"/>
      <c r="DUG954" s="24"/>
      <c r="DUH954" s="24"/>
      <c r="DUI954" s="24"/>
      <c r="DUJ954" s="24"/>
      <c r="DUK954" s="24"/>
      <c r="DUL954" s="24"/>
      <c r="DUM954" s="24"/>
      <c r="DUN954" s="24"/>
      <c r="DUO954" s="24"/>
      <c r="DUP954" s="24"/>
      <c r="DUQ954" s="24"/>
      <c r="DUR954" s="24"/>
      <c r="DUS954" s="24"/>
      <c r="DUT954" s="24"/>
      <c r="DUU954" s="24"/>
      <c r="DUV954" s="24"/>
      <c r="DUW954" s="24"/>
      <c r="DUX954" s="24"/>
      <c r="DUY954" s="24"/>
      <c r="DUZ954" s="24"/>
      <c r="DVA954" s="24"/>
      <c r="DVB954" s="24"/>
      <c r="DVC954" s="24"/>
      <c r="DVD954" s="24"/>
      <c r="DVE954" s="24"/>
      <c r="DVF954" s="24"/>
      <c r="DVG954" s="24"/>
      <c r="DVH954" s="24"/>
      <c r="DVI954" s="24"/>
      <c r="DVJ954" s="24"/>
      <c r="DVK954" s="24"/>
      <c r="DVL954" s="24"/>
      <c r="DVM954" s="24"/>
      <c r="DVN954" s="24"/>
      <c r="DVO954" s="24"/>
      <c r="DVP954" s="24"/>
      <c r="DVQ954" s="24"/>
      <c r="DVR954" s="24"/>
      <c r="DVS954" s="24"/>
      <c r="DVT954" s="24"/>
      <c r="DVU954" s="24"/>
      <c r="DVV954" s="24"/>
      <c r="DVW954" s="24"/>
      <c r="DVX954" s="24"/>
      <c r="DVY954" s="24"/>
      <c r="DVZ954" s="24"/>
      <c r="DWA954" s="24"/>
      <c r="DWB954" s="24"/>
      <c r="DWC954" s="24"/>
      <c r="DWD954" s="24"/>
      <c r="DWE954" s="24"/>
      <c r="DWF954" s="24"/>
      <c r="DWG954" s="24"/>
      <c r="DWH954" s="24"/>
      <c r="DWI954" s="24"/>
      <c r="DWJ954" s="24"/>
      <c r="DWK954" s="24"/>
      <c r="DWL954" s="24"/>
      <c r="DWM954" s="24"/>
      <c r="DWN954" s="24"/>
      <c r="DWO954" s="24"/>
      <c r="DWP954" s="24"/>
      <c r="DWQ954" s="24"/>
      <c r="DWR954" s="24"/>
      <c r="DWS954" s="24"/>
      <c r="DWT954" s="24"/>
      <c r="DWU954" s="24"/>
      <c r="DWV954" s="24"/>
      <c r="DWW954" s="24"/>
      <c r="DWX954" s="24"/>
      <c r="DWY954" s="24"/>
      <c r="DWZ954" s="24"/>
      <c r="DXA954" s="24"/>
      <c r="DXB954" s="24"/>
      <c r="DXC954" s="24"/>
      <c r="DXD954" s="24"/>
      <c r="DXE954" s="24"/>
      <c r="DXF954" s="24"/>
      <c r="DXG954" s="24"/>
      <c r="DXH954" s="24"/>
      <c r="DXI954" s="24"/>
      <c r="DXJ954" s="24"/>
      <c r="DXK954" s="24"/>
      <c r="DXL954" s="24"/>
      <c r="DXM954" s="24"/>
      <c r="DXN954" s="24"/>
      <c r="DXO954" s="24"/>
      <c r="DXP954" s="24"/>
      <c r="DXQ954" s="24"/>
      <c r="DXR954" s="24"/>
      <c r="DXS954" s="24"/>
      <c r="DXT954" s="24"/>
      <c r="DXU954" s="24"/>
      <c r="DXV954" s="24"/>
      <c r="DXW954" s="24"/>
      <c r="DXX954" s="24"/>
      <c r="DXY954" s="24"/>
      <c r="DXZ954" s="24"/>
      <c r="DYA954" s="24"/>
      <c r="DYB954" s="24"/>
      <c r="DYC954" s="24"/>
      <c r="DYD954" s="24"/>
      <c r="DYE954" s="24"/>
      <c r="DYF954" s="24"/>
      <c r="DYG954" s="24"/>
      <c r="DYH954" s="24"/>
      <c r="DYI954" s="24"/>
      <c r="DYJ954" s="24"/>
      <c r="DYK954" s="24"/>
      <c r="DYL954" s="24"/>
      <c r="DYM954" s="24"/>
      <c r="DYN954" s="24"/>
      <c r="DYO954" s="24"/>
      <c r="DYP954" s="24"/>
      <c r="DYQ954" s="24"/>
      <c r="DYR954" s="24"/>
      <c r="DYS954" s="24"/>
      <c r="DYT954" s="24"/>
      <c r="DYU954" s="24"/>
      <c r="DYV954" s="24"/>
      <c r="DYW954" s="24"/>
      <c r="DYX954" s="24"/>
      <c r="DYY954" s="24"/>
      <c r="DYZ954" s="24"/>
      <c r="DZA954" s="24"/>
      <c r="DZB954" s="24"/>
      <c r="DZC954" s="24"/>
      <c r="DZD954" s="24"/>
      <c r="DZE954" s="24"/>
      <c r="DZF954" s="24"/>
      <c r="DZG954" s="24"/>
      <c r="DZH954" s="24"/>
      <c r="DZI954" s="24"/>
      <c r="DZJ954" s="24"/>
      <c r="DZK954" s="24"/>
      <c r="DZL954" s="24"/>
      <c r="DZM954" s="24"/>
      <c r="DZN954" s="24"/>
      <c r="DZO954" s="24"/>
      <c r="DZP954" s="24"/>
      <c r="DZQ954" s="24"/>
      <c r="DZR954" s="24"/>
      <c r="DZS954" s="24"/>
      <c r="DZT954" s="24"/>
      <c r="DZU954" s="24"/>
      <c r="DZV954" s="24"/>
      <c r="DZW954" s="24"/>
      <c r="DZX954" s="24"/>
      <c r="DZY954" s="24"/>
      <c r="DZZ954" s="24"/>
      <c r="EAA954" s="24"/>
      <c r="EAB954" s="24"/>
      <c r="EAC954" s="24"/>
      <c r="EAD954" s="24"/>
      <c r="EAE954" s="24"/>
      <c r="EAF954" s="24"/>
      <c r="EAG954" s="24"/>
      <c r="EAH954" s="24"/>
      <c r="EAI954" s="24"/>
      <c r="EAJ954" s="24"/>
      <c r="EAK954" s="24"/>
      <c r="EAL954" s="24"/>
      <c r="EAM954" s="24"/>
      <c r="EAN954" s="24"/>
      <c r="EAO954" s="24"/>
      <c r="EAP954" s="24"/>
      <c r="EAQ954" s="24"/>
      <c r="EAR954" s="24"/>
      <c r="EAS954" s="24"/>
      <c r="EAT954" s="24"/>
      <c r="EAU954" s="24"/>
      <c r="EAV954" s="24"/>
      <c r="EAW954" s="24"/>
      <c r="EAX954" s="24"/>
      <c r="EAY954" s="24"/>
      <c r="EAZ954" s="24"/>
      <c r="EBA954" s="24"/>
      <c r="EBB954" s="24"/>
      <c r="EBC954" s="24"/>
      <c r="EBD954" s="24"/>
      <c r="EBE954" s="24"/>
      <c r="EBF954" s="24"/>
      <c r="EBG954" s="24"/>
      <c r="EBH954" s="24"/>
      <c r="EBI954" s="24"/>
      <c r="EBJ954" s="24"/>
      <c r="EBK954" s="24"/>
      <c r="EBL954" s="24"/>
      <c r="EBM954" s="24"/>
      <c r="EBN954" s="24"/>
      <c r="EBO954" s="24"/>
      <c r="EBP954" s="24"/>
      <c r="EBQ954" s="24"/>
      <c r="EBR954" s="24"/>
      <c r="EBS954" s="24"/>
      <c r="EBT954" s="24"/>
      <c r="EBU954" s="24"/>
      <c r="EBV954" s="24"/>
      <c r="EBW954" s="24"/>
      <c r="EBX954" s="24"/>
      <c r="EBY954" s="24"/>
      <c r="EBZ954" s="24"/>
      <c r="ECA954" s="24"/>
      <c r="ECB954" s="24"/>
      <c r="ECC954" s="24"/>
      <c r="ECD954" s="24"/>
      <c r="ECE954" s="24"/>
      <c r="ECF954" s="24"/>
      <c r="ECG954" s="24"/>
      <c r="ECH954" s="24"/>
      <c r="ECI954" s="24"/>
      <c r="ECJ954" s="24"/>
      <c r="ECK954" s="24"/>
      <c r="ECL954" s="24"/>
      <c r="ECM954" s="24"/>
      <c r="ECN954" s="24"/>
      <c r="ECO954" s="24"/>
      <c r="ECP954" s="24"/>
      <c r="ECQ954" s="24"/>
      <c r="ECR954" s="24"/>
      <c r="ECS954" s="24"/>
      <c r="ECT954" s="24"/>
      <c r="ECU954" s="24"/>
      <c r="ECV954" s="24"/>
      <c r="ECW954" s="24"/>
      <c r="ECX954" s="24"/>
      <c r="ECY954" s="24"/>
      <c r="ECZ954" s="24"/>
      <c r="EDA954" s="24"/>
      <c r="EDB954" s="24"/>
      <c r="EDC954" s="24"/>
      <c r="EDD954" s="24"/>
      <c r="EDE954" s="24"/>
      <c r="EDF954" s="24"/>
      <c r="EDG954" s="24"/>
      <c r="EDH954" s="24"/>
      <c r="EDI954" s="24"/>
      <c r="EDJ954" s="24"/>
      <c r="EDK954" s="24"/>
      <c r="EDL954" s="24"/>
      <c r="EDM954" s="24"/>
      <c r="EDN954" s="24"/>
      <c r="EDO954" s="24"/>
      <c r="EDP954" s="24"/>
      <c r="EDQ954" s="24"/>
      <c r="EDR954" s="24"/>
      <c r="EDS954" s="24"/>
      <c r="EDT954" s="24"/>
      <c r="EDU954" s="24"/>
      <c r="EDV954" s="24"/>
      <c r="EDW954" s="24"/>
      <c r="EDX954" s="24"/>
      <c r="EDY954" s="24"/>
      <c r="EDZ954" s="24"/>
      <c r="EEA954" s="24"/>
      <c r="EEB954" s="24"/>
      <c r="EEC954" s="24"/>
      <c r="EED954" s="24"/>
      <c r="EEE954" s="24"/>
      <c r="EEF954" s="24"/>
      <c r="EEG954" s="24"/>
      <c r="EEH954" s="24"/>
      <c r="EEI954" s="24"/>
      <c r="EEJ954" s="24"/>
      <c r="EEK954" s="24"/>
      <c r="EEL954" s="24"/>
      <c r="EEM954" s="24"/>
      <c r="EEN954" s="24"/>
      <c r="EEO954" s="24"/>
      <c r="EEP954" s="24"/>
      <c r="EEQ954" s="24"/>
      <c r="EER954" s="24"/>
      <c r="EES954" s="24"/>
      <c r="EET954" s="24"/>
      <c r="EEU954" s="24"/>
      <c r="EEV954" s="24"/>
      <c r="EEW954" s="24"/>
      <c r="EEX954" s="24"/>
      <c r="EEY954" s="24"/>
      <c r="EEZ954" s="24"/>
      <c r="EFA954" s="24"/>
      <c r="EFB954" s="24"/>
      <c r="EFC954" s="24"/>
      <c r="EFD954" s="24"/>
      <c r="EFE954" s="24"/>
      <c r="EFF954" s="24"/>
      <c r="EFG954" s="24"/>
      <c r="EFH954" s="24"/>
      <c r="EFI954" s="24"/>
      <c r="EFJ954" s="24"/>
      <c r="EFK954" s="24"/>
      <c r="EFL954" s="24"/>
      <c r="EFM954" s="24"/>
      <c r="EFN954" s="24"/>
      <c r="EFO954" s="24"/>
      <c r="EFP954" s="24"/>
      <c r="EFQ954" s="24"/>
      <c r="EFR954" s="24"/>
      <c r="EFS954" s="24"/>
      <c r="EFT954" s="24"/>
      <c r="EFU954" s="24"/>
      <c r="EFV954" s="24"/>
      <c r="EFW954" s="24"/>
      <c r="EFX954" s="24"/>
      <c r="EFY954" s="24"/>
      <c r="EFZ954" s="24"/>
      <c r="EGA954" s="24"/>
      <c r="EGB954" s="24"/>
      <c r="EGC954" s="24"/>
      <c r="EGD954" s="24"/>
      <c r="EGE954" s="24"/>
      <c r="EGF954" s="24"/>
      <c r="EGG954" s="24"/>
      <c r="EGH954" s="24"/>
      <c r="EGI954" s="24"/>
      <c r="EGJ954" s="24"/>
      <c r="EGK954" s="24"/>
      <c r="EGL954" s="24"/>
      <c r="EGM954" s="24"/>
      <c r="EGN954" s="24"/>
      <c r="EGO954" s="24"/>
      <c r="EGP954" s="24"/>
      <c r="EGQ954" s="24"/>
      <c r="EGR954" s="24"/>
      <c r="EGS954" s="24"/>
      <c r="EGT954" s="24"/>
      <c r="EGU954" s="24"/>
      <c r="EGV954" s="24"/>
      <c r="EGW954" s="24"/>
      <c r="EGX954" s="24"/>
      <c r="EGY954" s="24"/>
      <c r="EGZ954" s="24"/>
      <c r="EHA954" s="24"/>
      <c r="EHB954" s="24"/>
      <c r="EHC954" s="24"/>
      <c r="EHD954" s="24"/>
      <c r="EHE954" s="24"/>
      <c r="EHF954" s="24"/>
      <c r="EHG954" s="24"/>
      <c r="EHH954" s="24"/>
      <c r="EHI954" s="24"/>
      <c r="EHJ954" s="24"/>
      <c r="EHK954" s="24"/>
      <c r="EHL954" s="24"/>
      <c r="EHM954" s="24"/>
      <c r="EHN954" s="24"/>
      <c r="EHO954" s="24"/>
      <c r="EHP954" s="24"/>
      <c r="EHQ954" s="24"/>
      <c r="EHR954" s="24"/>
      <c r="EHS954" s="24"/>
      <c r="EHT954" s="24"/>
      <c r="EHU954" s="24"/>
      <c r="EHV954" s="24"/>
      <c r="EHW954" s="24"/>
      <c r="EHX954" s="24"/>
      <c r="EHY954" s="24"/>
      <c r="EHZ954" s="24"/>
      <c r="EIA954" s="24"/>
      <c r="EIB954" s="24"/>
      <c r="EIC954" s="24"/>
      <c r="EID954" s="24"/>
      <c r="EIE954" s="24"/>
      <c r="EIF954" s="24"/>
      <c r="EIG954" s="24"/>
      <c r="EIH954" s="24"/>
      <c r="EII954" s="24"/>
      <c r="EIJ954" s="24"/>
      <c r="EIK954" s="24"/>
      <c r="EIL954" s="24"/>
      <c r="EIM954" s="24"/>
      <c r="EIN954" s="24"/>
      <c r="EIO954" s="24"/>
      <c r="EIP954" s="24"/>
      <c r="EIQ954" s="24"/>
      <c r="EIR954" s="24"/>
      <c r="EIS954" s="24"/>
      <c r="EIT954" s="24"/>
      <c r="EIU954" s="24"/>
      <c r="EIV954" s="24"/>
      <c r="EIW954" s="24"/>
      <c r="EIX954" s="24"/>
      <c r="EIY954" s="24"/>
      <c r="EIZ954" s="24"/>
      <c r="EJA954" s="24"/>
      <c r="EJB954" s="24"/>
      <c r="EJC954" s="24"/>
      <c r="EJD954" s="24"/>
      <c r="EJE954" s="24"/>
      <c r="EJF954" s="24"/>
      <c r="EJG954" s="24"/>
      <c r="EJH954" s="24"/>
      <c r="EJI954" s="24"/>
      <c r="EJJ954" s="24"/>
      <c r="EJK954" s="24"/>
      <c r="EJL954" s="24"/>
      <c r="EJM954" s="24"/>
      <c r="EJN954" s="24"/>
      <c r="EJO954" s="24"/>
      <c r="EJP954" s="24"/>
      <c r="EJQ954" s="24"/>
      <c r="EJR954" s="24"/>
      <c r="EJS954" s="24"/>
      <c r="EJT954" s="24"/>
      <c r="EJU954" s="24"/>
      <c r="EJV954" s="24"/>
      <c r="EJW954" s="24"/>
      <c r="EJX954" s="24"/>
      <c r="EJY954" s="24"/>
      <c r="EJZ954" s="24"/>
      <c r="EKA954" s="24"/>
      <c r="EKB954" s="24"/>
      <c r="EKC954" s="24"/>
      <c r="EKD954" s="24"/>
      <c r="EKE954" s="24"/>
      <c r="EKF954" s="24"/>
      <c r="EKG954" s="24"/>
      <c r="EKH954" s="24"/>
      <c r="EKI954" s="24"/>
      <c r="EKJ954" s="24"/>
      <c r="EKK954" s="24"/>
      <c r="EKL954" s="24"/>
      <c r="EKM954" s="24"/>
      <c r="EKN954" s="24"/>
      <c r="EKO954" s="24"/>
      <c r="EKP954" s="24"/>
      <c r="EKQ954" s="24"/>
      <c r="EKR954" s="24"/>
      <c r="EKS954" s="24"/>
      <c r="EKT954" s="24"/>
      <c r="EKU954" s="24"/>
      <c r="EKV954" s="24"/>
      <c r="EKW954" s="24"/>
      <c r="EKX954" s="24"/>
      <c r="EKY954" s="24"/>
      <c r="EKZ954" s="24"/>
      <c r="ELA954" s="24"/>
      <c r="ELB954" s="24"/>
      <c r="ELC954" s="24"/>
      <c r="ELD954" s="24"/>
      <c r="ELE954" s="24"/>
      <c r="ELF954" s="24"/>
      <c r="ELG954" s="24"/>
      <c r="ELH954" s="24"/>
      <c r="ELI954" s="24"/>
      <c r="ELJ954" s="24"/>
      <c r="ELK954" s="24"/>
      <c r="ELL954" s="24"/>
      <c r="ELM954" s="24"/>
      <c r="ELN954" s="24"/>
      <c r="ELO954" s="24"/>
      <c r="ELP954" s="24"/>
      <c r="ELQ954" s="24"/>
      <c r="ELR954" s="24"/>
      <c r="ELS954" s="24"/>
      <c r="ELT954" s="24"/>
      <c r="ELU954" s="24"/>
      <c r="ELV954" s="24"/>
      <c r="ELW954" s="24"/>
      <c r="ELX954" s="24"/>
      <c r="ELY954" s="24"/>
      <c r="ELZ954" s="24"/>
      <c r="EMA954" s="24"/>
      <c r="EMB954" s="24"/>
      <c r="EMC954" s="24"/>
      <c r="EMD954" s="24"/>
      <c r="EME954" s="24"/>
      <c r="EMF954" s="24"/>
      <c r="EMG954" s="24"/>
      <c r="EMH954" s="24"/>
      <c r="EMI954" s="24"/>
      <c r="EMJ954" s="24"/>
      <c r="EMK954" s="24"/>
      <c r="EML954" s="24"/>
      <c r="EMM954" s="24"/>
      <c r="EMN954" s="24"/>
      <c r="EMO954" s="24"/>
      <c r="EMP954" s="24"/>
      <c r="EMQ954" s="24"/>
      <c r="EMR954" s="24"/>
      <c r="EMS954" s="24"/>
      <c r="EMT954" s="24"/>
      <c r="EMU954" s="24"/>
      <c r="EMV954" s="24"/>
      <c r="EMW954" s="24"/>
      <c r="EMX954" s="24"/>
      <c r="EMY954" s="24"/>
      <c r="EMZ954" s="24"/>
      <c r="ENA954" s="24"/>
      <c r="ENB954" s="24"/>
      <c r="ENC954" s="24"/>
      <c r="END954" s="24"/>
      <c r="ENE954" s="24"/>
      <c r="ENF954" s="24"/>
      <c r="ENG954" s="24"/>
      <c r="ENH954" s="24"/>
      <c r="ENI954" s="24"/>
      <c r="ENJ954" s="24"/>
      <c r="ENK954" s="24"/>
      <c r="ENL954" s="24"/>
      <c r="ENM954" s="24"/>
      <c r="ENN954" s="24"/>
      <c r="ENO954" s="24"/>
      <c r="ENP954" s="24"/>
      <c r="ENQ954" s="24"/>
      <c r="ENR954" s="24"/>
      <c r="ENS954" s="24"/>
      <c r="ENT954" s="24"/>
      <c r="ENU954" s="24"/>
      <c r="ENV954" s="24"/>
      <c r="ENW954" s="24"/>
      <c r="ENX954" s="24"/>
      <c r="ENY954" s="24"/>
      <c r="ENZ954" s="24"/>
      <c r="EOA954" s="24"/>
      <c r="EOB954" s="24"/>
      <c r="EOC954" s="24"/>
      <c r="EOD954" s="24"/>
      <c r="EOE954" s="24"/>
      <c r="EOF954" s="24"/>
      <c r="EOG954" s="24"/>
      <c r="EOH954" s="24"/>
      <c r="EOI954" s="24"/>
      <c r="EOJ954" s="24"/>
      <c r="EOK954" s="24"/>
      <c r="EOL954" s="24"/>
      <c r="EOM954" s="24"/>
      <c r="EON954" s="24"/>
      <c r="EOO954" s="24"/>
      <c r="EOP954" s="24"/>
      <c r="EOQ954" s="24"/>
      <c r="EOR954" s="24"/>
      <c r="EOS954" s="24"/>
      <c r="EOT954" s="24"/>
      <c r="EOU954" s="24"/>
      <c r="EOV954" s="24"/>
      <c r="EOW954" s="24"/>
      <c r="EOX954" s="24"/>
      <c r="EOY954" s="24"/>
      <c r="EOZ954" s="24"/>
      <c r="EPA954" s="24"/>
      <c r="EPB954" s="24"/>
      <c r="EPC954" s="24"/>
      <c r="EPD954" s="24"/>
      <c r="EPE954" s="24"/>
      <c r="EPF954" s="24"/>
      <c r="EPG954" s="24"/>
      <c r="EPH954" s="24"/>
      <c r="EPI954" s="24"/>
      <c r="EPJ954" s="24"/>
      <c r="EPK954" s="24"/>
      <c r="EPL954" s="24"/>
      <c r="EPM954" s="24"/>
      <c r="EPN954" s="24"/>
      <c r="EPO954" s="24"/>
      <c r="EPP954" s="24"/>
      <c r="EPQ954" s="24"/>
      <c r="EPR954" s="24"/>
      <c r="EPS954" s="24"/>
      <c r="EPT954" s="24"/>
      <c r="EPU954" s="24"/>
      <c r="EPV954" s="24"/>
      <c r="EPW954" s="24"/>
      <c r="EPX954" s="24"/>
      <c r="EPY954" s="24"/>
      <c r="EPZ954" s="24"/>
      <c r="EQA954" s="24"/>
      <c r="EQB954" s="24"/>
      <c r="EQC954" s="24"/>
      <c r="EQD954" s="24"/>
      <c r="EQE954" s="24"/>
      <c r="EQF954" s="24"/>
      <c r="EQG954" s="24"/>
      <c r="EQH954" s="24"/>
      <c r="EQI954" s="24"/>
      <c r="EQJ954" s="24"/>
      <c r="EQK954" s="24"/>
      <c r="EQL954" s="24"/>
      <c r="EQM954" s="24"/>
      <c r="EQN954" s="24"/>
      <c r="EQO954" s="24"/>
      <c r="EQP954" s="24"/>
      <c r="EQQ954" s="24"/>
      <c r="EQR954" s="24"/>
      <c r="EQS954" s="24"/>
      <c r="EQT954" s="24"/>
      <c r="EQU954" s="24"/>
      <c r="EQV954" s="24"/>
      <c r="EQW954" s="24"/>
      <c r="EQX954" s="24"/>
      <c r="EQY954" s="24"/>
      <c r="EQZ954" s="24"/>
      <c r="ERA954" s="24"/>
      <c r="ERB954" s="24"/>
      <c r="ERC954" s="24"/>
      <c r="ERD954" s="24"/>
      <c r="ERE954" s="24"/>
      <c r="ERF954" s="24"/>
      <c r="ERG954" s="24"/>
      <c r="ERH954" s="24"/>
      <c r="ERI954" s="24"/>
      <c r="ERJ954" s="24"/>
      <c r="ERK954" s="24"/>
      <c r="ERL954" s="24"/>
      <c r="ERM954" s="24"/>
      <c r="ERN954" s="24"/>
      <c r="ERO954" s="24"/>
      <c r="ERP954" s="24"/>
      <c r="ERQ954" s="24"/>
      <c r="ERR954" s="24"/>
      <c r="ERS954" s="24"/>
      <c r="ERT954" s="24"/>
      <c r="ERU954" s="24"/>
      <c r="ERV954" s="24"/>
      <c r="ERW954" s="24"/>
      <c r="ERX954" s="24"/>
      <c r="ERY954" s="24"/>
      <c r="ERZ954" s="24"/>
      <c r="ESA954" s="24"/>
      <c r="ESB954" s="24"/>
      <c r="ESC954" s="24"/>
      <c r="ESD954" s="24"/>
      <c r="ESE954" s="24"/>
      <c r="ESF954" s="24"/>
      <c r="ESG954" s="24"/>
      <c r="ESH954" s="24"/>
      <c r="ESI954" s="24"/>
      <c r="ESJ954" s="24"/>
      <c r="ESK954" s="24"/>
      <c r="ESL954" s="24"/>
      <c r="ESM954" s="24"/>
      <c r="ESN954" s="24"/>
      <c r="ESO954" s="24"/>
      <c r="ESP954" s="24"/>
      <c r="ESQ954" s="24"/>
      <c r="ESR954" s="24"/>
      <c r="ESS954" s="24"/>
      <c r="EST954" s="24"/>
      <c r="ESU954" s="24"/>
      <c r="ESV954" s="24"/>
      <c r="ESW954" s="24"/>
      <c r="ESX954" s="24"/>
      <c r="ESY954" s="24"/>
      <c r="ESZ954" s="24"/>
      <c r="ETA954" s="24"/>
      <c r="ETB954" s="24"/>
      <c r="ETC954" s="24"/>
      <c r="ETD954" s="24"/>
      <c r="ETE954" s="24"/>
      <c r="ETF954" s="24"/>
      <c r="ETG954" s="24"/>
      <c r="ETH954" s="24"/>
      <c r="ETI954" s="24"/>
      <c r="ETJ954" s="24"/>
      <c r="ETK954" s="24"/>
      <c r="ETL954" s="24"/>
      <c r="ETM954" s="24"/>
      <c r="ETN954" s="24"/>
      <c r="ETO954" s="24"/>
      <c r="ETP954" s="24"/>
      <c r="ETQ954" s="24"/>
      <c r="ETR954" s="24"/>
      <c r="ETS954" s="24"/>
      <c r="ETT954" s="24"/>
      <c r="ETU954" s="24"/>
      <c r="ETV954" s="24"/>
      <c r="ETW954" s="24"/>
      <c r="ETX954" s="24"/>
      <c r="ETY954" s="24"/>
      <c r="ETZ954" s="24"/>
      <c r="EUA954" s="24"/>
      <c r="EUB954" s="24"/>
      <c r="EUC954" s="24"/>
      <c r="EUD954" s="24"/>
      <c r="EUE954" s="24"/>
      <c r="EUF954" s="24"/>
      <c r="EUG954" s="24"/>
      <c r="EUH954" s="24"/>
      <c r="EUI954" s="24"/>
      <c r="EUJ954" s="24"/>
      <c r="EUK954" s="24"/>
      <c r="EUL954" s="24"/>
      <c r="EUM954" s="24"/>
      <c r="EUN954" s="24"/>
      <c r="EUO954" s="24"/>
      <c r="EUP954" s="24"/>
      <c r="EUQ954" s="24"/>
      <c r="EUR954" s="24"/>
      <c r="EUS954" s="24"/>
      <c r="EUT954" s="24"/>
      <c r="EUU954" s="24"/>
      <c r="EUV954" s="24"/>
      <c r="EUW954" s="24"/>
      <c r="EUX954" s="24"/>
      <c r="EUY954" s="24"/>
      <c r="EUZ954" s="24"/>
      <c r="EVA954" s="24"/>
      <c r="EVB954" s="24"/>
      <c r="EVC954" s="24"/>
      <c r="EVD954" s="24"/>
      <c r="EVE954" s="24"/>
      <c r="EVF954" s="24"/>
      <c r="EVG954" s="24"/>
      <c r="EVH954" s="24"/>
      <c r="EVI954" s="24"/>
      <c r="EVJ954" s="24"/>
      <c r="EVK954" s="24"/>
      <c r="EVL954" s="24"/>
      <c r="EVM954" s="24"/>
      <c r="EVN954" s="24"/>
      <c r="EVO954" s="24"/>
      <c r="EVP954" s="24"/>
      <c r="EVQ954" s="24"/>
      <c r="EVR954" s="24"/>
      <c r="EVS954" s="24"/>
      <c r="EVT954" s="24"/>
      <c r="EVU954" s="24"/>
      <c r="EVV954" s="24"/>
      <c r="EVW954" s="24"/>
      <c r="EVX954" s="24"/>
      <c r="EVY954" s="24"/>
      <c r="EVZ954" s="24"/>
      <c r="EWA954" s="24"/>
      <c r="EWB954" s="24"/>
      <c r="EWC954" s="24"/>
      <c r="EWD954" s="24"/>
      <c r="EWE954" s="24"/>
      <c r="EWF954" s="24"/>
      <c r="EWG954" s="24"/>
      <c r="EWH954" s="24"/>
      <c r="EWI954" s="24"/>
      <c r="EWJ954" s="24"/>
      <c r="EWK954" s="24"/>
      <c r="EWL954" s="24"/>
      <c r="EWM954" s="24"/>
      <c r="EWN954" s="24"/>
      <c r="EWO954" s="24"/>
      <c r="EWP954" s="24"/>
      <c r="EWQ954" s="24"/>
      <c r="EWR954" s="24"/>
      <c r="EWS954" s="24"/>
      <c r="EWT954" s="24"/>
      <c r="EWU954" s="24"/>
      <c r="EWV954" s="24"/>
      <c r="EWW954" s="24"/>
      <c r="EWX954" s="24"/>
      <c r="EWY954" s="24"/>
      <c r="EWZ954" s="24"/>
      <c r="EXA954" s="24"/>
      <c r="EXB954" s="24"/>
      <c r="EXC954" s="24"/>
      <c r="EXD954" s="24"/>
      <c r="EXE954" s="24"/>
      <c r="EXF954" s="24"/>
      <c r="EXG954" s="24"/>
      <c r="EXH954" s="24"/>
      <c r="EXI954" s="24"/>
      <c r="EXJ954" s="24"/>
      <c r="EXK954" s="24"/>
      <c r="EXL954" s="24"/>
      <c r="EXM954" s="24"/>
      <c r="EXN954" s="24"/>
      <c r="EXO954" s="24"/>
      <c r="EXP954" s="24"/>
      <c r="EXQ954" s="24"/>
      <c r="EXR954" s="24"/>
      <c r="EXS954" s="24"/>
      <c r="EXT954" s="24"/>
      <c r="EXU954" s="24"/>
      <c r="EXV954" s="24"/>
      <c r="EXW954" s="24"/>
      <c r="EXX954" s="24"/>
      <c r="EXY954" s="24"/>
      <c r="EXZ954" s="24"/>
      <c r="EYA954" s="24"/>
      <c r="EYB954" s="24"/>
      <c r="EYC954" s="24"/>
      <c r="EYD954" s="24"/>
      <c r="EYE954" s="24"/>
      <c r="EYF954" s="24"/>
      <c r="EYG954" s="24"/>
      <c r="EYH954" s="24"/>
      <c r="EYI954" s="24"/>
      <c r="EYJ954" s="24"/>
      <c r="EYK954" s="24"/>
      <c r="EYL954" s="24"/>
      <c r="EYM954" s="24"/>
      <c r="EYN954" s="24"/>
      <c r="EYO954" s="24"/>
      <c r="EYP954" s="24"/>
      <c r="EYQ954" s="24"/>
      <c r="EYR954" s="24"/>
      <c r="EYS954" s="24"/>
      <c r="EYT954" s="24"/>
      <c r="EYU954" s="24"/>
      <c r="EYV954" s="24"/>
      <c r="EYW954" s="24"/>
      <c r="EYX954" s="24"/>
      <c r="EYY954" s="24"/>
      <c r="EYZ954" s="24"/>
      <c r="EZA954" s="24"/>
      <c r="EZB954" s="24"/>
      <c r="EZC954" s="24"/>
      <c r="EZD954" s="24"/>
      <c r="EZE954" s="24"/>
      <c r="EZF954" s="24"/>
      <c r="EZG954" s="24"/>
      <c r="EZH954" s="24"/>
      <c r="EZI954" s="24"/>
      <c r="EZJ954" s="24"/>
      <c r="EZK954" s="24"/>
      <c r="EZL954" s="24"/>
      <c r="EZM954" s="24"/>
      <c r="EZN954" s="24"/>
      <c r="EZO954" s="24"/>
      <c r="EZP954" s="24"/>
      <c r="EZQ954" s="24"/>
      <c r="EZR954" s="24"/>
      <c r="EZS954" s="24"/>
      <c r="EZT954" s="24"/>
      <c r="EZU954" s="24"/>
      <c r="EZV954" s="24"/>
      <c r="EZW954" s="24"/>
      <c r="EZX954" s="24"/>
      <c r="EZY954" s="24"/>
      <c r="EZZ954" s="24"/>
      <c r="FAA954" s="24"/>
      <c r="FAB954" s="24"/>
      <c r="FAC954" s="24"/>
      <c r="FAD954" s="24"/>
      <c r="FAE954" s="24"/>
      <c r="FAF954" s="24"/>
      <c r="FAG954" s="24"/>
      <c r="FAH954" s="24"/>
      <c r="FAI954" s="24"/>
      <c r="FAJ954" s="24"/>
      <c r="FAK954" s="24"/>
      <c r="FAL954" s="24"/>
      <c r="FAM954" s="24"/>
      <c r="FAN954" s="24"/>
      <c r="FAO954" s="24"/>
      <c r="FAP954" s="24"/>
      <c r="FAQ954" s="24"/>
      <c r="FAR954" s="24"/>
      <c r="FAS954" s="24"/>
      <c r="FAT954" s="24"/>
      <c r="FAU954" s="24"/>
      <c r="FAV954" s="24"/>
      <c r="FAW954" s="24"/>
      <c r="FAX954" s="24"/>
      <c r="FAY954" s="24"/>
      <c r="FAZ954" s="24"/>
      <c r="FBA954" s="24"/>
      <c r="FBB954" s="24"/>
      <c r="FBC954" s="24"/>
      <c r="FBD954" s="24"/>
      <c r="FBE954" s="24"/>
      <c r="FBF954" s="24"/>
      <c r="FBG954" s="24"/>
      <c r="FBH954" s="24"/>
      <c r="FBI954" s="24"/>
      <c r="FBJ954" s="24"/>
      <c r="FBK954" s="24"/>
      <c r="FBL954" s="24"/>
      <c r="FBM954" s="24"/>
      <c r="FBN954" s="24"/>
      <c r="FBO954" s="24"/>
      <c r="FBP954" s="24"/>
      <c r="FBQ954" s="24"/>
      <c r="FBR954" s="24"/>
      <c r="FBS954" s="24"/>
      <c r="FBT954" s="24"/>
      <c r="FBU954" s="24"/>
      <c r="FBV954" s="24"/>
      <c r="FBW954" s="24"/>
      <c r="FBX954" s="24"/>
      <c r="FBY954" s="24"/>
      <c r="FBZ954" s="24"/>
      <c r="FCA954" s="24"/>
      <c r="FCB954" s="24"/>
      <c r="FCC954" s="24"/>
      <c r="FCD954" s="24"/>
      <c r="FCE954" s="24"/>
      <c r="FCF954" s="24"/>
      <c r="FCG954" s="24"/>
      <c r="FCH954" s="24"/>
      <c r="FCI954" s="24"/>
      <c r="FCJ954" s="24"/>
      <c r="FCK954" s="24"/>
      <c r="FCL954" s="24"/>
      <c r="FCM954" s="24"/>
      <c r="FCN954" s="24"/>
      <c r="FCO954" s="24"/>
      <c r="FCP954" s="24"/>
      <c r="FCQ954" s="24"/>
      <c r="FCR954" s="24"/>
      <c r="FCS954" s="24"/>
      <c r="FCT954" s="24"/>
      <c r="FCU954" s="24"/>
      <c r="FCV954" s="24"/>
      <c r="FCW954" s="24"/>
      <c r="FCX954" s="24"/>
      <c r="FCY954" s="24"/>
      <c r="FCZ954" s="24"/>
      <c r="FDA954" s="24"/>
      <c r="FDB954" s="24"/>
      <c r="FDC954" s="24"/>
      <c r="FDD954" s="24"/>
      <c r="FDE954" s="24"/>
      <c r="FDF954" s="24"/>
      <c r="FDG954" s="24"/>
      <c r="FDH954" s="24"/>
      <c r="FDI954" s="24"/>
      <c r="FDJ954" s="24"/>
      <c r="FDK954" s="24"/>
      <c r="FDL954" s="24"/>
      <c r="FDM954" s="24"/>
      <c r="FDN954" s="24"/>
      <c r="FDO954" s="24"/>
      <c r="FDP954" s="24"/>
      <c r="FDQ954" s="24"/>
      <c r="FDR954" s="24"/>
      <c r="FDS954" s="24"/>
      <c r="FDT954" s="24"/>
      <c r="FDU954" s="24"/>
      <c r="FDV954" s="24"/>
      <c r="FDW954" s="24"/>
      <c r="FDX954" s="24"/>
      <c r="FDY954" s="24"/>
      <c r="FDZ954" s="24"/>
      <c r="FEA954" s="24"/>
      <c r="FEB954" s="24"/>
      <c r="FEC954" s="24"/>
      <c r="FED954" s="24"/>
      <c r="FEE954" s="24"/>
      <c r="FEF954" s="24"/>
      <c r="FEG954" s="24"/>
      <c r="FEH954" s="24"/>
      <c r="FEI954" s="24"/>
      <c r="FEJ954" s="24"/>
      <c r="FEK954" s="24"/>
      <c r="FEL954" s="24"/>
      <c r="FEM954" s="24"/>
      <c r="FEN954" s="24"/>
      <c r="FEO954" s="24"/>
      <c r="FEP954" s="24"/>
      <c r="FEQ954" s="24"/>
      <c r="FER954" s="24"/>
      <c r="FES954" s="24"/>
      <c r="FET954" s="24"/>
      <c r="FEU954" s="24"/>
      <c r="FEV954" s="24"/>
      <c r="FEW954" s="24"/>
      <c r="FEX954" s="24"/>
      <c r="FEY954" s="24"/>
      <c r="FEZ954" s="24"/>
      <c r="FFA954" s="24"/>
      <c r="FFB954" s="24"/>
      <c r="FFC954" s="24"/>
      <c r="FFD954" s="24"/>
      <c r="FFE954" s="24"/>
      <c r="FFF954" s="24"/>
      <c r="FFG954" s="24"/>
      <c r="FFH954" s="24"/>
      <c r="FFI954" s="24"/>
      <c r="FFJ954" s="24"/>
      <c r="FFK954" s="24"/>
      <c r="FFL954" s="24"/>
      <c r="FFM954" s="24"/>
      <c r="FFN954" s="24"/>
      <c r="FFO954" s="24"/>
      <c r="FFP954" s="24"/>
      <c r="FFQ954" s="24"/>
      <c r="FFR954" s="24"/>
      <c r="FFS954" s="24"/>
      <c r="FFT954" s="24"/>
      <c r="FFU954" s="24"/>
      <c r="FFV954" s="24"/>
      <c r="FFW954" s="24"/>
      <c r="FFX954" s="24"/>
      <c r="FFY954" s="24"/>
      <c r="FFZ954" s="24"/>
      <c r="FGA954" s="24"/>
      <c r="FGB954" s="24"/>
      <c r="FGC954" s="24"/>
      <c r="FGD954" s="24"/>
      <c r="FGE954" s="24"/>
      <c r="FGF954" s="24"/>
      <c r="FGG954" s="24"/>
      <c r="FGH954" s="24"/>
      <c r="FGI954" s="24"/>
      <c r="FGJ954" s="24"/>
      <c r="FGK954" s="24"/>
      <c r="FGL954" s="24"/>
      <c r="FGM954" s="24"/>
      <c r="FGN954" s="24"/>
      <c r="FGO954" s="24"/>
      <c r="FGP954" s="24"/>
      <c r="FGQ954" s="24"/>
      <c r="FGR954" s="24"/>
      <c r="FGS954" s="24"/>
      <c r="FGT954" s="24"/>
      <c r="FGU954" s="24"/>
      <c r="FGV954" s="24"/>
      <c r="FGW954" s="24"/>
      <c r="FGX954" s="24"/>
      <c r="FGY954" s="24"/>
      <c r="FGZ954" s="24"/>
      <c r="FHA954" s="24"/>
      <c r="FHB954" s="24"/>
      <c r="FHC954" s="24"/>
      <c r="FHD954" s="24"/>
      <c r="FHE954" s="24"/>
      <c r="FHF954" s="24"/>
      <c r="FHG954" s="24"/>
      <c r="FHH954" s="24"/>
      <c r="FHI954" s="24"/>
      <c r="FHJ954" s="24"/>
      <c r="FHK954" s="24"/>
      <c r="FHL954" s="24"/>
      <c r="FHM954" s="24"/>
      <c r="FHN954" s="24"/>
      <c r="FHO954" s="24"/>
      <c r="FHP954" s="24"/>
      <c r="FHQ954" s="24"/>
      <c r="FHR954" s="24"/>
      <c r="FHS954" s="24"/>
      <c r="FHT954" s="24"/>
      <c r="FHU954" s="24"/>
      <c r="FHV954" s="24"/>
      <c r="FHW954" s="24"/>
      <c r="FHX954" s="24"/>
      <c r="FHY954" s="24"/>
      <c r="FHZ954" s="24"/>
      <c r="FIA954" s="24"/>
      <c r="FIB954" s="24"/>
      <c r="FIC954" s="24"/>
      <c r="FID954" s="24"/>
      <c r="FIE954" s="24"/>
      <c r="FIF954" s="24"/>
      <c r="FIG954" s="24"/>
      <c r="FIH954" s="24"/>
      <c r="FII954" s="24"/>
      <c r="FIJ954" s="24"/>
      <c r="FIK954" s="24"/>
      <c r="FIL954" s="24"/>
      <c r="FIM954" s="24"/>
      <c r="FIN954" s="24"/>
      <c r="FIO954" s="24"/>
      <c r="FIP954" s="24"/>
      <c r="FIQ954" s="24"/>
      <c r="FIR954" s="24"/>
      <c r="FIS954" s="24"/>
      <c r="FIT954" s="24"/>
      <c r="FIU954" s="24"/>
      <c r="FIV954" s="24"/>
      <c r="FIW954" s="24"/>
      <c r="FIX954" s="24"/>
      <c r="FIY954" s="24"/>
      <c r="FIZ954" s="24"/>
      <c r="FJA954" s="24"/>
      <c r="FJB954" s="24"/>
      <c r="FJC954" s="24"/>
      <c r="FJD954" s="24"/>
      <c r="FJE954" s="24"/>
      <c r="FJF954" s="24"/>
      <c r="FJG954" s="24"/>
      <c r="FJH954" s="24"/>
      <c r="FJI954" s="24"/>
      <c r="FJJ954" s="24"/>
      <c r="FJK954" s="24"/>
      <c r="FJL954" s="24"/>
      <c r="FJM954" s="24"/>
      <c r="FJN954" s="24"/>
      <c r="FJO954" s="24"/>
      <c r="FJP954" s="24"/>
      <c r="FJQ954" s="24"/>
      <c r="FJR954" s="24"/>
      <c r="FJS954" s="24"/>
      <c r="FJT954" s="24"/>
      <c r="FJU954" s="24"/>
      <c r="FJV954" s="24"/>
      <c r="FJW954" s="24"/>
      <c r="FJX954" s="24"/>
      <c r="FJY954" s="24"/>
      <c r="FJZ954" s="24"/>
      <c r="FKA954" s="24"/>
      <c r="FKB954" s="24"/>
      <c r="FKC954" s="24"/>
      <c r="FKD954" s="24"/>
      <c r="FKE954" s="24"/>
      <c r="FKF954" s="24"/>
      <c r="FKG954" s="24"/>
      <c r="FKH954" s="24"/>
      <c r="FKI954" s="24"/>
      <c r="FKJ954" s="24"/>
      <c r="FKK954" s="24"/>
      <c r="FKL954" s="24"/>
      <c r="FKM954" s="24"/>
      <c r="FKN954" s="24"/>
      <c r="FKO954" s="24"/>
      <c r="FKP954" s="24"/>
      <c r="FKQ954" s="24"/>
      <c r="FKR954" s="24"/>
      <c r="FKS954" s="24"/>
      <c r="FKT954" s="24"/>
      <c r="FKU954" s="24"/>
      <c r="FKV954" s="24"/>
      <c r="FKW954" s="24"/>
      <c r="FKX954" s="24"/>
      <c r="FKY954" s="24"/>
      <c r="FKZ954" s="24"/>
      <c r="FLA954" s="24"/>
      <c r="FLB954" s="24"/>
      <c r="FLC954" s="24"/>
      <c r="FLD954" s="24"/>
      <c r="FLE954" s="24"/>
      <c r="FLF954" s="24"/>
      <c r="FLG954" s="24"/>
      <c r="FLH954" s="24"/>
      <c r="FLI954" s="24"/>
      <c r="FLJ954" s="24"/>
      <c r="FLK954" s="24"/>
      <c r="FLL954" s="24"/>
      <c r="FLM954" s="24"/>
      <c r="FLN954" s="24"/>
      <c r="FLO954" s="24"/>
      <c r="FLP954" s="24"/>
      <c r="FLQ954" s="24"/>
      <c r="FLR954" s="24"/>
      <c r="FLS954" s="24"/>
      <c r="FLT954" s="24"/>
      <c r="FLU954" s="24"/>
      <c r="FLV954" s="24"/>
      <c r="FLW954" s="24"/>
      <c r="FLX954" s="24"/>
      <c r="FLY954" s="24"/>
      <c r="FLZ954" s="24"/>
      <c r="FMA954" s="24"/>
      <c r="FMB954" s="24"/>
      <c r="FMC954" s="24"/>
      <c r="FMD954" s="24"/>
      <c r="FME954" s="24"/>
      <c r="FMF954" s="24"/>
      <c r="FMG954" s="24"/>
      <c r="FMH954" s="24"/>
      <c r="FMI954" s="24"/>
      <c r="FMJ954" s="24"/>
      <c r="FMK954" s="24"/>
      <c r="FML954" s="24"/>
      <c r="FMM954" s="24"/>
      <c r="FMN954" s="24"/>
      <c r="FMO954" s="24"/>
      <c r="FMP954" s="24"/>
      <c r="FMQ954" s="24"/>
      <c r="FMR954" s="24"/>
      <c r="FMS954" s="24"/>
      <c r="FMT954" s="24"/>
      <c r="FMU954" s="24"/>
      <c r="FMV954" s="24"/>
      <c r="FMW954" s="24"/>
      <c r="FMX954" s="24"/>
      <c r="FMY954" s="24"/>
      <c r="FMZ954" s="24"/>
      <c r="FNA954" s="24"/>
      <c r="FNB954" s="24"/>
      <c r="FNC954" s="24"/>
      <c r="FND954" s="24"/>
      <c r="FNE954" s="24"/>
      <c r="FNF954" s="24"/>
      <c r="FNG954" s="24"/>
      <c r="FNH954" s="24"/>
      <c r="FNI954" s="24"/>
      <c r="FNJ954" s="24"/>
      <c r="FNK954" s="24"/>
      <c r="FNL954" s="24"/>
      <c r="FNM954" s="24"/>
      <c r="FNN954" s="24"/>
      <c r="FNO954" s="24"/>
      <c r="FNP954" s="24"/>
      <c r="FNQ954" s="24"/>
      <c r="FNR954" s="24"/>
      <c r="FNS954" s="24"/>
      <c r="FNT954" s="24"/>
      <c r="FNU954" s="24"/>
      <c r="FNV954" s="24"/>
      <c r="FNW954" s="24"/>
      <c r="FNX954" s="24"/>
      <c r="FNY954" s="24"/>
      <c r="FNZ954" s="24"/>
      <c r="FOA954" s="24"/>
      <c r="FOB954" s="24"/>
      <c r="FOC954" s="24"/>
      <c r="FOD954" s="24"/>
      <c r="FOE954" s="24"/>
      <c r="FOF954" s="24"/>
      <c r="FOG954" s="24"/>
      <c r="FOH954" s="24"/>
      <c r="FOI954" s="24"/>
      <c r="FOJ954" s="24"/>
      <c r="FOK954" s="24"/>
      <c r="FOL954" s="24"/>
      <c r="FOM954" s="24"/>
      <c r="FON954" s="24"/>
      <c r="FOO954" s="24"/>
      <c r="FOP954" s="24"/>
      <c r="FOQ954" s="24"/>
      <c r="FOR954" s="24"/>
      <c r="FOS954" s="24"/>
      <c r="FOT954" s="24"/>
      <c r="FOU954" s="24"/>
      <c r="FOV954" s="24"/>
      <c r="FOW954" s="24"/>
      <c r="FOX954" s="24"/>
      <c r="FOY954" s="24"/>
      <c r="FOZ954" s="24"/>
      <c r="FPA954" s="24"/>
      <c r="FPB954" s="24"/>
      <c r="FPC954" s="24"/>
      <c r="FPD954" s="24"/>
      <c r="FPE954" s="24"/>
      <c r="FPF954" s="24"/>
      <c r="FPG954" s="24"/>
      <c r="FPH954" s="24"/>
      <c r="FPI954" s="24"/>
      <c r="FPJ954" s="24"/>
      <c r="FPK954" s="24"/>
      <c r="FPL954" s="24"/>
      <c r="FPM954" s="24"/>
      <c r="FPN954" s="24"/>
      <c r="FPO954" s="24"/>
      <c r="FPP954" s="24"/>
      <c r="FPQ954" s="24"/>
      <c r="FPR954" s="24"/>
      <c r="FPS954" s="24"/>
      <c r="FPT954" s="24"/>
      <c r="FPU954" s="24"/>
      <c r="FPV954" s="24"/>
      <c r="FPW954" s="24"/>
      <c r="FPX954" s="24"/>
      <c r="FPY954" s="24"/>
      <c r="FPZ954" s="24"/>
      <c r="FQA954" s="24"/>
      <c r="FQB954" s="24"/>
      <c r="FQC954" s="24"/>
      <c r="FQD954" s="24"/>
      <c r="FQE954" s="24"/>
      <c r="FQF954" s="24"/>
      <c r="FQG954" s="24"/>
      <c r="FQH954" s="24"/>
      <c r="FQI954" s="24"/>
      <c r="FQJ954" s="24"/>
      <c r="FQK954" s="24"/>
      <c r="FQL954" s="24"/>
      <c r="FQM954" s="24"/>
      <c r="FQN954" s="24"/>
      <c r="FQO954" s="24"/>
      <c r="FQP954" s="24"/>
      <c r="FQQ954" s="24"/>
      <c r="FQR954" s="24"/>
      <c r="FQS954" s="24"/>
      <c r="FQT954" s="24"/>
      <c r="FQU954" s="24"/>
      <c r="FQV954" s="24"/>
      <c r="FQW954" s="24"/>
      <c r="FQX954" s="24"/>
      <c r="FQY954" s="24"/>
      <c r="FQZ954" s="24"/>
      <c r="FRA954" s="24"/>
      <c r="FRB954" s="24"/>
      <c r="FRC954" s="24"/>
      <c r="FRD954" s="24"/>
      <c r="FRE954" s="24"/>
      <c r="FRF954" s="24"/>
      <c r="FRG954" s="24"/>
      <c r="FRH954" s="24"/>
      <c r="FRI954" s="24"/>
      <c r="FRJ954" s="24"/>
      <c r="FRK954" s="24"/>
      <c r="FRL954" s="24"/>
      <c r="FRM954" s="24"/>
      <c r="FRN954" s="24"/>
      <c r="FRO954" s="24"/>
      <c r="FRP954" s="24"/>
      <c r="FRQ954" s="24"/>
      <c r="FRR954" s="24"/>
      <c r="FRS954" s="24"/>
      <c r="FRT954" s="24"/>
      <c r="FRU954" s="24"/>
      <c r="FRV954" s="24"/>
      <c r="FRW954" s="24"/>
      <c r="FRX954" s="24"/>
      <c r="FRY954" s="24"/>
      <c r="FRZ954" s="24"/>
      <c r="FSA954" s="24"/>
      <c r="FSB954" s="24"/>
      <c r="FSC954" s="24"/>
      <c r="FSD954" s="24"/>
      <c r="FSE954" s="24"/>
      <c r="FSF954" s="24"/>
      <c r="FSG954" s="24"/>
      <c r="FSH954" s="24"/>
      <c r="FSI954" s="24"/>
      <c r="FSJ954" s="24"/>
      <c r="FSK954" s="24"/>
      <c r="FSL954" s="24"/>
      <c r="FSM954" s="24"/>
      <c r="FSN954" s="24"/>
      <c r="FSO954" s="24"/>
      <c r="FSP954" s="24"/>
      <c r="FSQ954" s="24"/>
      <c r="FSR954" s="24"/>
      <c r="FSS954" s="24"/>
      <c r="FST954" s="24"/>
      <c r="FSU954" s="24"/>
      <c r="FSV954" s="24"/>
      <c r="FSW954" s="24"/>
      <c r="FSX954" s="24"/>
      <c r="FSY954" s="24"/>
      <c r="FSZ954" s="24"/>
      <c r="FTA954" s="24"/>
      <c r="FTB954" s="24"/>
      <c r="FTC954" s="24"/>
      <c r="FTD954" s="24"/>
      <c r="FTE954" s="24"/>
      <c r="FTF954" s="24"/>
      <c r="FTG954" s="24"/>
      <c r="FTH954" s="24"/>
      <c r="FTI954" s="24"/>
      <c r="FTJ954" s="24"/>
      <c r="FTK954" s="24"/>
      <c r="FTL954" s="24"/>
      <c r="FTM954" s="24"/>
      <c r="FTN954" s="24"/>
      <c r="FTO954" s="24"/>
      <c r="FTP954" s="24"/>
      <c r="FTQ954" s="24"/>
      <c r="FTR954" s="24"/>
      <c r="FTS954" s="24"/>
      <c r="FTT954" s="24"/>
      <c r="FTU954" s="24"/>
      <c r="FTV954" s="24"/>
      <c r="FTW954" s="24"/>
      <c r="FTX954" s="24"/>
      <c r="FTY954" s="24"/>
      <c r="FTZ954" s="24"/>
      <c r="FUA954" s="24"/>
      <c r="FUB954" s="24"/>
      <c r="FUC954" s="24"/>
      <c r="FUD954" s="24"/>
      <c r="FUE954" s="24"/>
      <c r="FUF954" s="24"/>
      <c r="FUG954" s="24"/>
      <c r="FUH954" s="24"/>
      <c r="FUI954" s="24"/>
      <c r="FUJ954" s="24"/>
      <c r="FUK954" s="24"/>
      <c r="FUL954" s="24"/>
      <c r="FUM954" s="24"/>
      <c r="FUN954" s="24"/>
      <c r="FUO954" s="24"/>
      <c r="FUP954" s="24"/>
      <c r="FUQ954" s="24"/>
      <c r="FUR954" s="24"/>
      <c r="FUS954" s="24"/>
      <c r="FUT954" s="24"/>
      <c r="FUU954" s="24"/>
      <c r="FUV954" s="24"/>
      <c r="FUW954" s="24"/>
      <c r="FUX954" s="24"/>
      <c r="FUY954" s="24"/>
      <c r="FUZ954" s="24"/>
      <c r="FVA954" s="24"/>
      <c r="FVB954" s="24"/>
      <c r="FVC954" s="24"/>
      <c r="FVD954" s="24"/>
      <c r="FVE954" s="24"/>
      <c r="FVF954" s="24"/>
      <c r="FVG954" s="24"/>
      <c r="FVH954" s="24"/>
      <c r="FVI954" s="24"/>
      <c r="FVJ954" s="24"/>
      <c r="FVK954" s="24"/>
      <c r="FVL954" s="24"/>
      <c r="FVM954" s="24"/>
      <c r="FVN954" s="24"/>
      <c r="FVO954" s="24"/>
      <c r="FVP954" s="24"/>
      <c r="FVQ954" s="24"/>
      <c r="FVR954" s="24"/>
      <c r="FVS954" s="24"/>
      <c r="FVT954" s="24"/>
      <c r="FVU954" s="24"/>
      <c r="FVV954" s="24"/>
      <c r="FVW954" s="24"/>
      <c r="FVX954" s="24"/>
      <c r="FVY954" s="24"/>
      <c r="FVZ954" s="24"/>
      <c r="FWA954" s="24"/>
      <c r="FWB954" s="24"/>
      <c r="FWC954" s="24"/>
      <c r="FWD954" s="24"/>
      <c r="FWE954" s="24"/>
      <c r="FWF954" s="24"/>
      <c r="FWG954" s="24"/>
      <c r="FWH954" s="24"/>
      <c r="FWI954" s="24"/>
      <c r="FWJ954" s="24"/>
      <c r="FWK954" s="24"/>
      <c r="FWL954" s="24"/>
      <c r="FWM954" s="24"/>
      <c r="FWN954" s="24"/>
      <c r="FWO954" s="24"/>
      <c r="FWP954" s="24"/>
      <c r="FWQ954" s="24"/>
      <c r="FWR954" s="24"/>
      <c r="FWS954" s="24"/>
      <c r="FWT954" s="24"/>
      <c r="FWU954" s="24"/>
      <c r="FWV954" s="24"/>
      <c r="FWW954" s="24"/>
      <c r="FWX954" s="24"/>
      <c r="FWY954" s="24"/>
      <c r="FWZ954" s="24"/>
      <c r="FXA954" s="24"/>
      <c r="FXB954" s="24"/>
      <c r="FXC954" s="24"/>
      <c r="FXD954" s="24"/>
      <c r="FXE954" s="24"/>
      <c r="FXF954" s="24"/>
      <c r="FXG954" s="24"/>
      <c r="FXH954" s="24"/>
      <c r="FXI954" s="24"/>
      <c r="FXJ954" s="24"/>
      <c r="FXK954" s="24"/>
      <c r="FXL954" s="24"/>
      <c r="FXM954" s="24"/>
      <c r="FXN954" s="24"/>
      <c r="FXO954" s="24"/>
      <c r="FXP954" s="24"/>
      <c r="FXQ954" s="24"/>
      <c r="FXR954" s="24"/>
      <c r="FXS954" s="24"/>
      <c r="FXT954" s="24"/>
      <c r="FXU954" s="24"/>
      <c r="FXV954" s="24"/>
      <c r="FXW954" s="24"/>
      <c r="FXX954" s="24"/>
      <c r="FXY954" s="24"/>
      <c r="FXZ954" s="24"/>
      <c r="FYA954" s="24"/>
      <c r="FYB954" s="24"/>
      <c r="FYC954" s="24"/>
      <c r="FYD954" s="24"/>
      <c r="FYE954" s="24"/>
      <c r="FYF954" s="24"/>
      <c r="FYG954" s="24"/>
      <c r="FYH954" s="24"/>
      <c r="FYI954" s="24"/>
      <c r="FYJ954" s="24"/>
      <c r="FYK954" s="24"/>
      <c r="FYL954" s="24"/>
      <c r="FYM954" s="24"/>
      <c r="FYN954" s="24"/>
      <c r="FYO954" s="24"/>
      <c r="FYP954" s="24"/>
      <c r="FYQ954" s="24"/>
      <c r="FYR954" s="24"/>
      <c r="FYS954" s="24"/>
      <c r="FYT954" s="24"/>
      <c r="FYU954" s="24"/>
      <c r="FYV954" s="24"/>
      <c r="FYW954" s="24"/>
      <c r="FYX954" s="24"/>
      <c r="FYY954" s="24"/>
      <c r="FYZ954" s="24"/>
      <c r="FZA954" s="24"/>
      <c r="FZB954" s="24"/>
      <c r="FZC954" s="24"/>
      <c r="FZD954" s="24"/>
      <c r="FZE954" s="24"/>
      <c r="FZF954" s="24"/>
      <c r="FZG954" s="24"/>
      <c r="FZH954" s="24"/>
      <c r="FZI954" s="24"/>
      <c r="FZJ954" s="24"/>
      <c r="FZK954" s="24"/>
      <c r="FZL954" s="24"/>
      <c r="FZM954" s="24"/>
      <c r="FZN954" s="24"/>
      <c r="FZO954" s="24"/>
      <c r="FZP954" s="24"/>
      <c r="FZQ954" s="24"/>
      <c r="FZR954" s="24"/>
      <c r="FZS954" s="24"/>
      <c r="FZT954" s="24"/>
      <c r="FZU954" s="24"/>
      <c r="FZV954" s="24"/>
      <c r="FZW954" s="24"/>
      <c r="FZX954" s="24"/>
      <c r="FZY954" s="24"/>
      <c r="FZZ954" s="24"/>
      <c r="GAA954" s="24"/>
      <c r="GAB954" s="24"/>
      <c r="GAC954" s="24"/>
      <c r="GAD954" s="24"/>
      <c r="GAE954" s="24"/>
      <c r="GAF954" s="24"/>
      <c r="GAG954" s="24"/>
      <c r="GAH954" s="24"/>
      <c r="GAI954" s="24"/>
      <c r="GAJ954" s="24"/>
      <c r="GAK954" s="24"/>
      <c r="GAL954" s="24"/>
      <c r="GAM954" s="24"/>
      <c r="GAN954" s="24"/>
      <c r="GAO954" s="24"/>
      <c r="GAP954" s="24"/>
      <c r="GAQ954" s="24"/>
      <c r="GAR954" s="24"/>
      <c r="GAS954" s="24"/>
      <c r="GAT954" s="24"/>
      <c r="GAU954" s="24"/>
      <c r="GAV954" s="24"/>
      <c r="GAW954" s="24"/>
      <c r="GAX954" s="24"/>
      <c r="GAY954" s="24"/>
      <c r="GAZ954" s="24"/>
      <c r="GBA954" s="24"/>
      <c r="GBB954" s="24"/>
      <c r="GBC954" s="24"/>
      <c r="GBD954" s="24"/>
      <c r="GBE954" s="24"/>
      <c r="GBF954" s="24"/>
      <c r="GBG954" s="24"/>
      <c r="GBH954" s="24"/>
      <c r="GBI954" s="24"/>
      <c r="GBJ954" s="24"/>
      <c r="GBK954" s="24"/>
      <c r="GBL954" s="24"/>
      <c r="GBM954" s="24"/>
      <c r="GBN954" s="24"/>
      <c r="GBO954" s="24"/>
      <c r="GBP954" s="24"/>
      <c r="GBQ954" s="24"/>
      <c r="GBR954" s="24"/>
      <c r="GBS954" s="24"/>
      <c r="GBT954" s="24"/>
      <c r="GBU954" s="24"/>
      <c r="GBV954" s="24"/>
      <c r="GBW954" s="24"/>
      <c r="GBX954" s="24"/>
      <c r="GBY954" s="24"/>
      <c r="GBZ954" s="24"/>
      <c r="GCA954" s="24"/>
      <c r="GCB954" s="24"/>
      <c r="GCC954" s="24"/>
      <c r="GCD954" s="24"/>
      <c r="GCE954" s="24"/>
      <c r="GCF954" s="24"/>
      <c r="GCG954" s="24"/>
      <c r="GCH954" s="24"/>
      <c r="GCI954" s="24"/>
      <c r="GCJ954" s="24"/>
      <c r="GCK954" s="24"/>
      <c r="GCL954" s="24"/>
      <c r="GCM954" s="24"/>
      <c r="GCN954" s="24"/>
      <c r="GCO954" s="24"/>
      <c r="GCP954" s="24"/>
      <c r="GCQ954" s="24"/>
      <c r="GCR954" s="24"/>
      <c r="GCS954" s="24"/>
      <c r="GCT954" s="24"/>
      <c r="GCU954" s="24"/>
      <c r="GCV954" s="24"/>
      <c r="GCW954" s="24"/>
      <c r="GCX954" s="24"/>
      <c r="GCY954" s="24"/>
      <c r="GCZ954" s="24"/>
      <c r="GDA954" s="24"/>
      <c r="GDB954" s="24"/>
      <c r="GDC954" s="24"/>
      <c r="GDD954" s="24"/>
      <c r="GDE954" s="24"/>
      <c r="GDF954" s="24"/>
      <c r="GDG954" s="24"/>
      <c r="GDH954" s="24"/>
      <c r="GDI954" s="24"/>
      <c r="GDJ954" s="24"/>
      <c r="GDK954" s="24"/>
      <c r="GDL954" s="24"/>
      <c r="GDM954" s="24"/>
      <c r="GDN954" s="24"/>
      <c r="GDO954" s="24"/>
      <c r="GDP954" s="24"/>
      <c r="GDQ954" s="24"/>
      <c r="GDR954" s="24"/>
      <c r="GDS954" s="24"/>
      <c r="GDT954" s="24"/>
      <c r="GDU954" s="24"/>
      <c r="GDV954" s="24"/>
      <c r="GDW954" s="24"/>
      <c r="GDX954" s="24"/>
      <c r="GDY954" s="24"/>
      <c r="GDZ954" s="24"/>
      <c r="GEA954" s="24"/>
      <c r="GEB954" s="24"/>
      <c r="GEC954" s="24"/>
      <c r="GED954" s="24"/>
      <c r="GEE954" s="24"/>
      <c r="GEF954" s="24"/>
      <c r="GEG954" s="24"/>
      <c r="GEH954" s="24"/>
      <c r="GEI954" s="24"/>
      <c r="GEJ954" s="24"/>
      <c r="GEK954" s="24"/>
      <c r="GEL954" s="24"/>
      <c r="GEM954" s="24"/>
      <c r="GEN954" s="24"/>
      <c r="GEO954" s="24"/>
      <c r="GEP954" s="24"/>
      <c r="GEQ954" s="24"/>
      <c r="GER954" s="24"/>
      <c r="GES954" s="24"/>
      <c r="GET954" s="24"/>
      <c r="GEU954" s="24"/>
      <c r="GEV954" s="24"/>
      <c r="GEW954" s="24"/>
      <c r="GEX954" s="24"/>
      <c r="GEY954" s="24"/>
      <c r="GEZ954" s="24"/>
      <c r="GFA954" s="24"/>
      <c r="GFB954" s="24"/>
      <c r="GFC954" s="24"/>
      <c r="GFD954" s="24"/>
      <c r="GFE954" s="24"/>
      <c r="GFF954" s="24"/>
      <c r="GFG954" s="24"/>
      <c r="GFH954" s="24"/>
      <c r="GFI954" s="24"/>
      <c r="GFJ954" s="24"/>
      <c r="GFK954" s="24"/>
      <c r="GFL954" s="24"/>
      <c r="GFM954" s="24"/>
      <c r="GFN954" s="24"/>
      <c r="GFO954" s="24"/>
      <c r="GFP954" s="24"/>
      <c r="GFQ954" s="24"/>
      <c r="GFR954" s="24"/>
      <c r="GFS954" s="24"/>
      <c r="GFT954" s="24"/>
      <c r="GFU954" s="24"/>
      <c r="GFV954" s="24"/>
      <c r="GFW954" s="24"/>
      <c r="GFX954" s="24"/>
      <c r="GFY954" s="24"/>
      <c r="GFZ954" s="24"/>
      <c r="GGA954" s="24"/>
      <c r="GGB954" s="24"/>
      <c r="GGC954" s="24"/>
      <c r="GGD954" s="24"/>
      <c r="GGE954" s="24"/>
      <c r="GGF954" s="24"/>
      <c r="GGG954" s="24"/>
      <c r="GGH954" s="24"/>
      <c r="GGI954" s="24"/>
      <c r="GGJ954" s="24"/>
      <c r="GGK954" s="24"/>
      <c r="GGL954" s="24"/>
      <c r="GGM954" s="24"/>
      <c r="GGN954" s="24"/>
      <c r="GGO954" s="24"/>
      <c r="GGP954" s="24"/>
      <c r="GGQ954" s="24"/>
      <c r="GGR954" s="24"/>
      <c r="GGS954" s="24"/>
      <c r="GGT954" s="24"/>
      <c r="GGU954" s="24"/>
      <c r="GGV954" s="24"/>
      <c r="GGW954" s="24"/>
      <c r="GGX954" s="24"/>
      <c r="GGY954" s="24"/>
      <c r="GGZ954" s="24"/>
      <c r="GHA954" s="24"/>
      <c r="GHB954" s="24"/>
      <c r="GHC954" s="24"/>
      <c r="GHD954" s="24"/>
      <c r="GHE954" s="24"/>
      <c r="GHF954" s="24"/>
      <c r="GHG954" s="24"/>
      <c r="GHH954" s="24"/>
      <c r="GHI954" s="24"/>
      <c r="GHJ954" s="24"/>
      <c r="GHK954" s="24"/>
      <c r="GHL954" s="24"/>
      <c r="GHM954" s="24"/>
      <c r="GHN954" s="24"/>
      <c r="GHO954" s="24"/>
      <c r="GHP954" s="24"/>
      <c r="GHQ954" s="24"/>
      <c r="GHR954" s="24"/>
      <c r="GHS954" s="24"/>
      <c r="GHT954" s="24"/>
      <c r="GHU954" s="24"/>
      <c r="GHV954" s="24"/>
      <c r="GHW954" s="24"/>
      <c r="GHX954" s="24"/>
      <c r="GHY954" s="24"/>
      <c r="GHZ954" s="24"/>
      <c r="GIA954" s="24"/>
      <c r="GIB954" s="24"/>
      <c r="GIC954" s="24"/>
      <c r="GID954" s="24"/>
      <c r="GIE954" s="24"/>
      <c r="GIF954" s="24"/>
      <c r="GIG954" s="24"/>
      <c r="GIH954" s="24"/>
      <c r="GII954" s="24"/>
      <c r="GIJ954" s="24"/>
      <c r="GIK954" s="24"/>
      <c r="GIL954" s="24"/>
      <c r="GIM954" s="24"/>
      <c r="GIN954" s="24"/>
      <c r="GIO954" s="24"/>
      <c r="GIP954" s="24"/>
      <c r="GIQ954" s="24"/>
      <c r="GIR954" s="24"/>
      <c r="GIS954" s="24"/>
      <c r="GIT954" s="24"/>
      <c r="GIU954" s="24"/>
      <c r="GIV954" s="24"/>
      <c r="GIW954" s="24"/>
      <c r="GIX954" s="24"/>
      <c r="GIY954" s="24"/>
      <c r="GIZ954" s="24"/>
      <c r="GJA954" s="24"/>
      <c r="GJB954" s="24"/>
      <c r="GJC954" s="24"/>
      <c r="GJD954" s="24"/>
      <c r="GJE954" s="24"/>
      <c r="GJF954" s="24"/>
      <c r="GJG954" s="24"/>
      <c r="GJH954" s="24"/>
      <c r="GJI954" s="24"/>
      <c r="GJJ954" s="24"/>
      <c r="GJK954" s="24"/>
      <c r="GJL954" s="24"/>
      <c r="GJM954" s="24"/>
      <c r="GJN954" s="24"/>
      <c r="GJO954" s="24"/>
      <c r="GJP954" s="24"/>
      <c r="GJQ954" s="24"/>
      <c r="GJR954" s="24"/>
      <c r="GJS954" s="24"/>
      <c r="GJT954" s="24"/>
      <c r="GJU954" s="24"/>
      <c r="GJV954" s="24"/>
      <c r="GJW954" s="24"/>
      <c r="GJX954" s="24"/>
      <c r="GJY954" s="24"/>
      <c r="GJZ954" s="24"/>
      <c r="GKA954" s="24"/>
      <c r="GKB954" s="24"/>
      <c r="GKC954" s="24"/>
      <c r="GKD954" s="24"/>
      <c r="GKE954" s="24"/>
      <c r="GKF954" s="24"/>
      <c r="GKG954" s="24"/>
      <c r="GKH954" s="24"/>
      <c r="GKI954" s="24"/>
      <c r="GKJ954" s="24"/>
      <c r="GKK954" s="24"/>
      <c r="GKL954" s="24"/>
      <c r="GKM954" s="24"/>
      <c r="GKN954" s="24"/>
      <c r="GKO954" s="24"/>
      <c r="GKP954" s="24"/>
      <c r="GKQ954" s="24"/>
      <c r="GKR954" s="24"/>
      <c r="GKS954" s="24"/>
      <c r="GKT954" s="24"/>
      <c r="GKU954" s="24"/>
      <c r="GKV954" s="24"/>
      <c r="GKW954" s="24"/>
      <c r="GKX954" s="24"/>
      <c r="GKY954" s="24"/>
      <c r="GKZ954" s="24"/>
      <c r="GLA954" s="24"/>
      <c r="GLB954" s="24"/>
      <c r="GLC954" s="24"/>
      <c r="GLD954" s="24"/>
      <c r="GLE954" s="24"/>
      <c r="GLF954" s="24"/>
      <c r="GLG954" s="24"/>
      <c r="GLH954" s="24"/>
      <c r="GLI954" s="24"/>
      <c r="GLJ954" s="24"/>
      <c r="GLK954" s="24"/>
      <c r="GLL954" s="24"/>
      <c r="GLM954" s="24"/>
      <c r="GLN954" s="24"/>
      <c r="GLO954" s="24"/>
      <c r="GLP954" s="24"/>
      <c r="GLQ954" s="24"/>
      <c r="GLR954" s="24"/>
      <c r="GLS954" s="24"/>
      <c r="GLT954" s="24"/>
      <c r="GLU954" s="24"/>
      <c r="GLV954" s="24"/>
      <c r="GLW954" s="24"/>
      <c r="GLX954" s="24"/>
      <c r="GLY954" s="24"/>
      <c r="GLZ954" s="24"/>
      <c r="GMA954" s="24"/>
      <c r="GMB954" s="24"/>
      <c r="GMC954" s="24"/>
      <c r="GMD954" s="24"/>
      <c r="GME954" s="24"/>
      <c r="GMF954" s="24"/>
      <c r="GMG954" s="24"/>
      <c r="GMH954" s="24"/>
      <c r="GMI954" s="24"/>
      <c r="GMJ954" s="24"/>
      <c r="GMK954" s="24"/>
      <c r="GML954" s="24"/>
      <c r="GMM954" s="24"/>
      <c r="GMN954" s="24"/>
      <c r="GMO954" s="24"/>
      <c r="GMP954" s="24"/>
      <c r="GMQ954" s="24"/>
      <c r="GMR954" s="24"/>
      <c r="GMS954" s="24"/>
      <c r="GMT954" s="24"/>
      <c r="GMU954" s="24"/>
      <c r="GMV954" s="24"/>
      <c r="GMW954" s="24"/>
      <c r="GMX954" s="24"/>
      <c r="GMY954" s="24"/>
      <c r="GMZ954" s="24"/>
      <c r="GNA954" s="24"/>
      <c r="GNB954" s="24"/>
      <c r="GNC954" s="24"/>
      <c r="GND954" s="24"/>
      <c r="GNE954" s="24"/>
      <c r="GNF954" s="24"/>
      <c r="GNG954" s="24"/>
      <c r="GNH954" s="24"/>
      <c r="GNI954" s="24"/>
      <c r="GNJ954" s="24"/>
      <c r="GNK954" s="24"/>
      <c r="GNL954" s="24"/>
      <c r="GNM954" s="24"/>
      <c r="GNN954" s="24"/>
      <c r="GNO954" s="24"/>
      <c r="GNP954" s="24"/>
      <c r="GNQ954" s="24"/>
      <c r="GNR954" s="24"/>
      <c r="GNS954" s="24"/>
      <c r="GNT954" s="24"/>
      <c r="GNU954" s="24"/>
      <c r="GNV954" s="24"/>
      <c r="GNW954" s="24"/>
      <c r="GNX954" s="24"/>
      <c r="GNY954" s="24"/>
      <c r="GNZ954" s="24"/>
      <c r="GOA954" s="24"/>
      <c r="GOB954" s="24"/>
      <c r="GOC954" s="24"/>
      <c r="GOD954" s="24"/>
      <c r="GOE954" s="24"/>
      <c r="GOF954" s="24"/>
      <c r="GOG954" s="24"/>
      <c r="GOH954" s="24"/>
      <c r="GOI954" s="24"/>
      <c r="GOJ954" s="24"/>
      <c r="GOK954" s="24"/>
      <c r="GOL954" s="24"/>
      <c r="GOM954" s="24"/>
      <c r="GON954" s="24"/>
      <c r="GOO954" s="24"/>
      <c r="GOP954" s="24"/>
      <c r="GOQ954" s="24"/>
      <c r="GOR954" s="24"/>
      <c r="GOS954" s="24"/>
      <c r="GOT954" s="24"/>
      <c r="GOU954" s="24"/>
      <c r="GOV954" s="24"/>
      <c r="GOW954" s="24"/>
      <c r="GOX954" s="24"/>
      <c r="GOY954" s="24"/>
      <c r="GOZ954" s="24"/>
      <c r="GPA954" s="24"/>
      <c r="GPB954" s="24"/>
      <c r="GPC954" s="24"/>
      <c r="GPD954" s="24"/>
      <c r="GPE954" s="24"/>
      <c r="GPF954" s="24"/>
      <c r="GPG954" s="24"/>
      <c r="GPH954" s="24"/>
      <c r="GPI954" s="24"/>
      <c r="GPJ954" s="24"/>
      <c r="GPK954" s="24"/>
      <c r="GPL954" s="24"/>
      <c r="GPM954" s="24"/>
      <c r="GPN954" s="24"/>
      <c r="GPO954" s="24"/>
      <c r="GPP954" s="24"/>
      <c r="GPQ954" s="24"/>
      <c r="GPR954" s="24"/>
      <c r="GPS954" s="24"/>
      <c r="GPT954" s="24"/>
      <c r="GPU954" s="24"/>
      <c r="GPV954" s="24"/>
      <c r="GPW954" s="24"/>
      <c r="GPX954" s="24"/>
      <c r="GPY954" s="24"/>
      <c r="GPZ954" s="24"/>
      <c r="GQA954" s="24"/>
      <c r="GQB954" s="24"/>
      <c r="GQC954" s="24"/>
      <c r="GQD954" s="24"/>
      <c r="GQE954" s="24"/>
      <c r="GQF954" s="24"/>
      <c r="GQG954" s="24"/>
      <c r="GQH954" s="24"/>
      <c r="GQI954" s="24"/>
      <c r="GQJ954" s="24"/>
      <c r="GQK954" s="24"/>
      <c r="GQL954" s="24"/>
      <c r="GQM954" s="24"/>
      <c r="GQN954" s="24"/>
      <c r="GQO954" s="24"/>
      <c r="GQP954" s="24"/>
      <c r="GQQ954" s="24"/>
      <c r="GQR954" s="24"/>
      <c r="GQS954" s="24"/>
      <c r="GQT954" s="24"/>
      <c r="GQU954" s="24"/>
      <c r="GQV954" s="24"/>
      <c r="GQW954" s="24"/>
      <c r="GQX954" s="24"/>
      <c r="GQY954" s="24"/>
      <c r="GQZ954" s="24"/>
      <c r="GRA954" s="24"/>
      <c r="GRB954" s="24"/>
      <c r="GRC954" s="24"/>
      <c r="GRD954" s="24"/>
      <c r="GRE954" s="24"/>
      <c r="GRF954" s="24"/>
      <c r="GRG954" s="24"/>
      <c r="GRH954" s="24"/>
      <c r="GRI954" s="24"/>
      <c r="GRJ954" s="24"/>
      <c r="GRK954" s="24"/>
      <c r="GRL954" s="24"/>
      <c r="GRM954" s="24"/>
      <c r="GRN954" s="24"/>
      <c r="GRO954" s="24"/>
      <c r="GRP954" s="24"/>
      <c r="GRQ954" s="24"/>
      <c r="GRR954" s="24"/>
      <c r="GRS954" s="24"/>
      <c r="GRT954" s="24"/>
      <c r="GRU954" s="24"/>
      <c r="GRV954" s="24"/>
      <c r="GRW954" s="24"/>
      <c r="GRX954" s="24"/>
      <c r="GRY954" s="24"/>
      <c r="GRZ954" s="24"/>
      <c r="GSA954" s="24"/>
      <c r="GSB954" s="24"/>
      <c r="GSC954" s="24"/>
      <c r="GSD954" s="24"/>
      <c r="GSE954" s="24"/>
      <c r="GSF954" s="24"/>
      <c r="GSG954" s="24"/>
      <c r="GSH954" s="24"/>
      <c r="GSI954" s="24"/>
      <c r="GSJ954" s="24"/>
      <c r="GSK954" s="24"/>
      <c r="GSL954" s="24"/>
      <c r="GSM954" s="24"/>
      <c r="GSN954" s="24"/>
      <c r="GSO954" s="24"/>
      <c r="GSP954" s="24"/>
      <c r="GSQ954" s="24"/>
      <c r="GSR954" s="24"/>
      <c r="GSS954" s="24"/>
      <c r="GST954" s="24"/>
      <c r="GSU954" s="24"/>
      <c r="GSV954" s="24"/>
      <c r="GSW954" s="24"/>
      <c r="GSX954" s="24"/>
      <c r="GSY954" s="24"/>
      <c r="GSZ954" s="24"/>
      <c r="GTA954" s="24"/>
      <c r="GTB954" s="24"/>
      <c r="GTC954" s="24"/>
      <c r="GTD954" s="24"/>
      <c r="GTE954" s="24"/>
      <c r="GTF954" s="24"/>
      <c r="GTG954" s="24"/>
      <c r="GTH954" s="24"/>
      <c r="GTI954" s="24"/>
      <c r="GTJ954" s="24"/>
      <c r="GTK954" s="24"/>
      <c r="GTL954" s="24"/>
      <c r="GTM954" s="24"/>
      <c r="GTN954" s="24"/>
      <c r="GTO954" s="24"/>
      <c r="GTP954" s="24"/>
      <c r="GTQ954" s="24"/>
      <c r="GTR954" s="24"/>
      <c r="GTS954" s="24"/>
      <c r="GTT954" s="24"/>
      <c r="GTU954" s="24"/>
      <c r="GTV954" s="24"/>
      <c r="GTW954" s="24"/>
      <c r="GTX954" s="24"/>
      <c r="GTY954" s="24"/>
      <c r="GTZ954" s="24"/>
      <c r="GUA954" s="24"/>
      <c r="GUB954" s="24"/>
      <c r="GUC954" s="24"/>
      <c r="GUD954" s="24"/>
      <c r="GUE954" s="24"/>
      <c r="GUF954" s="24"/>
      <c r="GUG954" s="24"/>
      <c r="GUH954" s="24"/>
      <c r="GUI954" s="24"/>
      <c r="GUJ954" s="24"/>
      <c r="GUK954" s="24"/>
      <c r="GUL954" s="24"/>
      <c r="GUM954" s="24"/>
      <c r="GUN954" s="24"/>
      <c r="GUO954" s="24"/>
      <c r="GUP954" s="24"/>
      <c r="GUQ954" s="24"/>
      <c r="GUR954" s="24"/>
      <c r="GUS954" s="24"/>
      <c r="GUT954" s="24"/>
      <c r="GUU954" s="24"/>
      <c r="GUV954" s="24"/>
      <c r="GUW954" s="24"/>
      <c r="GUX954" s="24"/>
      <c r="GUY954" s="24"/>
      <c r="GUZ954" s="24"/>
      <c r="GVA954" s="24"/>
      <c r="GVB954" s="24"/>
      <c r="GVC954" s="24"/>
      <c r="GVD954" s="24"/>
      <c r="GVE954" s="24"/>
      <c r="GVF954" s="24"/>
      <c r="GVG954" s="24"/>
      <c r="GVH954" s="24"/>
      <c r="GVI954" s="24"/>
      <c r="GVJ954" s="24"/>
      <c r="GVK954" s="24"/>
      <c r="GVL954" s="24"/>
      <c r="GVM954" s="24"/>
      <c r="GVN954" s="24"/>
      <c r="GVO954" s="24"/>
      <c r="GVP954" s="24"/>
      <c r="GVQ954" s="24"/>
      <c r="GVR954" s="24"/>
      <c r="GVS954" s="24"/>
      <c r="GVT954" s="24"/>
      <c r="GVU954" s="24"/>
      <c r="GVV954" s="24"/>
      <c r="GVW954" s="24"/>
      <c r="GVX954" s="24"/>
      <c r="GVY954" s="24"/>
      <c r="GVZ954" s="24"/>
      <c r="GWA954" s="24"/>
      <c r="GWB954" s="24"/>
      <c r="GWC954" s="24"/>
      <c r="GWD954" s="24"/>
      <c r="GWE954" s="24"/>
      <c r="GWF954" s="24"/>
      <c r="GWG954" s="24"/>
      <c r="GWH954" s="24"/>
      <c r="GWI954" s="24"/>
      <c r="GWJ954" s="24"/>
      <c r="GWK954" s="24"/>
      <c r="GWL954" s="24"/>
      <c r="GWM954" s="24"/>
      <c r="GWN954" s="24"/>
      <c r="GWO954" s="24"/>
      <c r="GWP954" s="24"/>
      <c r="GWQ954" s="24"/>
      <c r="GWR954" s="24"/>
      <c r="GWS954" s="24"/>
      <c r="GWT954" s="24"/>
      <c r="GWU954" s="24"/>
      <c r="GWV954" s="24"/>
      <c r="GWW954" s="24"/>
      <c r="GWX954" s="24"/>
      <c r="GWY954" s="24"/>
      <c r="GWZ954" s="24"/>
      <c r="GXA954" s="24"/>
      <c r="GXB954" s="24"/>
      <c r="GXC954" s="24"/>
      <c r="GXD954" s="24"/>
      <c r="GXE954" s="24"/>
      <c r="GXF954" s="24"/>
      <c r="GXG954" s="24"/>
      <c r="GXH954" s="24"/>
      <c r="GXI954" s="24"/>
      <c r="GXJ954" s="24"/>
      <c r="GXK954" s="24"/>
      <c r="GXL954" s="24"/>
      <c r="GXM954" s="24"/>
      <c r="GXN954" s="24"/>
      <c r="GXO954" s="24"/>
      <c r="GXP954" s="24"/>
      <c r="GXQ954" s="24"/>
      <c r="GXR954" s="24"/>
      <c r="GXS954" s="24"/>
      <c r="GXT954" s="24"/>
      <c r="GXU954" s="24"/>
      <c r="GXV954" s="24"/>
      <c r="GXW954" s="24"/>
      <c r="GXX954" s="24"/>
      <c r="GXY954" s="24"/>
      <c r="GXZ954" s="24"/>
      <c r="GYA954" s="24"/>
      <c r="GYB954" s="24"/>
      <c r="GYC954" s="24"/>
      <c r="GYD954" s="24"/>
      <c r="GYE954" s="24"/>
      <c r="GYF954" s="24"/>
      <c r="GYG954" s="24"/>
      <c r="GYH954" s="24"/>
      <c r="GYI954" s="24"/>
      <c r="GYJ954" s="24"/>
      <c r="GYK954" s="24"/>
      <c r="GYL954" s="24"/>
      <c r="GYM954" s="24"/>
      <c r="GYN954" s="24"/>
      <c r="GYO954" s="24"/>
      <c r="GYP954" s="24"/>
      <c r="GYQ954" s="24"/>
      <c r="GYR954" s="24"/>
      <c r="GYS954" s="24"/>
      <c r="GYT954" s="24"/>
      <c r="GYU954" s="24"/>
      <c r="GYV954" s="24"/>
      <c r="GYW954" s="24"/>
      <c r="GYX954" s="24"/>
      <c r="GYY954" s="24"/>
      <c r="GYZ954" s="24"/>
      <c r="GZA954" s="24"/>
      <c r="GZB954" s="24"/>
      <c r="GZC954" s="24"/>
      <c r="GZD954" s="24"/>
      <c r="GZE954" s="24"/>
      <c r="GZF954" s="24"/>
      <c r="GZG954" s="24"/>
      <c r="GZH954" s="24"/>
      <c r="GZI954" s="24"/>
      <c r="GZJ954" s="24"/>
      <c r="GZK954" s="24"/>
      <c r="GZL954" s="24"/>
      <c r="GZM954" s="24"/>
      <c r="GZN954" s="24"/>
      <c r="GZO954" s="24"/>
      <c r="GZP954" s="24"/>
      <c r="GZQ954" s="24"/>
      <c r="GZR954" s="24"/>
      <c r="GZS954" s="24"/>
      <c r="GZT954" s="24"/>
      <c r="GZU954" s="24"/>
      <c r="GZV954" s="24"/>
      <c r="GZW954" s="24"/>
      <c r="GZX954" s="24"/>
      <c r="GZY954" s="24"/>
      <c r="GZZ954" s="24"/>
      <c r="HAA954" s="24"/>
      <c r="HAB954" s="24"/>
      <c r="HAC954" s="24"/>
      <c r="HAD954" s="24"/>
      <c r="HAE954" s="24"/>
      <c r="HAF954" s="24"/>
      <c r="HAG954" s="24"/>
      <c r="HAH954" s="24"/>
      <c r="HAI954" s="24"/>
      <c r="HAJ954" s="24"/>
      <c r="HAK954" s="24"/>
      <c r="HAL954" s="24"/>
      <c r="HAM954" s="24"/>
      <c r="HAN954" s="24"/>
      <c r="HAO954" s="24"/>
      <c r="HAP954" s="24"/>
      <c r="HAQ954" s="24"/>
      <c r="HAR954" s="24"/>
      <c r="HAS954" s="24"/>
      <c r="HAT954" s="24"/>
      <c r="HAU954" s="24"/>
      <c r="HAV954" s="24"/>
      <c r="HAW954" s="24"/>
      <c r="HAX954" s="24"/>
      <c r="HAY954" s="24"/>
      <c r="HAZ954" s="24"/>
      <c r="HBA954" s="24"/>
      <c r="HBB954" s="24"/>
      <c r="HBC954" s="24"/>
      <c r="HBD954" s="24"/>
      <c r="HBE954" s="24"/>
      <c r="HBF954" s="24"/>
      <c r="HBG954" s="24"/>
      <c r="HBH954" s="24"/>
      <c r="HBI954" s="24"/>
      <c r="HBJ954" s="24"/>
      <c r="HBK954" s="24"/>
      <c r="HBL954" s="24"/>
      <c r="HBM954" s="24"/>
      <c r="HBN954" s="24"/>
      <c r="HBO954" s="24"/>
      <c r="HBP954" s="24"/>
      <c r="HBQ954" s="24"/>
      <c r="HBR954" s="24"/>
      <c r="HBS954" s="24"/>
      <c r="HBT954" s="24"/>
      <c r="HBU954" s="24"/>
      <c r="HBV954" s="24"/>
      <c r="HBW954" s="24"/>
      <c r="HBX954" s="24"/>
      <c r="HBY954" s="24"/>
      <c r="HBZ954" s="24"/>
      <c r="HCA954" s="24"/>
      <c r="HCB954" s="24"/>
      <c r="HCC954" s="24"/>
      <c r="HCD954" s="24"/>
      <c r="HCE954" s="24"/>
      <c r="HCF954" s="24"/>
      <c r="HCG954" s="24"/>
      <c r="HCH954" s="24"/>
      <c r="HCI954" s="24"/>
      <c r="HCJ954" s="24"/>
      <c r="HCK954" s="24"/>
      <c r="HCL954" s="24"/>
      <c r="HCM954" s="24"/>
      <c r="HCN954" s="24"/>
      <c r="HCO954" s="24"/>
      <c r="HCP954" s="24"/>
      <c r="HCQ954" s="24"/>
      <c r="HCR954" s="24"/>
      <c r="HCS954" s="24"/>
      <c r="HCT954" s="24"/>
      <c r="HCU954" s="24"/>
      <c r="HCV954" s="24"/>
      <c r="HCW954" s="24"/>
      <c r="HCX954" s="24"/>
      <c r="HCY954" s="24"/>
      <c r="HCZ954" s="24"/>
      <c r="HDA954" s="24"/>
      <c r="HDB954" s="24"/>
      <c r="HDC954" s="24"/>
      <c r="HDD954" s="24"/>
      <c r="HDE954" s="24"/>
      <c r="HDF954" s="24"/>
      <c r="HDG954" s="24"/>
      <c r="HDH954" s="24"/>
      <c r="HDI954" s="24"/>
      <c r="HDJ954" s="24"/>
      <c r="HDK954" s="24"/>
      <c r="HDL954" s="24"/>
      <c r="HDM954" s="24"/>
      <c r="HDN954" s="24"/>
      <c r="HDO954" s="24"/>
      <c r="HDP954" s="24"/>
      <c r="HDQ954" s="24"/>
      <c r="HDR954" s="24"/>
      <c r="HDS954" s="24"/>
      <c r="HDT954" s="24"/>
      <c r="HDU954" s="24"/>
      <c r="HDV954" s="24"/>
      <c r="HDW954" s="24"/>
      <c r="HDX954" s="24"/>
      <c r="HDY954" s="24"/>
      <c r="HDZ954" s="24"/>
      <c r="HEA954" s="24"/>
      <c r="HEB954" s="24"/>
      <c r="HEC954" s="24"/>
      <c r="HED954" s="24"/>
      <c r="HEE954" s="24"/>
      <c r="HEF954" s="24"/>
      <c r="HEG954" s="24"/>
      <c r="HEH954" s="24"/>
      <c r="HEI954" s="24"/>
      <c r="HEJ954" s="24"/>
      <c r="HEK954" s="24"/>
      <c r="HEL954" s="24"/>
      <c r="HEM954" s="24"/>
      <c r="HEN954" s="24"/>
      <c r="HEO954" s="24"/>
      <c r="HEP954" s="24"/>
      <c r="HEQ954" s="24"/>
      <c r="HER954" s="24"/>
      <c r="HES954" s="24"/>
      <c r="HET954" s="24"/>
      <c r="HEU954" s="24"/>
      <c r="HEV954" s="24"/>
      <c r="HEW954" s="24"/>
      <c r="HEX954" s="24"/>
      <c r="HEY954" s="24"/>
      <c r="HEZ954" s="24"/>
      <c r="HFA954" s="24"/>
      <c r="HFB954" s="24"/>
      <c r="HFC954" s="24"/>
      <c r="HFD954" s="24"/>
      <c r="HFE954" s="24"/>
      <c r="HFF954" s="24"/>
      <c r="HFG954" s="24"/>
      <c r="HFH954" s="24"/>
      <c r="HFI954" s="24"/>
      <c r="HFJ954" s="24"/>
      <c r="HFK954" s="24"/>
      <c r="HFL954" s="24"/>
      <c r="HFM954" s="24"/>
      <c r="HFN954" s="24"/>
      <c r="HFO954" s="24"/>
      <c r="HFP954" s="24"/>
      <c r="HFQ954" s="24"/>
      <c r="HFR954" s="24"/>
      <c r="HFS954" s="24"/>
      <c r="HFT954" s="24"/>
      <c r="HFU954" s="24"/>
      <c r="HFV954" s="24"/>
      <c r="HFW954" s="24"/>
      <c r="HFX954" s="24"/>
      <c r="HFY954" s="24"/>
      <c r="HFZ954" s="24"/>
      <c r="HGA954" s="24"/>
      <c r="HGB954" s="24"/>
      <c r="HGC954" s="24"/>
      <c r="HGD954" s="24"/>
      <c r="HGE954" s="24"/>
      <c r="HGF954" s="24"/>
      <c r="HGG954" s="24"/>
      <c r="HGH954" s="24"/>
      <c r="HGI954" s="24"/>
      <c r="HGJ954" s="24"/>
      <c r="HGK954" s="24"/>
      <c r="HGL954" s="24"/>
      <c r="HGM954" s="24"/>
      <c r="HGN954" s="24"/>
      <c r="HGO954" s="24"/>
      <c r="HGP954" s="24"/>
      <c r="HGQ954" s="24"/>
      <c r="HGR954" s="24"/>
      <c r="HGS954" s="24"/>
      <c r="HGT954" s="24"/>
      <c r="HGU954" s="24"/>
      <c r="HGV954" s="24"/>
      <c r="HGW954" s="24"/>
      <c r="HGX954" s="24"/>
      <c r="HGY954" s="24"/>
      <c r="HGZ954" s="24"/>
      <c r="HHA954" s="24"/>
      <c r="HHB954" s="24"/>
      <c r="HHC954" s="24"/>
      <c r="HHD954" s="24"/>
      <c r="HHE954" s="24"/>
      <c r="HHF954" s="24"/>
      <c r="HHG954" s="24"/>
      <c r="HHH954" s="24"/>
      <c r="HHI954" s="24"/>
      <c r="HHJ954" s="24"/>
      <c r="HHK954" s="24"/>
      <c r="HHL954" s="24"/>
      <c r="HHM954" s="24"/>
      <c r="HHN954" s="24"/>
      <c r="HHO954" s="24"/>
      <c r="HHP954" s="24"/>
      <c r="HHQ954" s="24"/>
      <c r="HHR954" s="24"/>
      <c r="HHS954" s="24"/>
      <c r="HHT954" s="24"/>
      <c r="HHU954" s="24"/>
      <c r="HHV954" s="24"/>
      <c r="HHW954" s="24"/>
      <c r="HHX954" s="24"/>
      <c r="HHY954" s="24"/>
      <c r="HHZ954" s="24"/>
      <c r="HIA954" s="24"/>
      <c r="HIB954" s="24"/>
      <c r="HIC954" s="24"/>
      <c r="HID954" s="24"/>
      <c r="HIE954" s="24"/>
      <c r="HIF954" s="24"/>
      <c r="HIG954" s="24"/>
      <c r="HIH954" s="24"/>
      <c r="HII954" s="24"/>
      <c r="HIJ954" s="24"/>
      <c r="HIK954" s="24"/>
      <c r="HIL954" s="24"/>
      <c r="HIM954" s="24"/>
      <c r="HIN954" s="24"/>
      <c r="HIO954" s="24"/>
      <c r="HIP954" s="24"/>
      <c r="HIQ954" s="24"/>
      <c r="HIR954" s="24"/>
      <c r="HIS954" s="24"/>
      <c r="HIT954" s="24"/>
      <c r="HIU954" s="24"/>
      <c r="HIV954" s="24"/>
      <c r="HIW954" s="24"/>
      <c r="HIX954" s="24"/>
      <c r="HIY954" s="24"/>
      <c r="HIZ954" s="24"/>
      <c r="HJA954" s="24"/>
      <c r="HJB954" s="24"/>
      <c r="HJC954" s="24"/>
      <c r="HJD954" s="24"/>
      <c r="HJE954" s="24"/>
      <c r="HJF954" s="24"/>
      <c r="HJG954" s="24"/>
      <c r="HJH954" s="24"/>
      <c r="HJI954" s="24"/>
      <c r="HJJ954" s="24"/>
      <c r="HJK954" s="24"/>
      <c r="HJL954" s="24"/>
      <c r="HJM954" s="24"/>
      <c r="HJN954" s="24"/>
      <c r="HJO954" s="24"/>
      <c r="HJP954" s="24"/>
      <c r="HJQ954" s="24"/>
      <c r="HJR954" s="24"/>
      <c r="HJS954" s="24"/>
      <c r="HJT954" s="24"/>
      <c r="HJU954" s="24"/>
      <c r="HJV954" s="24"/>
      <c r="HJW954" s="24"/>
      <c r="HJX954" s="24"/>
      <c r="HJY954" s="24"/>
      <c r="HJZ954" s="24"/>
      <c r="HKA954" s="24"/>
      <c r="HKB954" s="24"/>
      <c r="HKC954" s="24"/>
      <c r="HKD954" s="24"/>
      <c r="HKE954" s="24"/>
      <c r="HKF954" s="24"/>
      <c r="HKG954" s="24"/>
      <c r="HKH954" s="24"/>
      <c r="HKI954" s="24"/>
      <c r="HKJ954" s="24"/>
      <c r="HKK954" s="24"/>
      <c r="HKL954" s="24"/>
      <c r="HKM954" s="24"/>
      <c r="HKN954" s="24"/>
      <c r="HKO954" s="24"/>
      <c r="HKP954" s="24"/>
      <c r="HKQ954" s="24"/>
      <c r="HKR954" s="24"/>
      <c r="HKS954" s="24"/>
      <c r="HKT954" s="24"/>
      <c r="HKU954" s="24"/>
      <c r="HKV954" s="24"/>
      <c r="HKW954" s="24"/>
      <c r="HKX954" s="24"/>
      <c r="HKY954" s="24"/>
      <c r="HKZ954" s="24"/>
      <c r="HLA954" s="24"/>
      <c r="HLB954" s="24"/>
      <c r="HLC954" s="24"/>
      <c r="HLD954" s="24"/>
      <c r="HLE954" s="24"/>
      <c r="HLF954" s="24"/>
      <c r="HLG954" s="24"/>
      <c r="HLH954" s="24"/>
      <c r="HLI954" s="24"/>
      <c r="HLJ954" s="24"/>
      <c r="HLK954" s="24"/>
      <c r="HLL954" s="24"/>
      <c r="HLM954" s="24"/>
      <c r="HLN954" s="24"/>
      <c r="HLO954" s="24"/>
      <c r="HLP954" s="24"/>
      <c r="HLQ954" s="24"/>
      <c r="HLR954" s="24"/>
      <c r="HLS954" s="24"/>
      <c r="HLT954" s="24"/>
      <c r="HLU954" s="24"/>
      <c r="HLV954" s="24"/>
      <c r="HLW954" s="24"/>
      <c r="HLX954" s="24"/>
      <c r="HLY954" s="24"/>
      <c r="HLZ954" s="24"/>
      <c r="HMA954" s="24"/>
      <c r="HMB954" s="24"/>
      <c r="HMC954" s="24"/>
      <c r="HMD954" s="24"/>
      <c r="HME954" s="24"/>
      <c r="HMF954" s="24"/>
      <c r="HMG954" s="24"/>
      <c r="HMH954" s="24"/>
      <c r="HMI954" s="24"/>
      <c r="HMJ954" s="24"/>
      <c r="HMK954" s="24"/>
      <c r="HML954" s="24"/>
      <c r="HMM954" s="24"/>
      <c r="HMN954" s="24"/>
      <c r="HMO954" s="24"/>
      <c r="HMP954" s="24"/>
      <c r="HMQ954" s="24"/>
      <c r="HMR954" s="24"/>
      <c r="HMS954" s="24"/>
      <c r="HMT954" s="24"/>
      <c r="HMU954" s="24"/>
      <c r="HMV954" s="24"/>
      <c r="HMW954" s="24"/>
      <c r="HMX954" s="24"/>
      <c r="HMY954" s="24"/>
      <c r="HMZ954" s="24"/>
      <c r="HNA954" s="24"/>
      <c r="HNB954" s="24"/>
      <c r="HNC954" s="24"/>
      <c r="HND954" s="24"/>
      <c r="HNE954" s="24"/>
      <c r="HNF954" s="24"/>
      <c r="HNG954" s="24"/>
      <c r="HNH954" s="24"/>
      <c r="HNI954" s="24"/>
      <c r="HNJ954" s="24"/>
      <c r="HNK954" s="24"/>
      <c r="HNL954" s="24"/>
      <c r="HNM954" s="24"/>
      <c r="HNN954" s="24"/>
      <c r="HNO954" s="24"/>
      <c r="HNP954" s="24"/>
      <c r="HNQ954" s="24"/>
      <c r="HNR954" s="24"/>
      <c r="HNS954" s="24"/>
      <c r="HNT954" s="24"/>
      <c r="HNU954" s="24"/>
      <c r="HNV954" s="24"/>
      <c r="HNW954" s="24"/>
      <c r="HNX954" s="24"/>
      <c r="HNY954" s="24"/>
      <c r="HNZ954" s="24"/>
      <c r="HOA954" s="24"/>
      <c r="HOB954" s="24"/>
      <c r="HOC954" s="24"/>
      <c r="HOD954" s="24"/>
      <c r="HOE954" s="24"/>
      <c r="HOF954" s="24"/>
      <c r="HOG954" s="24"/>
      <c r="HOH954" s="24"/>
      <c r="HOI954" s="24"/>
      <c r="HOJ954" s="24"/>
      <c r="HOK954" s="24"/>
      <c r="HOL954" s="24"/>
      <c r="HOM954" s="24"/>
      <c r="HON954" s="24"/>
      <c r="HOO954" s="24"/>
      <c r="HOP954" s="24"/>
      <c r="HOQ954" s="24"/>
      <c r="HOR954" s="24"/>
      <c r="HOS954" s="24"/>
      <c r="HOT954" s="24"/>
      <c r="HOU954" s="24"/>
      <c r="HOV954" s="24"/>
      <c r="HOW954" s="24"/>
      <c r="HOX954" s="24"/>
      <c r="HOY954" s="24"/>
      <c r="HOZ954" s="24"/>
      <c r="HPA954" s="24"/>
      <c r="HPB954" s="24"/>
      <c r="HPC954" s="24"/>
      <c r="HPD954" s="24"/>
      <c r="HPE954" s="24"/>
      <c r="HPF954" s="24"/>
      <c r="HPG954" s="24"/>
      <c r="HPH954" s="24"/>
      <c r="HPI954" s="24"/>
      <c r="HPJ954" s="24"/>
      <c r="HPK954" s="24"/>
      <c r="HPL954" s="24"/>
      <c r="HPM954" s="24"/>
      <c r="HPN954" s="24"/>
      <c r="HPO954" s="24"/>
      <c r="HPP954" s="24"/>
      <c r="HPQ954" s="24"/>
      <c r="HPR954" s="24"/>
      <c r="HPS954" s="24"/>
      <c r="HPT954" s="24"/>
      <c r="HPU954" s="24"/>
      <c r="HPV954" s="24"/>
      <c r="HPW954" s="24"/>
      <c r="HPX954" s="24"/>
      <c r="HPY954" s="24"/>
      <c r="HPZ954" s="24"/>
      <c r="HQA954" s="24"/>
      <c r="HQB954" s="24"/>
      <c r="HQC954" s="24"/>
      <c r="HQD954" s="24"/>
      <c r="HQE954" s="24"/>
      <c r="HQF954" s="24"/>
      <c r="HQG954" s="24"/>
      <c r="HQH954" s="24"/>
      <c r="HQI954" s="24"/>
      <c r="HQJ954" s="24"/>
      <c r="HQK954" s="24"/>
      <c r="HQL954" s="24"/>
      <c r="HQM954" s="24"/>
      <c r="HQN954" s="24"/>
      <c r="HQO954" s="24"/>
      <c r="HQP954" s="24"/>
      <c r="HQQ954" s="24"/>
      <c r="HQR954" s="24"/>
      <c r="HQS954" s="24"/>
      <c r="HQT954" s="24"/>
      <c r="HQU954" s="24"/>
      <c r="HQV954" s="24"/>
      <c r="HQW954" s="24"/>
      <c r="HQX954" s="24"/>
      <c r="HQY954" s="24"/>
      <c r="HQZ954" s="24"/>
      <c r="HRA954" s="24"/>
      <c r="HRB954" s="24"/>
      <c r="HRC954" s="24"/>
      <c r="HRD954" s="24"/>
      <c r="HRE954" s="24"/>
      <c r="HRF954" s="24"/>
      <c r="HRG954" s="24"/>
      <c r="HRH954" s="24"/>
      <c r="HRI954" s="24"/>
      <c r="HRJ954" s="24"/>
      <c r="HRK954" s="24"/>
      <c r="HRL954" s="24"/>
      <c r="HRM954" s="24"/>
      <c r="HRN954" s="24"/>
      <c r="HRO954" s="24"/>
      <c r="HRP954" s="24"/>
      <c r="HRQ954" s="24"/>
      <c r="HRR954" s="24"/>
      <c r="HRS954" s="24"/>
      <c r="HRT954" s="24"/>
      <c r="HRU954" s="24"/>
      <c r="HRV954" s="24"/>
      <c r="HRW954" s="24"/>
      <c r="HRX954" s="24"/>
      <c r="HRY954" s="24"/>
      <c r="HRZ954" s="24"/>
      <c r="HSA954" s="24"/>
      <c r="HSB954" s="24"/>
      <c r="HSC954" s="24"/>
      <c r="HSD954" s="24"/>
      <c r="HSE954" s="24"/>
      <c r="HSF954" s="24"/>
      <c r="HSG954" s="24"/>
      <c r="HSH954" s="24"/>
      <c r="HSI954" s="24"/>
      <c r="HSJ954" s="24"/>
      <c r="HSK954" s="24"/>
      <c r="HSL954" s="24"/>
      <c r="HSM954" s="24"/>
      <c r="HSN954" s="24"/>
      <c r="HSO954" s="24"/>
      <c r="HSP954" s="24"/>
      <c r="HSQ954" s="24"/>
      <c r="HSR954" s="24"/>
      <c r="HSS954" s="24"/>
      <c r="HST954" s="24"/>
      <c r="HSU954" s="24"/>
      <c r="HSV954" s="24"/>
      <c r="HSW954" s="24"/>
      <c r="HSX954" s="24"/>
      <c r="HSY954" s="24"/>
      <c r="HSZ954" s="24"/>
      <c r="HTA954" s="24"/>
      <c r="HTB954" s="24"/>
      <c r="HTC954" s="24"/>
      <c r="HTD954" s="24"/>
      <c r="HTE954" s="24"/>
      <c r="HTF954" s="24"/>
      <c r="HTG954" s="24"/>
      <c r="HTH954" s="24"/>
      <c r="HTI954" s="24"/>
      <c r="HTJ954" s="24"/>
      <c r="HTK954" s="24"/>
      <c r="HTL954" s="24"/>
      <c r="HTM954" s="24"/>
      <c r="HTN954" s="24"/>
      <c r="HTO954" s="24"/>
      <c r="HTP954" s="24"/>
      <c r="HTQ954" s="24"/>
      <c r="HTR954" s="24"/>
      <c r="HTS954" s="24"/>
      <c r="HTT954" s="24"/>
      <c r="HTU954" s="24"/>
      <c r="HTV954" s="24"/>
      <c r="HTW954" s="24"/>
      <c r="HTX954" s="24"/>
      <c r="HTY954" s="24"/>
      <c r="HTZ954" s="24"/>
      <c r="HUA954" s="24"/>
      <c r="HUB954" s="24"/>
      <c r="HUC954" s="24"/>
      <c r="HUD954" s="24"/>
      <c r="HUE954" s="24"/>
      <c r="HUF954" s="24"/>
      <c r="HUG954" s="24"/>
      <c r="HUH954" s="24"/>
      <c r="HUI954" s="24"/>
      <c r="HUJ954" s="24"/>
      <c r="HUK954" s="24"/>
      <c r="HUL954" s="24"/>
      <c r="HUM954" s="24"/>
      <c r="HUN954" s="24"/>
      <c r="HUO954" s="24"/>
      <c r="HUP954" s="24"/>
      <c r="HUQ954" s="24"/>
      <c r="HUR954" s="24"/>
      <c r="HUS954" s="24"/>
      <c r="HUT954" s="24"/>
      <c r="HUU954" s="24"/>
      <c r="HUV954" s="24"/>
      <c r="HUW954" s="24"/>
      <c r="HUX954" s="24"/>
      <c r="HUY954" s="24"/>
      <c r="HUZ954" s="24"/>
      <c r="HVA954" s="24"/>
      <c r="HVB954" s="24"/>
      <c r="HVC954" s="24"/>
      <c r="HVD954" s="24"/>
      <c r="HVE954" s="24"/>
      <c r="HVF954" s="24"/>
      <c r="HVG954" s="24"/>
      <c r="HVH954" s="24"/>
      <c r="HVI954" s="24"/>
      <c r="HVJ954" s="24"/>
      <c r="HVK954" s="24"/>
      <c r="HVL954" s="24"/>
      <c r="HVM954" s="24"/>
      <c r="HVN954" s="24"/>
      <c r="HVO954" s="24"/>
      <c r="HVP954" s="24"/>
      <c r="HVQ954" s="24"/>
      <c r="HVR954" s="24"/>
      <c r="HVS954" s="24"/>
      <c r="HVT954" s="24"/>
      <c r="HVU954" s="24"/>
      <c r="HVV954" s="24"/>
      <c r="HVW954" s="24"/>
      <c r="HVX954" s="24"/>
      <c r="HVY954" s="24"/>
      <c r="HVZ954" s="24"/>
      <c r="HWA954" s="24"/>
      <c r="HWB954" s="24"/>
      <c r="HWC954" s="24"/>
      <c r="HWD954" s="24"/>
      <c r="HWE954" s="24"/>
      <c r="HWF954" s="24"/>
      <c r="HWG954" s="24"/>
      <c r="HWH954" s="24"/>
      <c r="HWI954" s="24"/>
      <c r="HWJ954" s="24"/>
      <c r="HWK954" s="24"/>
      <c r="HWL954" s="24"/>
      <c r="HWM954" s="24"/>
      <c r="HWN954" s="24"/>
      <c r="HWO954" s="24"/>
      <c r="HWP954" s="24"/>
      <c r="HWQ954" s="24"/>
      <c r="HWR954" s="24"/>
      <c r="HWS954" s="24"/>
      <c r="HWT954" s="24"/>
      <c r="HWU954" s="24"/>
      <c r="HWV954" s="24"/>
      <c r="HWW954" s="24"/>
      <c r="HWX954" s="24"/>
      <c r="HWY954" s="24"/>
      <c r="HWZ954" s="24"/>
      <c r="HXA954" s="24"/>
      <c r="HXB954" s="24"/>
      <c r="HXC954" s="24"/>
      <c r="HXD954" s="24"/>
      <c r="HXE954" s="24"/>
      <c r="HXF954" s="24"/>
      <c r="HXG954" s="24"/>
      <c r="HXH954" s="24"/>
      <c r="HXI954" s="24"/>
      <c r="HXJ954" s="24"/>
      <c r="HXK954" s="24"/>
      <c r="HXL954" s="24"/>
      <c r="HXM954" s="24"/>
      <c r="HXN954" s="24"/>
      <c r="HXO954" s="24"/>
      <c r="HXP954" s="24"/>
      <c r="HXQ954" s="24"/>
      <c r="HXR954" s="24"/>
      <c r="HXS954" s="24"/>
      <c r="HXT954" s="24"/>
      <c r="HXU954" s="24"/>
      <c r="HXV954" s="24"/>
      <c r="HXW954" s="24"/>
      <c r="HXX954" s="24"/>
      <c r="HXY954" s="24"/>
      <c r="HXZ954" s="24"/>
      <c r="HYA954" s="24"/>
      <c r="HYB954" s="24"/>
      <c r="HYC954" s="24"/>
      <c r="HYD954" s="24"/>
      <c r="HYE954" s="24"/>
      <c r="HYF954" s="24"/>
      <c r="HYG954" s="24"/>
      <c r="HYH954" s="24"/>
      <c r="HYI954" s="24"/>
      <c r="HYJ954" s="24"/>
      <c r="HYK954" s="24"/>
      <c r="HYL954" s="24"/>
      <c r="HYM954" s="24"/>
      <c r="HYN954" s="24"/>
      <c r="HYO954" s="24"/>
      <c r="HYP954" s="24"/>
      <c r="HYQ954" s="24"/>
      <c r="HYR954" s="24"/>
      <c r="HYS954" s="24"/>
      <c r="HYT954" s="24"/>
      <c r="HYU954" s="24"/>
      <c r="HYV954" s="24"/>
      <c r="HYW954" s="24"/>
      <c r="HYX954" s="24"/>
      <c r="HYY954" s="24"/>
      <c r="HYZ954" s="24"/>
      <c r="HZA954" s="24"/>
      <c r="HZB954" s="24"/>
      <c r="HZC954" s="24"/>
      <c r="HZD954" s="24"/>
      <c r="HZE954" s="24"/>
      <c r="HZF954" s="24"/>
      <c r="HZG954" s="24"/>
      <c r="HZH954" s="24"/>
      <c r="HZI954" s="24"/>
      <c r="HZJ954" s="24"/>
      <c r="HZK954" s="24"/>
      <c r="HZL954" s="24"/>
      <c r="HZM954" s="24"/>
      <c r="HZN954" s="24"/>
      <c r="HZO954" s="24"/>
      <c r="HZP954" s="24"/>
      <c r="HZQ954" s="24"/>
      <c r="HZR954" s="24"/>
      <c r="HZS954" s="24"/>
      <c r="HZT954" s="24"/>
      <c r="HZU954" s="24"/>
      <c r="HZV954" s="24"/>
      <c r="HZW954" s="24"/>
      <c r="HZX954" s="24"/>
      <c r="HZY954" s="24"/>
      <c r="HZZ954" s="24"/>
      <c r="IAA954" s="24"/>
      <c r="IAB954" s="24"/>
      <c r="IAC954" s="24"/>
      <c r="IAD954" s="24"/>
      <c r="IAE954" s="24"/>
      <c r="IAF954" s="24"/>
      <c r="IAG954" s="24"/>
      <c r="IAH954" s="24"/>
      <c r="IAI954" s="24"/>
      <c r="IAJ954" s="24"/>
      <c r="IAK954" s="24"/>
      <c r="IAL954" s="24"/>
      <c r="IAM954" s="24"/>
      <c r="IAN954" s="24"/>
      <c r="IAO954" s="24"/>
      <c r="IAP954" s="24"/>
      <c r="IAQ954" s="24"/>
      <c r="IAR954" s="24"/>
      <c r="IAS954" s="24"/>
      <c r="IAT954" s="24"/>
      <c r="IAU954" s="24"/>
      <c r="IAV954" s="24"/>
      <c r="IAW954" s="24"/>
      <c r="IAX954" s="24"/>
      <c r="IAY954" s="24"/>
      <c r="IAZ954" s="24"/>
      <c r="IBA954" s="24"/>
      <c r="IBB954" s="24"/>
      <c r="IBC954" s="24"/>
      <c r="IBD954" s="24"/>
      <c r="IBE954" s="24"/>
      <c r="IBF954" s="24"/>
      <c r="IBG954" s="24"/>
      <c r="IBH954" s="24"/>
      <c r="IBI954" s="24"/>
      <c r="IBJ954" s="24"/>
      <c r="IBK954" s="24"/>
      <c r="IBL954" s="24"/>
      <c r="IBM954" s="24"/>
      <c r="IBN954" s="24"/>
      <c r="IBO954" s="24"/>
      <c r="IBP954" s="24"/>
      <c r="IBQ954" s="24"/>
      <c r="IBR954" s="24"/>
      <c r="IBS954" s="24"/>
      <c r="IBT954" s="24"/>
      <c r="IBU954" s="24"/>
      <c r="IBV954" s="24"/>
      <c r="IBW954" s="24"/>
      <c r="IBX954" s="24"/>
      <c r="IBY954" s="24"/>
      <c r="IBZ954" s="24"/>
      <c r="ICA954" s="24"/>
      <c r="ICB954" s="24"/>
      <c r="ICC954" s="24"/>
      <c r="ICD954" s="24"/>
      <c r="ICE954" s="24"/>
      <c r="ICF954" s="24"/>
      <c r="ICG954" s="24"/>
      <c r="ICH954" s="24"/>
      <c r="ICI954" s="24"/>
      <c r="ICJ954" s="24"/>
      <c r="ICK954" s="24"/>
      <c r="ICL954" s="24"/>
      <c r="ICM954" s="24"/>
      <c r="ICN954" s="24"/>
      <c r="ICO954" s="24"/>
      <c r="ICP954" s="24"/>
      <c r="ICQ954" s="24"/>
      <c r="ICR954" s="24"/>
      <c r="ICS954" s="24"/>
      <c r="ICT954" s="24"/>
      <c r="ICU954" s="24"/>
      <c r="ICV954" s="24"/>
      <c r="ICW954" s="24"/>
      <c r="ICX954" s="24"/>
      <c r="ICY954" s="24"/>
      <c r="ICZ954" s="24"/>
      <c r="IDA954" s="24"/>
      <c r="IDB954" s="24"/>
      <c r="IDC954" s="24"/>
      <c r="IDD954" s="24"/>
      <c r="IDE954" s="24"/>
      <c r="IDF954" s="24"/>
      <c r="IDG954" s="24"/>
      <c r="IDH954" s="24"/>
      <c r="IDI954" s="24"/>
      <c r="IDJ954" s="24"/>
      <c r="IDK954" s="24"/>
      <c r="IDL954" s="24"/>
      <c r="IDM954" s="24"/>
      <c r="IDN954" s="24"/>
      <c r="IDO954" s="24"/>
      <c r="IDP954" s="24"/>
      <c r="IDQ954" s="24"/>
      <c r="IDR954" s="24"/>
      <c r="IDS954" s="24"/>
      <c r="IDT954" s="24"/>
      <c r="IDU954" s="24"/>
      <c r="IDV954" s="24"/>
      <c r="IDW954" s="24"/>
      <c r="IDX954" s="24"/>
      <c r="IDY954" s="24"/>
      <c r="IDZ954" s="24"/>
      <c r="IEA954" s="24"/>
      <c r="IEB954" s="24"/>
      <c r="IEC954" s="24"/>
      <c r="IED954" s="24"/>
      <c r="IEE954" s="24"/>
      <c r="IEF954" s="24"/>
      <c r="IEG954" s="24"/>
      <c r="IEH954" s="24"/>
      <c r="IEI954" s="24"/>
      <c r="IEJ954" s="24"/>
      <c r="IEK954" s="24"/>
      <c r="IEL954" s="24"/>
      <c r="IEM954" s="24"/>
      <c r="IEN954" s="24"/>
      <c r="IEO954" s="24"/>
      <c r="IEP954" s="24"/>
      <c r="IEQ954" s="24"/>
      <c r="IER954" s="24"/>
      <c r="IES954" s="24"/>
      <c r="IET954" s="24"/>
      <c r="IEU954" s="24"/>
      <c r="IEV954" s="24"/>
      <c r="IEW954" s="24"/>
      <c r="IEX954" s="24"/>
      <c r="IEY954" s="24"/>
      <c r="IEZ954" s="24"/>
      <c r="IFA954" s="24"/>
      <c r="IFB954" s="24"/>
      <c r="IFC954" s="24"/>
      <c r="IFD954" s="24"/>
      <c r="IFE954" s="24"/>
      <c r="IFF954" s="24"/>
      <c r="IFG954" s="24"/>
      <c r="IFH954" s="24"/>
      <c r="IFI954" s="24"/>
      <c r="IFJ954" s="24"/>
      <c r="IFK954" s="24"/>
      <c r="IFL954" s="24"/>
      <c r="IFM954" s="24"/>
      <c r="IFN954" s="24"/>
      <c r="IFO954" s="24"/>
      <c r="IFP954" s="24"/>
      <c r="IFQ954" s="24"/>
      <c r="IFR954" s="24"/>
      <c r="IFS954" s="24"/>
      <c r="IFT954" s="24"/>
      <c r="IFU954" s="24"/>
      <c r="IFV954" s="24"/>
      <c r="IFW954" s="24"/>
      <c r="IFX954" s="24"/>
      <c r="IFY954" s="24"/>
      <c r="IFZ954" s="24"/>
      <c r="IGA954" s="24"/>
      <c r="IGB954" s="24"/>
      <c r="IGC954" s="24"/>
      <c r="IGD954" s="24"/>
      <c r="IGE954" s="24"/>
      <c r="IGF954" s="24"/>
      <c r="IGG954" s="24"/>
      <c r="IGH954" s="24"/>
      <c r="IGI954" s="24"/>
      <c r="IGJ954" s="24"/>
      <c r="IGK954" s="24"/>
      <c r="IGL954" s="24"/>
      <c r="IGM954" s="24"/>
      <c r="IGN954" s="24"/>
      <c r="IGO954" s="24"/>
      <c r="IGP954" s="24"/>
      <c r="IGQ954" s="24"/>
      <c r="IGR954" s="24"/>
      <c r="IGS954" s="24"/>
      <c r="IGT954" s="24"/>
      <c r="IGU954" s="24"/>
      <c r="IGV954" s="24"/>
      <c r="IGW954" s="24"/>
      <c r="IGX954" s="24"/>
      <c r="IGY954" s="24"/>
      <c r="IGZ954" s="24"/>
      <c r="IHA954" s="24"/>
      <c r="IHB954" s="24"/>
      <c r="IHC954" s="24"/>
      <c r="IHD954" s="24"/>
      <c r="IHE954" s="24"/>
      <c r="IHF954" s="24"/>
      <c r="IHG954" s="24"/>
      <c r="IHH954" s="24"/>
      <c r="IHI954" s="24"/>
      <c r="IHJ954" s="24"/>
      <c r="IHK954" s="24"/>
      <c r="IHL954" s="24"/>
      <c r="IHM954" s="24"/>
      <c r="IHN954" s="24"/>
      <c r="IHO954" s="24"/>
      <c r="IHP954" s="24"/>
      <c r="IHQ954" s="24"/>
      <c r="IHR954" s="24"/>
      <c r="IHS954" s="24"/>
      <c r="IHT954" s="24"/>
      <c r="IHU954" s="24"/>
      <c r="IHV954" s="24"/>
      <c r="IHW954" s="24"/>
      <c r="IHX954" s="24"/>
      <c r="IHY954" s="24"/>
      <c r="IHZ954" s="24"/>
      <c r="IIA954" s="24"/>
      <c r="IIB954" s="24"/>
      <c r="IIC954" s="24"/>
      <c r="IID954" s="24"/>
      <c r="IIE954" s="24"/>
      <c r="IIF954" s="24"/>
      <c r="IIG954" s="24"/>
      <c r="IIH954" s="24"/>
      <c r="III954" s="24"/>
      <c r="IIJ954" s="24"/>
      <c r="IIK954" s="24"/>
      <c r="IIL954" s="24"/>
      <c r="IIM954" s="24"/>
      <c r="IIN954" s="24"/>
      <c r="IIO954" s="24"/>
      <c r="IIP954" s="24"/>
      <c r="IIQ954" s="24"/>
      <c r="IIR954" s="24"/>
      <c r="IIS954" s="24"/>
      <c r="IIT954" s="24"/>
      <c r="IIU954" s="24"/>
      <c r="IIV954" s="24"/>
      <c r="IIW954" s="24"/>
      <c r="IIX954" s="24"/>
      <c r="IIY954" s="24"/>
      <c r="IIZ954" s="24"/>
      <c r="IJA954" s="24"/>
      <c r="IJB954" s="24"/>
      <c r="IJC954" s="24"/>
      <c r="IJD954" s="24"/>
      <c r="IJE954" s="24"/>
      <c r="IJF954" s="24"/>
      <c r="IJG954" s="24"/>
      <c r="IJH954" s="24"/>
      <c r="IJI954" s="24"/>
      <c r="IJJ954" s="24"/>
      <c r="IJK954" s="24"/>
      <c r="IJL954" s="24"/>
      <c r="IJM954" s="24"/>
      <c r="IJN954" s="24"/>
      <c r="IJO954" s="24"/>
      <c r="IJP954" s="24"/>
      <c r="IJQ954" s="24"/>
      <c r="IJR954" s="24"/>
      <c r="IJS954" s="24"/>
      <c r="IJT954" s="24"/>
      <c r="IJU954" s="24"/>
      <c r="IJV954" s="24"/>
      <c r="IJW954" s="24"/>
      <c r="IJX954" s="24"/>
      <c r="IJY954" s="24"/>
      <c r="IJZ954" s="24"/>
      <c r="IKA954" s="24"/>
      <c r="IKB954" s="24"/>
      <c r="IKC954" s="24"/>
      <c r="IKD954" s="24"/>
      <c r="IKE954" s="24"/>
      <c r="IKF954" s="24"/>
      <c r="IKG954" s="24"/>
      <c r="IKH954" s="24"/>
      <c r="IKI954" s="24"/>
      <c r="IKJ954" s="24"/>
      <c r="IKK954" s="24"/>
      <c r="IKL954" s="24"/>
      <c r="IKM954" s="24"/>
      <c r="IKN954" s="24"/>
      <c r="IKO954" s="24"/>
      <c r="IKP954" s="24"/>
      <c r="IKQ954" s="24"/>
      <c r="IKR954" s="24"/>
      <c r="IKS954" s="24"/>
      <c r="IKT954" s="24"/>
      <c r="IKU954" s="24"/>
      <c r="IKV954" s="24"/>
      <c r="IKW954" s="24"/>
      <c r="IKX954" s="24"/>
      <c r="IKY954" s="24"/>
      <c r="IKZ954" s="24"/>
      <c r="ILA954" s="24"/>
      <c r="ILB954" s="24"/>
      <c r="ILC954" s="24"/>
      <c r="ILD954" s="24"/>
      <c r="ILE954" s="24"/>
      <c r="ILF954" s="24"/>
      <c r="ILG954" s="24"/>
      <c r="ILH954" s="24"/>
      <c r="ILI954" s="24"/>
      <c r="ILJ954" s="24"/>
      <c r="ILK954" s="24"/>
      <c r="ILL954" s="24"/>
      <c r="ILM954" s="24"/>
      <c r="ILN954" s="24"/>
      <c r="ILO954" s="24"/>
      <c r="ILP954" s="24"/>
      <c r="ILQ954" s="24"/>
      <c r="ILR954" s="24"/>
      <c r="ILS954" s="24"/>
      <c r="ILT954" s="24"/>
      <c r="ILU954" s="24"/>
      <c r="ILV954" s="24"/>
      <c r="ILW954" s="24"/>
      <c r="ILX954" s="24"/>
      <c r="ILY954" s="24"/>
      <c r="ILZ954" s="24"/>
      <c r="IMA954" s="24"/>
      <c r="IMB954" s="24"/>
      <c r="IMC954" s="24"/>
      <c r="IMD954" s="24"/>
      <c r="IME954" s="24"/>
      <c r="IMF954" s="24"/>
      <c r="IMG954" s="24"/>
      <c r="IMH954" s="24"/>
      <c r="IMI954" s="24"/>
      <c r="IMJ954" s="24"/>
      <c r="IMK954" s="24"/>
      <c r="IML954" s="24"/>
      <c r="IMM954" s="24"/>
      <c r="IMN954" s="24"/>
      <c r="IMO954" s="24"/>
      <c r="IMP954" s="24"/>
      <c r="IMQ954" s="24"/>
      <c r="IMR954" s="24"/>
      <c r="IMS954" s="24"/>
      <c r="IMT954" s="24"/>
      <c r="IMU954" s="24"/>
      <c r="IMV954" s="24"/>
      <c r="IMW954" s="24"/>
      <c r="IMX954" s="24"/>
      <c r="IMY954" s="24"/>
      <c r="IMZ954" s="24"/>
      <c r="INA954" s="24"/>
      <c r="INB954" s="24"/>
      <c r="INC954" s="24"/>
      <c r="IND954" s="24"/>
      <c r="INE954" s="24"/>
      <c r="INF954" s="24"/>
      <c r="ING954" s="24"/>
      <c r="INH954" s="24"/>
      <c r="INI954" s="24"/>
      <c r="INJ954" s="24"/>
      <c r="INK954" s="24"/>
      <c r="INL954" s="24"/>
      <c r="INM954" s="24"/>
      <c r="INN954" s="24"/>
      <c r="INO954" s="24"/>
      <c r="INP954" s="24"/>
      <c r="INQ954" s="24"/>
      <c r="INR954" s="24"/>
      <c r="INS954" s="24"/>
      <c r="INT954" s="24"/>
      <c r="INU954" s="24"/>
      <c r="INV954" s="24"/>
      <c r="INW954" s="24"/>
      <c r="INX954" s="24"/>
      <c r="INY954" s="24"/>
      <c r="INZ954" s="24"/>
      <c r="IOA954" s="24"/>
      <c r="IOB954" s="24"/>
      <c r="IOC954" s="24"/>
      <c r="IOD954" s="24"/>
      <c r="IOE954" s="24"/>
      <c r="IOF954" s="24"/>
      <c r="IOG954" s="24"/>
      <c r="IOH954" s="24"/>
      <c r="IOI954" s="24"/>
      <c r="IOJ954" s="24"/>
      <c r="IOK954" s="24"/>
      <c r="IOL954" s="24"/>
      <c r="IOM954" s="24"/>
      <c r="ION954" s="24"/>
      <c r="IOO954" s="24"/>
      <c r="IOP954" s="24"/>
      <c r="IOQ954" s="24"/>
      <c r="IOR954" s="24"/>
      <c r="IOS954" s="24"/>
      <c r="IOT954" s="24"/>
      <c r="IOU954" s="24"/>
      <c r="IOV954" s="24"/>
      <c r="IOW954" s="24"/>
      <c r="IOX954" s="24"/>
      <c r="IOY954" s="24"/>
      <c r="IOZ954" s="24"/>
      <c r="IPA954" s="24"/>
      <c r="IPB954" s="24"/>
      <c r="IPC954" s="24"/>
      <c r="IPD954" s="24"/>
      <c r="IPE954" s="24"/>
      <c r="IPF954" s="24"/>
      <c r="IPG954" s="24"/>
      <c r="IPH954" s="24"/>
      <c r="IPI954" s="24"/>
      <c r="IPJ954" s="24"/>
      <c r="IPK954" s="24"/>
      <c r="IPL954" s="24"/>
      <c r="IPM954" s="24"/>
      <c r="IPN954" s="24"/>
      <c r="IPO954" s="24"/>
      <c r="IPP954" s="24"/>
      <c r="IPQ954" s="24"/>
      <c r="IPR954" s="24"/>
      <c r="IPS954" s="24"/>
      <c r="IPT954" s="24"/>
      <c r="IPU954" s="24"/>
      <c r="IPV954" s="24"/>
      <c r="IPW954" s="24"/>
      <c r="IPX954" s="24"/>
      <c r="IPY954" s="24"/>
      <c r="IPZ954" s="24"/>
      <c r="IQA954" s="24"/>
      <c r="IQB954" s="24"/>
      <c r="IQC954" s="24"/>
      <c r="IQD954" s="24"/>
      <c r="IQE954" s="24"/>
      <c r="IQF954" s="24"/>
      <c r="IQG954" s="24"/>
      <c r="IQH954" s="24"/>
      <c r="IQI954" s="24"/>
      <c r="IQJ954" s="24"/>
      <c r="IQK954" s="24"/>
      <c r="IQL954" s="24"/>
      <c r="IQM954" s="24"/>
      <c r="IQN954" s="24"/>
      <c r="IQO954" s="24"/>
      <c r="IQP954" s="24"/>
      <c r="IQQ954" s="24"/>
      <c r="IQR954" s="24"/>
      <c r="IQS954" s="24"/>
      <c r="IQT954" s="24"/>
      <c r="IQU954" s="24"/>
      <c r="IQV954" s="24"/>
      <c r="IQW954" s="24"/>
      <c r="IQX954" s="24"/>
      <c r="IQY954" s="24"/>
      <c r="IQZ954" s="24"/>
      <c r="IRA954" s="24"/>
      <c r="IRB954" s="24"/>
      <c r="IRC954" s="24"/>
      <c r="IRD954" s="24"/>
      <c r="IRE954" s="24"/>
      <c r="IRF954" s="24"/>
      <c r="IRG954" s="24"/>
      <c r="IRH954" s="24"/>
      <c r="IRI954" s="24"/>
      <c r="IRJ954" s="24"/>
      <c r="IRK954" s="24"/>
      <c r="IRL954" s="24"/>
      <c r="IRM954" s="24"/>
      <c r="IRN954" s="24"/>
      <c r="IRO954" s="24"/>
      <c r="IRP954" s="24"/>
      <c r="IRQ954" s="24"/>
      <c r="IRR954" s="24"/>
      <c r="IRS954" s="24"/>
      <c r="IRT954" s="24"/>
      <c r="IRU954" s="24"/>
      <c r="IRV954" s="24"/>
      <c r="IRW954" s="24"/>
      <c r="IRX954" s="24"/>
      <c r="IRY954" s="24"/>
      <c r="IRZ954" s="24"/>
      <c r="ISA954" s="24"/>
      <c r="ISB954" s="24"/>
      <c r="ISC954" s="24"/>
      <c r="ISD954" s="24"/>
      <c r="ISE954" s="24"/>
      <c r="ISF954" s="24"/>
      <c r="ISG954" s="24"/>
      <c r="ISH954" s="24"/>
      <c r="ISI954" s="24"/>
      <c r="ISJ954" s="24"/>
      <c r="ISK954" s="24"/>
      <c r="ISL954" s="24"/>
      <c r="ISM954" s="24"/>
      <c r="ISN954" s="24"/>
      <c r="ISO954" s="24"/>
      <c r="ISP954" s="24"/>
      <c r="ISQ954" s="24"/>
      <c r="ISR954" s="24"/>
      <c r="ISS954" s="24"/>
      <c r="IST954" s="24"/>
      <c r="ISU954" s="24"/>
      <c r="ISV954" s="24"/>
      <c r="ISW954" s="24"/>
      <c r="ISX954" s="24"/>
      <c r="ISY954" s="24"/>
      <c r="ISZ954" s="24"/>
      <c r="ITA954" s="24"/>
      <c r="ITB954" s="24"/>
      <c r="ITC954" s="24"/>
      <c r="ITD954" s="24"/>
      <c r="ITE954" s="24"/>
      <c r="ITF954" s="24"/>
      <c r="ITG954" s="24"/>
      <c r="ITH954" s="24"/>
      <c r="ITI954" s="24"/>
      <c r="ITJ954" s="24"/>
      <c r="ITK954" s="24"/>
      <c r="ITL954" s="24"/>
      <c r="ITM954" s="24"/>
      <c r="ITN954" s="24"/>
      <c r="ITO954" s="24"/>
      <c r="ITP954" s="24"/>
      <c r="ITQ954" s="24"/>
      <c r="ITR954" s="24"/>
      <c r="ITS954" s="24"/>
      <c r="ITT954" s="24"/>
      <c r="ITU954" s="24"/>
      <c r="ITV954" s="24"/>
      <c r="ITW954" s="24"/>
      <c r="ITX954" s="24"/>
      <c r="ITY954" s="24"/>
      <c r="ITZ954" s="24"/>
      <c r="IUA954" s="24"/>
      <c r="IUB954" s="24"/>
      <c r="IUC954" s="24"/>
      <c r="IUD954" s="24"/>
      <c r="IUE954" s="24"/>
      <c r="IUF954" s="24"/>
      <c r="IUG954" s="24"/>
      <c r="IUH954" s="24"/>
      <c r="IUI954" s="24"/>
      <c r="IUJ954" s="24"/>
      <c r="IUK954" s="24"/>
      <c r="IUL954" s="24"/>
      <c r="IUM954" s="24"/>
      <c r="IUN954" s="24"/>
      <c r="IUO954" s="24"/>
      <c r="IUP954" s="24"/>
      <c r="IUQ954" s="24"/>
      <c r="IUR954" s="24"/>
      <c r="IUS954" s="24"/>
      <c r="IUT954" s="24"/>
      <c r="IUU954" s="24"/>
      <c r="IUV954" s="24"/>
      <c r="IUW954" s="24"/>
      <c r="IUX954" s="24"/>
      <c r="IUY954" s="24"/>
      <c r="IUZ954" s="24"/>
      <c r="IVA954" s="24"/>
      <c r="IVB954" s="24"/>
      <c r="IVC954" s="24"/>
      <c r="IVD954" s="24"/>
      <c r="IVE954" s="24"/>
      <c r="IVF954" s="24"/>
      <c r="IVG954" s="24"/>
      <c r="IVH954" s="24"/>
      <c r="IVI954" s="24"/>
      <c r="IVJ954" s="24"/>
      <c r="IVK954" s="24"/>
      <c r="IVL954" s="24"/>
      <c r="IVM954" s="24"/>
      <c r="IVN954" s="24"/>
      <c r="IVO954" s="24"/>
      <c r="IVP954" s="24"/>
      <c r="IVQ954" s="24"/>
      <c r="IVR954" s="24"/>
      <c r="IVS954" s="24"/>
      <c r="IVT954" s="24"/>
      <c r="IVU954" s="24"/>
      <c r="IVV954" s="24"/>
      <c r="IVW954" s="24"/>
      <c r="IVX954" s="24"/>
      <c r="IVY954" s="24"/>
      <c r="IVZ954" s="24"/>
      <c r="IWA954" s="24"/>
      <c r="IWB954" s="24"/>
      <c r="IWC954" s="24"/>
      <c r="IWD954" s="24"/>
      <c r="IWE954" s="24"/>
      <c r="IWF954" s="24"/>
      <c r="IWG954" s="24"/>
      <c r="IWH954" s="24"/>
      <c r="IWI954" s="24"/>
      <c r="IWJ954" s="24"/>
      <c r="IWK954" s="24"/>
      <c r="IWL954" s="24"/>
      <c r="IWM954" s="24"/>
      <c r="IWN954" s="24"/>
      <c r="IWO954" s="24"/>
      <c r="IWP954" s="24"/>
      <c r="IWQ954" s="24"/>
      <c r="IWR954" s="24"/>
      <c r="IWS954" s="24"/>
      <c r="IWT954" s="24"/>
      <c r="IWU954" s="24"/>
      <c r="IWV954" s="24"/>
      <c r="IWW954" s="24"/>
      <c r="IWX954" s="24"/>
      <c r="IWY954" s="24"/>
      <c r="IWZ954" s="24"/>
      <c r="IXA954" s="24"/>
      <c r="IXB954" s="24"/>
      <c r="IXC954" s="24"/>
      <c r="IXD954" s="24"/>
      <c r="IXE954" s="24"/>
      <c r="IXF954" s="24"/>
      <c r="IXG954" s="24"/>
      <c r="IXH954" s="24"/>
      <c r="IXI954" s="24"/>
      <c r="IXJ954" s="24"/>
      <c r="IXK954" s="24"/>
      <c r="IXL954" s="24"/>
      <c r="IXM954" s="24"/>
      <c r="IXN954" s="24"/>
      <c r="IXO954" s="24"/>
      <c r="IXP954" s="24"/>
      <c r="IXQ954" s="24"/>
      <c r="IXR954" s="24"/>
      <c r="IXS954" s="24"/>
      <c r="IXT954" s="24"/>
      <c r="IXU954" s="24"/>
      <c r="IXV954" s="24"/>
      <c r="IXW954" s="24"/>
      <c r="IXX954" s="24"/>
      <c r="IXY954" s="24"/>
      <c r="IXZ954" s="24"/>
      <c r="IYA954" s="24"/>
      <c r="IYB954" s="24"/>
      <c r="IYC954" s="24"/>
      <c r="IYD954" s="24"/>
      <c r="IYE954" s="24"/>
      <c r="IYF954" s="24"/>
      <c r="IYG954" s="24"/>
      <c r="IYH954" s="24"/>
      <c r="IYI954" s="24"/>
      <c r="IYJ954" s="24"/>
      <c r="IYK954" s="24"/>
      <c r="IYL954" s="24"/>
      <c r="IYM954" s="24"/>
      <c r="IYN954" s="24"/>
      <c r="IYO954" s="24"/>
      <c r="IYP954" s="24"/>
      <c r="IYQ954" s="24"/>
      <c r="IYR954" s="24"/>
      <c r="IYS954" s="24"/>
      <c r="IYT954" s="24"/>
      <c r="IYU954" s="24"/>
      <c r="IYV954" s="24"/>
      <c r="IYW954" s="24"/>
      <c r="IYX954" s="24"/>
      <c r="IYY954" s="24"/>
      <c r="IYZ954" s="24"/>
      <c r="IZA954" s="24"/>
      <c r="IZB954" s="24"/>
      <c r="IZC954" s="24"/>
      <c r="IZD954" s="24"/>
      <c r="IZE954" s="24"/>
      <c r="IZF954" s="24"/>
      <c r="IZG954" s="24"/>
      <c r="IZH954" s="24"/>
      <c r="IZI954" s="24"/>
      <c r="IZJ954" s="24"/>
      <c r="IZK954" s="24"/>
      <c r="IZL954" s="24"/>
      <c r="IZM954" s="24"/>
      <c r="IZN954" s="24"/>
      <c r="IZO954" s="24"/>
      <c r="IZP954" s="24"/>
      <c r="IZQ954" s="24"/>
      <c r="IZR954" s="24"/>
      <c r="IZS954" s="24"/>
      <c r="IZT954" s="24"/>
      <c r="IZU954" s="24"/>
      <c r="IZV954" s="24"/>
      <c r="IZW954" s="24"/>
      <c r="IZX954" s="24"/>
      <c r="IZY954" s="24"/>
      <c r="IZZ954" s="24"/>
      <c r="JAA954" s="24"/>
      <c r="JAB954" s="24"/>
      <c r="JAC954" s="24"/>
      <c r="JAD954" s="24"/>
      <c r="JAE954" s="24"/>
      <c r="JAF954" s="24"/>
      <c r="JAG954" s="24"/>
      <c r="JAH954" s="24"/>
      <c r="JAI954" s="24"/>
      <c r="JAJ954" s="24"/>
      <c r="JAK954" s="24"/>
      <c r="JAL954" s="24"/>
      <c r="JAM954" s="24"/>
      <c r="JAN954" s="24"/>
      <c r="JAO954" s="24"/>
      <c r="JAP954" s="24"/>
      <c r="JAQ954" s="24"/>
      <c r="JAR954" s="24"/>
      <c r="JAS954" s="24"/>
      <c r="JAT954" s="24"/>
      <c r="JAU954" s="24"/>
      <c r="JAV954" s="24"/>
      <c r="JAW954" s="24"/>
      <c r="JAX954" s="24"/>
      <c r="JAY954" s="24"/>
      <c r="JAZ954" s="24"/>
      <c r="JBA954" s="24"/>
      <c r="JBB954" s="24"/>
      <c r="JBC954" s="24"/>
      <c r="JBD954" s="24"/>
      <c r="JBE954" s="24"/>
      <c r="JBF954" s="24"/>
      <c r="JBG954" s="24"/>
      <c r="JBH954" s="24"/>
      <c r="JBI954" s="24"/>
      <c r="JBJ954" s="24"/>
      <c r="JBK954" s="24"/>
      <c r="JBL954" s="24"/>
      <c r="JBM954" s="24"/>
      <c r="JBN954" s="24"/>
      <c r="JBO954" s="24"/>
      <c r="JBP954" s="24"/>
      <c r="JBQ954" s="24"/>
      <c r="JBR954" s="24"/>
      <c r="JBS954" s="24"/>
      <c r="JBT954" s="24"/>
      <c r="JBU954" s="24"/>
      <c r="JBV954" s="24"/>
      <c r="JBW954" s="24"/>
      <c r="JBX954" s="24"/>
      <c r="JBY954" s="24"/>
      <c r="JBZ954" s="24"/>
      <c r="JCA954" s="24"/>
      <c r="JCB954" s="24"/>
      <c r="JCC954" s="24"/>
      <c r="JCD954" s="24"/>
      <c r="JCE954" s="24"/>
      <c r="JCF954" s="24"/>
      <c r="JCG954" s="24"/>
      <c r="JCH954" s="24"/>
      <c r="JCI954" s="24"/>
      <c r="JCJ954" s="24"/>
      <c r="JCK954" s="24"/>
      <c r="JCL954" s="24"/>
      <c r="JCM954" s="24"/>
      <c r="JCN954" s="24"/>
      <c r="JCO954" s="24"/>
      <c r="JCP954" s="24"/>
      <c r="JCQ954" s="24"/>
      <c r="JCR954" s="24"/>
      <c r="JCS954" s="24"/>
      <c r="JCT954" s="24"/>
      <c r="JCU954" s="24"/>
      <c r="JCV954" s="24"/>
      <c r="JCW954" s="24"/>
      <c r="JCX954" s="24"/>
      <c r="JCY954" s="24"/>
      <c r="JCZ954" s="24"/>
      <c r="JDA954" s="24"/>
      <c r="JDB954" s="24"/>
      <c r="JDC954" s="24"/>
      <c r="JDD954" s="24"/>
      <c r="JDE954" s="24"/>
      <c r="JDF954" s="24"/>
      <c r="JDG954" s="24"/>
      <c r="JDH954" s="24"/>
      <c r="JDI954" s="24"/>
      <c r="JDJ954" s="24"/>
      <c r="JDK954" s="24"/>
      <c r="JDL954" s="24"/>
      <c r="JDM954" s="24"/>
      <c r="JDN954" s="24"/>
      <c r="JDO954" s="24"/>
      <c r="JDP954" s="24"/>
      <c r="JDQ954" s="24"/>
      <c r="JDR954" s="24"/>
      <c r="JDS954" s="24"/>
      <c r="JDT954" s="24"/>
      <c r="JDU954" s="24"/>
      <c r="JDV954" s="24"/>
      <c r="JDW954" s="24"/>
      <c r="JDX954" s="24"/>
      <c r="JDY954" s="24"/>
      <c r="JDZ954" s="24"/>
      <c r="JEA954" s="24"/>
      <c r="JEB954" s="24"/>
      <c r="JEC954" s="24"/>
      <c r="JED954" s="24"/>
      <c r="JEE954" s="24"/>
      <c r="JEF954" s="24"/>
      <c r="JEG954" s="24"/>
      <c r="JEH954" s="24"/>
      <c r="JEI954" s="24"/>
      <c r="JEJ954" s="24"/>
      <c r="JEK954" s="24"/>
      <c r="JEL954" s="24"/>
      <c r="JEM954" s="24"/>
      <c r="JEN954" s="24"/>
      <c r="JEO954" s="24"/>
      <c r="JEP954" s="24"/>
      <c r="JEQ954" s="24"/>
      <c r="JER954" s="24"/>
      <c r="JES954" s="24"/>
      <c r="JET954" s="24"/>
      <c r="JEU954" s="24"/>
      <c r="JEV954" s="24"/>
      <c r="JEW954" s="24"/>
      <c r="JEX954" s="24"/>
      <c r="JEY954" s="24"/>
      <c r="JEZ954" s="24"/>
      <c r="JFA954" s="24"/>
      <c r="JFB954" s="24"/>
      <c r="JFC954" s="24"/>
      <c r="JFD954" s="24"/>
      <c r="JFE954" s="24"/>
      <c r="JFF954" s="24"/>
      <c r="JFG954" s="24"/>
      <c r="JFH954" s="24"/>
      <c r="JFI954" s="24"/>
      <c r="JFJ954" s="24"/>
      <c r="JFK954" s="24"/>
      <c r="JFL954" s="24"/>
      <c r="JFM954" s="24"/>
      <c r="JFN954" s="24"/>
      <c r="JFO954" s="24"/>
      <c r="JFP954" s="24"/>
      <c r="JFQ954" s="24"/>
      <c r="JFR954" s="24"/>
      <c r="JFS954" s="24"/>
      <c r="JFT954" s="24"/>
      <c r="JFU954" s="24"/>
      <c r="JFV954" s="24"/>
      <c r="JFW954" s="24"/>
      <c r="JFX954" s="24"/>
      <c r="JFY954" s="24"/>
      <c r="JFZ954" s="24"/>
      <c r="JGA954" s="24"/>
      <c r="JGB954" s="24"/>
      <c r="JGC954" s="24"/>
      <c r="JGD954" s="24"/>
      <c r="JGE954" s="24"/>
      <c r="JGF954" s="24"/>
      <c r="JGG954" s="24"/>
      <c r="JGH954" s="24"/>
      <c r="JGI954" s="24"/>
      <c r="JGJ954" s="24"/>
      <c r="JGK954" s="24"/>
      <c r="JGL954" s="24"/>
      <c r="JGM954" s="24"/>
      <c r="JGN954" s="24"/>
      <c r="JGO954" s="24"/>
      <c r="JGP954" s="24"/>
      <c r="JGQ954" s="24"/>
      <c r="JGR954" s="24"/>
      <c r="JGS954" s="24"/>
      <c r="JGT954" s="24"/>
      <c r="JGU954" s="24"/>
      <c r="JGV954" s="24"/>
      <c r="JGW954" s="24"/>
      <c r="JGX954" s="24"/>
      <c r="JGY954" s="24"/>
      <c r="JGZ954" s="24"/>
      <c r="JHA954" s="24"/>
      <c r="JHB954" s="24"/>
      <c r="JHC954" s="24"/>
      <c r="JHD954" s="24"/>
      <c r="JHE954" s="24"/>
      <c r="JHF954" s="24"/>
      <c r="JHG954" s="24"/>
      <c r="JHH954" s="24"/>
      <c r="JHI954" s="24"/>
      <c r="JHJ954" s="24"/>
      <c r="JHK954" s="24"/>
      <c r="JHL954" s="24"/>
      <c r="JHM954" s="24"/>
      <c r="JHN954" s="24"/>
      <c r="JHO954" s="24"/>
      <c r="JHP954" s="24"/>
      <c r="JHQ954" s="24"/>
      <c r="JHR954" s="24"/>
      <c r="JHS954" s="24"/>
      <c r="JHT954" s="24"/>
      <c r="JHU954" s="24"/>
      <c r="JHV954" s="24"/>
      <c r="JHW954" s="24"/>
      <c r="JHX954" s="24"/>
      <c r="JHY954" s="24"/>
      <c r="JHZ954" s="24"/>
      <c r="JIA954" s="24"/>
      <c r="JIB954" s="24"/>
      <c r="JIC954" s="24"/>
      <c r="JID954" s="24"/>
      <c r="JIE954" s="24"/>
      <c r="JIF954" s="24"/>
      <c r="JIG954" s="24"/>
      <c r="JIH954" s="24"/>
      <c r="JII954" s="24"/>
      <c r="JIJ954" s="24"/>
      <c r="JIK954" s="24"/>
      <c r="JIL954" s="24"/>
      <c r="JIM954" s="24"/>
      <c r="JIN954" s="24"/>
      <c r="JIO954" s="24"/>
      <c r="JIP954" s="24"/>
      <c r="JIQ954" s="24"/>
      <c r="JIR954" s="24"/>
      <c r="JIS954" s="24"/>
      <c r="JIT954" s="24"/>
      <c r="JIU954" s="24"/>
      <c r="JIV954" s="24"/>
      <c r="JIW954" s="24"/>
      <c r="JIX954" s="24"/>
      <c r="JIY954" s="24"/>
      <c r="JIZ954" s="24"/>
      <c r="JJA954" s="24"/>
      <c r="JJB954" s="24"/>
      <c r="JJC954" s="24"/>
      <c r="JJD954" s="24"/>
      <c r="JJE954" s="24"/>
      <c r="JJF954" s="24"/>
      <c r="JJG954" s="24"/>
      <c r="JJH954" s="24"/>
      <c r="JJI954" s="24"/>
      <c r="JJJ954" s="24"/>
      <c r="JJK954" s="24"/>
      <c r="JJL954" s="24"/>
      <c r="JJM954" s="24"/>
      <c r="JJN954" s="24"/>
      <c r="JJO954" s="24"/>
      <c r="JJP954" s="24"/>
      <c r="JJQ954" s="24"/>
      <c r="JJR954" s="24"/>
      <c r="JJS954" s="24"/>
      <c r="JJT954" s="24"/>
      <c r="JJU954" s="24"/>
      <c r="JJV954" s="24"/>
      <c r="JJW954" s="24"/>
      <c r="JJX954" s="24"/>
      <c r="JJY954" s="24"/>
      <c r="JJZ954" s="24"/>
      <c r="JKA954" s="24"/>
      <c r="JKB954" s="24"/>
      <c r="JKC954" s="24"/>
      <c r="JKD954" s="24"/>
      <c r="JKE954" s="24"/>
      <c r="JKF954" s="24"/>
      <c r="JKG954" s="24"/>
      <c r="JKH954" s="24"/>
      <c r="JKI954" s="24"/>
      <c r="JKJ954" s="24"/>
      <c r="JKK954" s="24"/>
      <c r="JKL954" s="24"/>
      <c r="JKM954" s="24"/>
      <c r="JKN954" s="24"/>
      <c r="JKO954" s="24"/>
      <c r="JKP954" s="24"/>
      <c r="JKQ954" s="24"/>
      <c r="JKR954" s="24"/>
      <c r="JKS954" s="24"/>
      <c r="JKT954" s="24"/>
      <c r="JKU954" s="24"/>
      <c r="JKV954" s="24"/>
      <c r="JKW954" s="24"/>
      <c r="JKX954" s="24"/>
      <c r="JKY954" s="24"/>
      <c r="JKZ954" s="24"/>
      <c r="JLA954" s="24"/>
      <c r="JLB954" s="24"/>
      <c r="JLC954" s="24"/>
      <c r="JLD954" s="24"/>
      <c r="JLE954" s="24"/>
      <c r="JLF954" s="24"/>
      <c r="JLG954" s="24"/>
      <c r="JLH954" s="24"/>
      <c r="JLI954" s="24"/>
      <c r="JLJ954" s="24"/>
      <c r="JLK954" s="24"/>
      <c r="JLL954" s="24"/>
      <c r="JLM954" s="24"/>
      <c r="JLN954" s="24"/>
      <c r="JLO954" s="24"/>
      <c r="JLP954" s="24"/>
      <c r="JLQ954" s="24"/>
      <c r="JLR954" s="24"/>
      <c r="JLS954" s="24"/>
      <c r="JLT954" s="24"/>
      <c r="JLU954" s="24"/>
      <c r="JLV954" s="24"/>
      <c r="JLW954" s="24"/>
      <c r="JLX954" s="24"/>
      <c r="JLY954" s="24"/>
      <c r="JLZ954" s="24"/>
      <c r="JMA954" s="24"/>
      <c r="JMB954" s="24"/>
      <c r="JMC954" s="24"/>
      <c r="JMD954" s="24"/>
      <c r="JME954" s="24"/>
      <c r="JMF954" s="24"/>
      <c r="JMG954" s="24"/>
      <c r="JMH954" s="24"/>
      <c r="JMI954" s="24"/>
      <c r="JMJ954" s="24"/>
      <c r="JMK954" s="24"/>
      <c r="JML954" s="24"/>
      <c r="JMM954" s="24"/>
      <c r="JMN954" s="24"/>
      <c r="JMO954" s="24"/>
      <c r="JMP954" s="24"/>
      <c r="JMQ954" s="24"/>
      <c r="JMR954" s="24"/>
      <c r="JMS954" s="24"/>
      <c r="JMT954" s="24"/>
      <c r="JMU954" s="24"/>
      <c r="JMV954" s="24"/>
      <c r="JMW954" s="24"/>
      <c r="JMX954" s="24"/>
      <c r="JMY954" s="24"/>
      <c r="JMZ954" s="24"/>
      <c r="JNA954" s="24"/>
      <c r="JNB954" s="24"/>
      <c r="JNC954" s="24"/>
      <c r="JND954" s="24"/>
      <c r="JNE954" s="24"/>
      <c r="JNF954" s="24"/>
      <c r="JNG954" s="24"/>
      <c r="JNH954" s="24"/>
      <c r="JNI954" s="24"/>
      <c r="JNJ954" s="24"/>
      <c r="JNK954" s="24"/>
      <c r="JNL954" s="24"/>
      <c r="JNM954" s="24"/>
      <c r="JNN954" s="24"/>
      <c r="JNO954" s="24"/>
      <c r="JNP954" s="24"/>
      <c r="JNQ954" s="24"/>
      <c r="JNR954" s="24"/>
      <c r="JNS954" s="24"/>
      <c r="JNT954" s="24"/>
      <c r="JNU954" s="24"/>
      <c r="JNV954" s="24"/>
      <c r="JNW954" s="24"/>
      <c r="JNX954" s="24"/>
      <c r="JNY954" s="24"/>
      <c r="JNZ954" s="24"/>
      <c r="JOA954" s="24"/>
      <c r="JOB954" s="24"/>
      <c r="JOC954" s="24"/>
      <c r="JOD954" s="24"/>
      <c r="JOE954" s="24"/>
      <c r="JOF954" s="24"/>
      <c r="JOG954" s="24"/>
      <c r="JOH954" s="24"/>
      <c r="JOI954" s="24"/>
      <c r="JOJ954" s="24"/>
      <c r="JOK954" s="24"/>
      <c r="JOL954" s="24"/>
      <c r="JOM954" s="24"/>
      <c r="JON954" s="24"/>
      <c r="JOO954" s="24"/>
      <c r="JOP954" s="24"/>
      <c r="JOQ954" s="24"/>
      <c r="JOR954" s="24"/>
      <c r="JOS954" s="24"/>
      <c r="JOT954" s="24"/>
      <c r="JOU954" s="24"/>
      <c r="JOV954" s="24"/>
      <c r="JOW954" s="24"/>
      <c r="JOX954" s="24"/>
      <c r="JOY954" s="24"/>
      <c r="JOZ954" s="24"/>
      <c r="JPA954" s="24"/>
      <c r="JPB954" s="24"/>
      <c r="JPC954" s="24"/>
      <c r="JPD954" s="24"/>
      <c r="JPE954" s="24"/>
      <c r="JPF954" s="24"/>
      <c r="JPG954" s="24"/>
      <c r="JPH954" s="24"/>
      <c r="JPI954" s="24"/>
      <c r="JPJ954" s="24"/>
      <c r="JPK954" s="24"/>
      <c r="JPL954" s="24"/>
      <c r="JPM954" s="24"/>
      <c r="JPN954" s="24"/>
      <c r="JPO954" s="24"/>
      <c r="JPP954" s="24"/>
      <c r="JPQ954" s="24"/>
      <c r="JPR954" s="24"/>
      <c r="JPS954" s="24"/>
      <c r="JPT954" s="24"/>
      <c r="JPU954" s="24"/>
      <c r="JPV954" s="24"/>
      <c r="JPW954" s="24"/>
      <c r="JPX954" s="24"/>
      <c r="JPY954" s="24"/>
      <c r="JPZ954" s="24"/>
      <c r="JQA954" s="24"/>
      <c r="JQB954" s="24"/>
      <c r="JQC954" s="24"/>
      <c r="JQD954" s="24"/>
      <c r="JQE954" s="24"/>
      <c r="JQF954" s="24"/>
      <c r="JQG954" s="24"/>
      <c r="JQH954" s="24"/>
      <c r="JQI954" s="24"/>
      <c r="JQJ954" s="24"/>
      <c r="JQK954" s="24"/>
      <c r="JQL954" s="24"/>
      <c r="JQM954" s="24"/>
      <c r="JQN954" s="24"/>
      <c r="JQO954" s="24"/>
      <c r="JQP954" s="24"/>
      <c r="JQQ954" s="24"/>
      <c r="JQR954" s="24"/>
      <c r="JQS954" s="24"/>
      <c r="JQT954" s="24"/>
      <c r="JQU954" s="24"/>
      <c r="JQV954" s="24"/>
      <c r="JQW954" s="24"/>
      <c r="JQX954" s="24"/>
      <c r="JQY954" s="24"/>
      <c r="JQZ954" s="24"/>
      <c r="JRA954" s="24"/>
      <c r="JRB954" s="24"/>
      <c r="JRC954" s="24"/>
      <c r="JRD954" s="24"/>
      <c r="JRE954" s="24"/>
      <c r="JRF954" s="24"/>
      <c r="JRG954" s="24"/>
      <c r="JRH954" s="24"/>
      <c r="JRI954" s="24"/>
      <c r="JRJ954" s="24"/>
      <c r="JRK954" s="24"/>
      <c r="JRL954" s="24"/>
      <c r="JRM954" s="24"/>
      <c r="JRN954" s="24"/>
      <c r="JRO954" s="24"/>
      <c r="JRP954" s="24"/>
      <c r="JRQ954" s="24"/>
      <c r="JRR954" s="24"/>
      <c r="JRS954" s="24"/>
      <c r="JRT954" s="24"/>
      <c r="JRU954" s="24"/>
      <c r="JRV954" s="24"/>
      <c r="JRW954" s="24"/>
      <c r="JRX954" s="24"/>
      <c r="JRY954" s="24"/>
      <c r="JRZ954" s="24"/>
      <c r="JSA954" s="24"/>
      <c r="JSB954" s="24"/>
      <c r="JSC954" s="24"/>
      <c r="JSD954" s="24"/>
      <c r="JSE954" s="24"/>
      <c r="JSF954" s="24"/>
      <c r="JSG954" s="24"/>
      <c r="JSH954" s="24"/>
      <c r="JSI954" s="24"/>
      <c r="JSJ954" s="24"/>
      <c r="JSK954" s="24"/>
      <c r="JSL954" s="24"/>
      <c r="JSM954" s="24"/>
      <c r="JSN954" s="24"/>
      <c r="JSO954" s="24"/>
      <c r="JSP954" s="24"/>
      <c r="JSQ954" s="24"/>
      <c r="JSR954" s="24"/>
      <c r="JSS954" s="24"/>
      <c r="JST954" s="24"/>
      <c r="JSU954" s="24"/>
      <c r="JSV954" s="24"/>
      <c r="JSW954" s="24"/>
      <c r="JSX954" s="24"/>
      <c r="JSY954" s="24"/>
      <c r="JSZ954" s="24"/>
      <c r="JTA954" s="24"/>
      <c r="JTB954" s="24"/>
      <c r="JTC954" s="24"/>
      <c r="JTD954" s="24"/>
      <c r="JTE954" s="24"/>
      <c r="JTF954" s="24"/>
      <c r="JTG954" s="24"/>
      <c r="JTH954" s="24"/>
      <c r="JTI954" s="24"/>
      <c r="JTJ954" s="24"/>
      <c r="JTK954" s="24"/>
      <c r="JTL954" s="24"/>
      <c r="JTM954" s="24"/>
      <c r="JTN954" s="24"/>
      <c r="JTO954" s="24"/>
      <c r="JTP954" s="24"/>
      <c r="JTQ954" s="24"/>
      <c r="JTR954" s="24"/>
      <c r="JTS954" s="24"/>
      <c r="JTT954" s="24"/>
      <c r="JTU954" s="24"/>
      <c r="JTV954" s="24"/>
      <c r="JTW954" s="24"/>
      <c r="JTX954" s="24"/>
      <c r="JTY954" s="24"/>
      <c r="JTZ954" s="24"/>
      <c r="JUA954" s="24"/>
      <c r="JUB954" s="24"/>
      <c r="JUC954" s="24"/>
      <c r="JUD954" s="24"/>
      <c r="JUE954" s="24"/>
      <c r="JUF954" s="24"/>
      <c r="JUG954" s="24"/>
      <c r="JUH954" s="24"/>
      <c r="JUI954" s="24"/>
      <c r="JUJ954" s="24"/>
      <c r="JUK954" s="24"/>
      <c r="JUL954" s="24"/>
      <c r="JUM954" s="24"/>
      <c r="JUN954" s="24"/>
      <c r="JUO954" s="24"/>
      <c r="JUP954" s="24"/>
      <c r="JUQ954" s="24"/>
      <c r="JUR954" s="24"/>
      <c r="JUS954" s="24"/>
      <c r="JUT954" s="24"/>
      <c r="JUU954" s="24"/>
      <c r="JUV954" s="24"/>
      <c r="JUW954" s="24"/>
      <c r="JUX954" s="24"/>
      <c r="JUY954" s="24"/>
      <c r="JUZ954" s="24"/>
      <c r="JVA954" s="24"/>
      <c r="JVB954" s="24"/>
      <c r="JVC954" s="24"/>
      <c r="JVD954" s="24"/>
      <c r="JVE954" s="24"/>
      <c r="JVF954" s="24"/>
      <c r="JVG954" s="24"/>
      <c r="JVH954" s="24"/>
      <c r="JVI954" s="24"/>
      <c r="JVJ954" s="24"/>
      <c r="JVK954" s="24"/>
      <c r="JVL954" s="24"/>
      <c r="JVM954" s="24"/>
      <c r="JVN954" s="24"/>
      <c r="JVO954" s="24"/>
      <c r="JVP954" s="24"/>
      <c r="JVQ954" s="24"/>
      <c r="JVR954" s="24"/>
      <c r="JVS954" s="24"/>
      <c r="JVT954" s="24"/>
      <c r="JVU954" s="24"/>
      <c r="JVV954" s="24"/>
      <c r="JVW954" s="24"/>
      <c r="JVX954" s="24"/>
      <c r="JVY954" s="24"/>
      <c r="JVZ954" s="24"/>
      <c r="JWA954" s="24"/>
      <c r="JWB954" s="24"/>
      <c r="JWC954" s="24"/>
      <c r="JWD954" s="24"/>
      <c r="JWE954" s="24"/>
      <c r="JWF954" s="24"/>
      <c r="JWG954" s="24"/>
      <c r="JWH954" s="24"/>
      <c r="JWI954" s="24"/>
      <c r="JWJ954" s="24"/>
      <c r="JWK954" s="24"/>
      <c r="JWL954" s="24"/>
      <c r="JWM954" s="24"/>
      <c r="JWN954" s="24"/>
      <c r="JWO954" s="24"/>
      <c r="JWP954" s="24"/>
      <c r="JWQ954" s="24"/>
      <c r="JWR954" s="24"/>
      <c r="JWS954" s="24"/>
      <c r="JWT954" s="24"/>
      <c r="JWU954" s="24"/>
      <c r="JWV954" s="24"/>
      <c r="JWW954" s="24"/>
      <c r="JWX954" s="24"/>
      <c r="JWY954" s="24"/>
      <c r="JWZ954" s="24"/>
      <c r="JXA954" s="24"/>
      <c r="JXB954" s="24"/>
      <c r="JXC954" s="24"/>
      <c r="JXD954" s="24"/>
      <c r="JXE954" s="24"/>
      <c r="JXF954" s="24"/>
      <c r="JXG954" s="24"/>
      <c r="JXH954" s="24"/>
      <c r="JXI954" s="24"/>
      <c r="JXJ954" s="24"/>
      <c r="JXK954" s="24"/>
      <c r="JXL954" s="24"/>
      <c r="JXM954" s="24"/>
      <c r="JXN954" s="24"/>
      <c r="JXO954" s="24"/>
      <c r="JXP954" s="24"/>
      <c r="JXQ954" s="24"/>
      <c r="JXR954" s="24"/>
      <c r="JXS954" s="24"/>
      <c r="JXT954" s="24"/>
      <c r="JXU954" s="24"/>
      <c r="JXV954" s="24"/>
      <c r="JXW954" s="24"/>
      <c r="JXX954" s="24"/>
      <c r="JXY954" s="24"/>
      <c r="JXZ954" s="24"/>
      <c r="JYA954" s="24"/>
      <c r="JYB954" s="24"/>
      <c r="JYC954" s="24"/>
      <c r="JYD954" s="24"/>
      <c r="JYE954" s="24"/>
      <c r="JYF954" s="24"/>
      <c r="JYG954" s="24"/>
      <c r="JYH954" s="24"/>
      <c r="JYI954" s="24"/>
      <c r="JYJ954" s="24"/>
      <c r="JYK954" s="24"/>
      <c r="JYL954" s="24"/>
      <c r="JYM954" s="24"/>
      <c r="JYN954" s="24"/>
      <c r="JYO954" s="24"/>
      <c r="JYP954" s="24"/>
      <c r="JYQ954" s="24"/>
      <c r="JYR954" s="24"/>
      <c r="JYS954" s="24"/>
      <c r="JYT954" s="24"/>
      <c r="JYU954" s="24"/>
      <c r="JYV954" s="24"/>
      <c r="JYW954" s="24"/>
      <c r="JYX954" s="24"/>
      <c r="JYY954" s="24"/>
      <c r="JYZ954" s="24"/>
      <c r="JZA954" s="24"/>
      <c r="JZB954" s="24"/>
      <c r="JZC954" s="24"/>
      <c r="JZD954" s="24"/>
      <c r="JZE954" s="24"/>
      <c r="JZF954" s="24"/>
      <c r="JZG954" s="24"/>
      <c r="JZH954" s="24"/>
      <c r="JZI954" s="24"/>
      <c r="JZJ954" s="24"/>
      <c r="JZK954" s="24"/>
      <c r="JZL954" s="24"/>
      <c r="JZM954" s="24"/>
      <c r="JZN954" s="24"/>
      <c r="JZO954" s="24"/>
      <c r="JZP954" s="24"/>
      <c r="JZQ954" s="24"/>
      <c r="JZR954" s="24"/>
      <c r="JZS954" s="24"/>
      <c r="JZT954" s="24"/>
      <c r="JZU954" s="24"/>
      <c r="JZV954" s="24"/>
      <c r="JZW954" s="24"/>
      <c r="JZX954" s="24"/>
      <c r="JZY954" s="24"/>
      <c r="JZZ954" s="24"/>
      <c r="KAA954" s="24"/>
      <c r="KAB954" s="24"/>
      <c r="KAC954" s="24"/>
      <c r="KAD954" s="24"/>
      <c r="KAE954" s="24"/>
      <c r="KAF954" s="24"/>
      <c r="KAG954" s="24"/>
      <c r="KAH954" s="24"/>
      <c r="KAI954" s="24"/>
      <c r="KAJ954" s="24"/>
      <c r="KAK954" s="24"/>
      <c r="KAL954" s="24"/>
      <c r="KAM954" s="24"/>
      <c r="KAN954" s="24"/>
      <c r="KAO954" s="24"/>
      <c r="KAP954" s="24"/>
      <c r="KAQ954" s="24"/>
      <c r="KAR954" s="24"/>
      <c r="KAS954" s="24"/>
      <c r="KAT954" s="24"/>
      <c r="KAU954" s="24"/>
      <c r="KAV954" s="24"/>
      <c r="KAW954" s="24"/>
      <c r="KAX954" s="24"/>
      <c r="KAY954" s="24"/>
      <c r="KAZ954" s="24"/>
      <c r="KBA954" s="24"/>
      <c r="KBB954" s="24"/>
      <c r="KBC954" s="24"/>
      <c r="KBD954" s="24"/>
      <c r="KBE954" s="24"/>
      <c r="KBF954" s="24"/>
      <c r="KBG954" s="24"/>
      <c r="KBH954" s="24"/>
      <c r="KBI954" s="24"/>
      <c r="KBJ954" s="24"/>
      <c r="KBK954" s="24"/>
      <c r="KBL954" s="24"/>
      <c r="KBM954" s="24"/>
      <c r="KBN954" s="24"/>
      <c r="KBO954" s="24"/>
      <c r="KBP954" s="24"/>
      <c r="KBQ954" s="24"/>
      <c r="KBR954" s="24"/>
      <c r="KBS954" s="24"/>
      <c r="KBT954" s="24"/>
      <c r="KBU954" s="24"/>
      <c r="KBV954" s="24"/>
      <c r="KBW954" s="24"/>
      <c r="KBX954" s="24"/>
      <c r="KBY954" s="24"/>
      <c r="KBZ954" s="24"/>
      <c r="KCA954" s="24"/>
      <c r="KCB954" s="24"/>
      <c r="KCC954" s="24"/>
      <c r="KCD954" s="24"/>
      <c r="KCE954" s="24"/>
      <c r="KCF954" s="24"/>
      <c r="KCG954" s="24"/>
      <c r="KCH954" s="24"/>
      <c r="KCI954" s="24"/>
      <c r="KCJ954" s="24"/>
      <c r="KCK954" s="24"/>
      <c r="KCL954" s="24"/>
      <c r="KCM954" s="24"/>
      <c r="KCN954" s="24"/>
      <c r="KCO954" s="24"/>
      <c r="KCP954" s="24"/>
      <c r="KCQ954" s="24"/>
      <c r="KCR954" s="24"/>
      <c r="KCS954" s="24"/>
      <c r="KCT954" s="24"/>
      <c r="KCU954" s="24"/>
      <c r="KCV954" s="24"/>
      <c r="KCW954" s="24"/>
      <c r="KCX954" s="24"/>
      <c r="KCY954" s="24"/>
      <c r="KCZ954" s="24"/>
      <c r="KDA954" s="24"/>
      <c r="KDB954" s="24"/>
      <c r="KDC954" s="24"/>
      <c r="KDD954" s="24"/>
      <c r="KDE954" s="24"/>
      <c r="KDF954" s="24"/>
      <c r="KDG954" s="24"/>
      <c r="KDH954" s="24"/>
      <c r="KDI954" s="24"/>
      <c r="KDJ954" s="24"/>
      <c r="KDK954" s="24"/>
      <c r="KDL954" s="24"/>
      <c r="KDM954" s="24"/>
      <c r="KDN954" s="24"/>
      <c r="KDO954" s="24"/>
      <c r="KDP954" s="24"/>
      <c r="KDQ954" s="24"/>
      <c r="KDR954" s="24"/>
      <c r="KDS954" s="24"/>
      <c r="KDT954" s="24"/>
      <c r="KDU954" s="24"/>
      <c r="KDV954" s="24"/>
      <c r="KDW954" s="24"/>
      <c r="KDX954" s="24"/>
      <c r="KDY954" s="24"/>
      <c r="KDZ954" s="24"/>
      <c r="KEA954" s="24"/>
      <c r="KEB954" s="24"/>
      <c r="KEC954" s="24"/>
      <c r="KED954" s="24"/>
      <c r="KEE954" s="24"/>
      <c r="KEF954" s="24"/>
      <c r="KEG954" s="24"/>
      <c r="KEH954" s="24"/>
      <c r="KEI954" s="24"/>
      <c r="KEJ954" s="24"/>
      <c r="KEK954" s="24"/>
      <c r="KEL954" s="24"/>
      <c r="KEM954" s="24"/>
      <c r="KEN954" s="24"/>
      <c r="KEO954" s="24"/>
      <c r="KEP954" s="24"/>
      <c r="KEQ954" s="24"/>
      <c r="KER954" s="24"/>
      <c r="KES954" s="24"/>
      <c r="KET954" s="24"/>
      <c r="KEU954" s="24"/>
      <c r="KEV954" s="24"/>
      <c r="KEW954" s="24"/>
      <c r="KEX954" s="24"/>
      <c r="KEY954" s="24"/>
      <c r="KEZ954" s="24"/>
      <c r="KFA954" s="24"/>
      <c r="KFB954" s="24"/>
      <c r="KFC954" s="24"/>
      <c r="KFD954" s="24"/>
      <c r="KFE954" s="24"/>
      <c r="KFF954" s="24"/>
      <c r="KFG954" s="24"/>
      <c r="KFH954" s="24"/>
      <c r="KFI954" s="24"/>
      <c r="KFJ954" s="24"/>
      <c r="KFK954" s="24"/>
      <c r="KFL954" s="24"/>
      <c r="KFM954" s="24"/>
      <c r="KFN954" s="24"/>
      <c r="KFO954" s="24"/>
      <c r="KFP954" s="24"/>
      <c r="KFQ954" s="24"/>
      <c r="KFR954" s="24"/>
      <c r="KFS954" s="24"/>
      <c r="KFT954" s="24"/>
      <c r="KFU954" s="24"/>
      <c r="KFV954" s="24"/>
      <c r="KFW954" s="24"/>
      <c r="KFX954" s="24"/>
      <c r="KFY954" s="24"/>
      <c r="KFZ954" s="24"/>
      <c r="KGA954" s="24"/>
      <c r="KGB954" s="24"/>
      <c r="KGC954" s="24"/>
      <c r="KGD954" s="24"/>
      <c r="KGE954" s="24"/>
      <c r="KGF954" s="24"/>
      <c r="KGG954" s="24"/>
      <c r="KGH954" s="24"/>
      <c r="KGI954" s="24"/>
      <c r="KGJ954" s="24"/>
      <c r="KGK954" s="24"/>
      <c r="KGL954" s="24"/>
      <c r="KGM954" s="24"/>
      <c r="KGN954" s="24"/>
      <c r="KGO954" s="24"/>
      <c r="KGP954" s="24"/>
      <c r="KGQ954" s="24"/>
      <c r="KGR954" s="24"/>
      <c r="KGS954" s="24"/>
      <c r="KGT954" s="24"/>
      <c r="KGU954" s="24"/>
      <c r="KGV954" s="24"/>
      <c r="KGW954" s="24"/>
      <c r="KGX954" s="24"/>
      <c r="KGY954" s="24"/>
      <c r="KGZ954" s="24"/>
      <c r="KHA954" s="24"/>
      <c r="KHB954" s="24"/>
      <c r="KHC954" s="24"/>
      <c r="KHD954" s="24"/>
      <c r="KHE954" s="24"/>
      <c r="KHF954" s="24"/>
      <c r="KHG954" s="24"/>
      <c r="KHH954" s="24"/>
      <c r="KHI954" s="24"/>
      <c r="KHJ954" s="24"/>
      <c r="KHK954" s="24"/>
      <c r="KHL954" s="24"/>
      <c r="KHM954" s="24"/>
      <c r="KHN954" s="24"/>
      <c r="KHO954" s="24"/>
      <c r="KHP954" s="24"/>
      <c r="KHQ954" s="24"/>
      <c r="KHR954" s="24"/>
      <c r="KHS954" s="24"/>
      <c r="KHT954" s="24"/>
      <c r="KHU954" s="24"/>
      <c r="KHV954" s="24"/>
      <c r="KHW954" s="24"/>
      <c r="KHX954" s="24"/>
      <c r="KHY954" s="24"/>
      <c r="KHZ954" s="24"/>
      <c r="KIA954" s="24"/>
      <c r="KIB954" s="24"/>
      <c r="KIC954" s="24"/>
      <c r="KID954" s="24"/>
      <c r="KIE954" s="24"/>
      <c r="KIF954" s="24"/>
      <c r="KIG954" s="24"/>
      <c r="KIH954" s="24"/>
      <c r="KII954" s="24"/>
      <c r="KIJ954" s="24"/>
      <c r="KIK954" s="24"/>
      <c r="KIL954" s="24"/>
      <c r="KIM954" s="24"/>
      <c r="KIN954" s="24"/>
      <c r="KIO954" s="24"/>
      <c r="KIP954" s="24"/>
      <c r="KIQ954" s="24"/>
      <c r="KIR954" s="24"/>
      <c r="KIS954" s="24"/>
      <c r="KIT954" s="24"/>
      <c r="KIU954" s="24"/>
      <c r="KIV954" s="24"/>
      <c r="KIW954" s="24"/>
      <c r="KIX954" s="24"/>
      <c r="KIY954" s="24"/>
      <c r="KIZ954" s="24"/>
      <c r="KJA954" s="24"/>
      <c r="KJB954" s="24"/>
      <c r="KJC954" s="24"/>
      <c r="KJD954" s="24"/>
      <c r="KJE954" s="24"/>
      <c r="KJF954" s="24"/>
      <c r="KJG954" s="24"/>
      <c r="KJH954" s="24"/>
      <c r="KJI954" s="24"/>
      <c r="KJJ954" s="24"/>
      <c r="KJK954" s="24"/>
      <c r="KJL954" s="24"/>
      <c r="KJM954" s="24"/>
      <c r="KJN954" s="24"/>
      <c r="KJO954" s="24"/>
      <c r="KJP954" s="24"/>
      <c r="KJQ954" s="24"/>
      <c r="KJR954" s="24"/>
      <c r="KJS954" s="24"/>
      <c r="KJT954" s="24"/>
      <c r="KJU954" s="24"/>
      <c r="KJV954" s="24"/>
      <c r="KJW954" s="24"/>
      <c r="KJX954" s="24"/>
      <c r="KJY954" s="24"/>
      <c r="KJZ954" s="24"/>
      <c r="KKA954" s="24"/>
      <c r="KKB954" s="24"/>
      <c r="KKC954" s="24"/>
      <c r="KKD954" s="24"/>
      <c r="KKE954" s="24"/>
      <c r="KKF954" s="24"/>
      <c r="KKG954" s="24"/>
      <c r="KKH954" s="24"/>
      <c r="KKI954" s="24"/>
      <c r="KKJ954" s="24"/>
      <c r="KKK954" s="24"/>
      <c r="KKL954" s="24"/>
      <c r="KKM954" s="24"/>
      <c r="KKN954" s="24"/>
      <c r="KKO954" s="24"/>
      <c r="KKP954" s="24"/>
      <c r="KKQ954" s="24"/>
      <c r="KKR954" s="24"/>
      <c r="KKS954" s="24"/>
      <c r="KKT954" s="24"/>
      <c r="KKU954" s="24"/>
      <c r="KKV954" s="24"/>
      <c r="KKW954" s="24"/>
      <c r="KKX954" s="24"/>
      <c r="KKY954" s="24"/>
      <c r="KKZ954" s="24"/>
      <c r="KLA954" s="24"/>
      <c r="KLB954" s="24"/>
      <c r="KLC954" s="24"/>
      <c r="KLD954" s="24"/>
      <c r="KLE954" s="24"/>
      <c r="KLF954" s="24"/>
      <c r="KLG954" s="24"/>
      <c r="KLH954" s="24"/>
      <c r="KLI954" s="24"/>
      <c r="KLJ954" s="24"/>
      <c r="KLK954" s="24"/>
      <c r="KLL954" s="24"/>
      <c r="KLM954" s="24"/>
      <c r="KLN954" s="24"/>
      <c r="KLO954" s="24"/>
      <c r="KLP954" s="24"/>
      <c r="KLQ954" s="24"/>
      <c r="KLR954" s="24"/>
      <c r="KLS954" s="24"/>
      <c r="KLT954" s="24"/>
      <c r="KLU954" s="24"/>
      <c r="KLV954" s="24"/>
      <c r="KLW954" s="24"/>
      <c r="KLX954" s="24"/>
      <c r="KLY954" s="24"/>
      <c r="KLZ954" s="24"/>
      <c r="KMA954" s="24"/>
      <c r="KMB954" s="24"/>
      <c r="KMC954" s="24"/>
      <c r="KMD954" s="24"/>
      <c r="KME954" s="24"/>
      <c r="KMF954" s="24"/>
      <c r="KMG954" s="24"/>
      <c r="KMH954" s="24"/>
      <c r="KMI954" s="24"/>
      <c r="KMJ954" s="24"/>
      <c r="KMK954" s="24"/>
      <c r="KML954" s="24"/>
      <c r="KMM954" s="24"/>
      <c r="KMN954" s="24"/>
      <c r="KMO954" s="24"/>
      <c r="KMP954" s="24"/>
      <c r="KMQ954" s="24"/>
      <c r="KMR954" s="24"/>
      <c r="KMS954" s="24"/>
      <c r="KMT954" s="24"/>
      <c r="KMU954" s="24"/>
      <c r="KMV954" s="24"/>
      <c r="KMW954" s="24"/>
      <c r="KMX954" s="24"/>
      <c r="KMY954" s="24"/>
      <c r="KMZ954" s="24"/>
      <c r="KNA954" s="24"/>
      <c r="KNB954" s="24"/>
      <c r="KNC954" s="24"/>
      <c r="KND954" s="24"/>
      <c r="KNE954" s="24"/>
      <c r="KNF954" s="24"/>
      <c r="KNG954" s="24"/>
      <c r="KNH954" s="24"/>
      <c r="KNI954" s="24"/>
      <c r="KNJ954" s="24"/>
      <c r="KNK954" s="24"/>
      <c r="KNL954" s="24"/>
      <c r="KNM954" s="24"/>
      <c r="KNN954" s="24"/>
      <c r="KNO954" s="24"/>
      <c r="KNP954" s="24"/>
      <c r="KNQ954" s="24"/>
      <c r="KNR954" s="24"/>
      <c r="KNS954" s="24"/>
      <c r="KNT954" s="24"/>
      <c r="KNU954" s="24"/>
      <c r="KNV954" s="24"/>
      <c r="KNW954" s="24"/>
      <c r="KNX954" s="24"/>
      <c r="KNY954" s="24"/>
      <c r="KNZ954" s="24"/>
      <c r="KOA954" s="24"/>
      <c r="KOB954" s="24"/>
      <c r="KOC954" s="24"/>
      <c r="KOD954" s="24"/>
      <c r="KOE954" s="24"/>
      <c r="KOF954" s="24"/>
      <c r="KOG954" s="24"/>
      <c r="KOH954" s="24"/>
      <c r="KOI954" s="24"/>
      <c r="KOJ954" s="24"/>
      <c r="KOK954" s="24"/>
      <c r="KOL954" s="24"/>
      <c r="KOM954" s="24"/>
      <c r="KON954" s="24"/>
      <c r="KOO954" s="24"/>
      <c r="KOP954" s="24"/>
      <c r="KOQ954" s="24"/>
      <c r="KOR954" s="24"/>
      <c r="KOS954" s="24"/>
      <c r="KOT954" s="24"/>
      <c r="KOU954" s="24"/>
      <c r="KOV954" s="24"/>
      <c r="KOW954" s="24"/>
      <c r="KOX954" s="24"/>
      <c r="KOY954" s="24"/>
      <c r="KOZ954" s="24"/>
      <c r="KPA954" s="24"/>
      <c r="KPB954" s="24"/>
      <c r="KPC954" s="24"/>
      <c r="KPD954" s="24"/>
      <c r="KPE954" s="24"/>
      <c r="KPF954" s="24"/>
      <c r="KPG954" s="24"/>
      <c r="KPH954" s="24"/>
      <c r="KPI954" s="24"/>
      <c r="KPJ954" s="24"/>
      <c r="KPK954" s="24"/>
      <c r="KPL954" s="24"/>
      <c r="KPM954" s="24"/>
      <c r="KPN954" s="24"/>
      <c r="KPO954" s="24"/>
      <c r="KPP954" s="24"/>
      <c r="KPQ954" s="24"/>
      <c r="KPR954" s="24"/>
      <c r="KPS954" s="24"/>
      <c r="KPT954" s="24"/>
      <c r="KPU954" s="24"/>
      <c r="KPV954" s="24"/>
      <c r="KPW954" s="24"/>
      <c r="KPX954" s="24"/>
      <c r="KPY954" s="24"/>
      <c r="KPZ954" s="24"/>
      <c r="KQA954" s="24"/>
      <c r="KQB954" s="24"/>
      <c r="KQC954" s="24"/>
      <c r="KQD954" s="24"/>
      <c r="KQE954" s="24"/>
      <c r="KQF954" s="24"/>
      <c r="KQG954" s="24"/>
      <c r="KQH954" s="24"/>
      <c r="KQI954" s="24"/>
      <c r="KQJ954" s="24"/>
      <c r="KQK954" s="24"/>
      <c r="KQL954" s="24"/>
      <c r="KQM954" s="24"/>
      <c r="KQN954" s="24"/>
      <c r="KQO954" s="24"/>
      <c r="KQP954" s="24"/>
      <c r="KQQ954" s="24"/>
      <c r="KQR954" s="24"/>
      <c r="KQS954" s="24"/>
      <c r="KQT954" s="24"/>
      <c r="KQU954" s="24"/>
      <c r="KQV954" s="24"/>
      <c r="KQW954" s="24"/>
      <c r="KQX954" s="24"/>
      <c r="KQY954" s="24"/>
      <c r="KQZ954" s="24"/>
      <c r="KRA954" s="24"/>
      <c r="KRB954" s="24"/>
      <c r="KRC954" s="24"/>
      <c r="KRD954" s="24"/>
      <c r="KRE954" s="24"/>
      <c r="KRF954" s="24"/>
      <c r="KRG954" s="24"/>
      <c r="KRH954" s="24"/>
      <c r="KRI954" s="24"/>
      <c r="KRJ954" s="24"/>
      <c r="KRK954" s="24"/>
      <c r="KRL954" s="24"/>
      <c r="KRM954" s="24"/>
      <c r="KRN954" s="24"/>
      <c r="KRO954" s="24"/>
      <c r="KRP954" s="24"/>
      <c r="KRQ954" s="24"/>
      <c r="KRR954" s="24"/>
      <c r="KRS954" s="24"/>
      <c r="KRT954" s="24"/>
      <c r="KRU954" s="24"/>
      <c r="KRV954" s="24"/>
      <c r="KRW954" s="24"/>
      <c r="KRX954" s="24"/>
      <c r="KRY954" s="24"/>
      <c r="KRZ954" s="24"/>
      <c r="KSA954" s="24"/>
      <c r="KSB954" s="24"/>
      <c r="KSC954" s="24"/>
      <c r="KSD954" s="24"/>
      <c r="KSE954" s="24"/>
      <c r="KSF954" s="24"/>
      <c r="KSG954" s="24"/>
      <c r="KSH954" s="24"/>
      <c r="KSI954" s="24"/>
      <c r="KSJ954" s="24"/>
      <c r="KSK954" s="24"/>
      <c r="KSL954" s="24"/>
      <c r="KSM954" s="24"/>
      <c r="KSN954" s="24"/>
      <c r="KSO954" s="24"/>
      <c r="KSP954" s="24"/>
      <c r="KSQ954" s="24"/>
      <c r="KSR954" s="24"/>
      <c r="KSS954" s="24"/>
      <c r="KST954" s="24"/>
      <c r="KSU954" s="24"/>
      <c r="KSV954" s="24"/>
      <c r="KSW954" s="24"/>
      <c r="KSX954" s="24"/>
      <c r="KSY954" s="24"/>
      <c r="KSZ954" s="24"/>
      <c r="KTA954" s="24"/>
      <c r="KTB954" s="24"/>
      <c r="KTC954" s="24"/>
      <c r="KTD954" s="24"/>
      <c r="KTE954" s="24"/>
      <c r="KTF954" s="24"/>
      <c r="KTG954" s="24"/>
      <c r="KTH954" s="24"/>
      <c r="KTI954" s="24"/>
      <c r="KTJ954" s="24"/>
      <c r="KTK954" s="24"/>
      <c r="KTL954" s="24"/>
      <c r="KTM954" s="24"/>
      <c r="KTN954" s="24"/>
      <c r="KTO954" s="24"/>
      <c r="KTP954" s="24"/>
      <c r="KTQ954" s="24"/>
      <c r="KTR954" s="24"/>
      <c r="KTS954" s="24"/>
      <c r="KTT954" s="24"/>
      <c r="KTU954" s="24"/>
      <c r="KTV954" s="24"/>
      <c r="KTW954" s="24"/>
      <c r="KTX954" s="24"/>
      <c r="KTY954" s="24"/>
      <c r="KTZ954" s="24"/>
      <c r="KUA954" s="24"/>
      <c r="KUB954" s="24"/>
      <c r="KUC954" s="24"/>
      <c r="KUD954" s="24"/>
      <c r="KUE954" s="24"/>
      <c r="KUF954" s="24"/>
      <c r="KUG954" s="24"/>
      <c r="KUH954" s="24"/>
      <c r="KUI954" s="24"/>
      <c r="KUJ954" s="24"/>
      <c r="KUK954" s="24"/>
      <c r="KUL954" s="24"/>
      <c r="KUM954" s="24"/>
      <c r="KUN954" s="24"/>
      <c r="KUO954" s="24"/>
      <c r="KUP954" s="24"/>
      <c r="KUQ954" s="24"/>
      <c r="KUR954" s="24"/>
      <c r="KUS954" s="24"/>
      <c r="KUT954" s="24"/>
      <c r="KUU954" s="24"/>
      <c r="KUV954" s="24"/>
      <c r="KUW954" s="24"/>
      <c r="KUX954" s="24"/>
      <c r="KUY954" s="24"/>
      <c r="KUZ954" s="24"/>
      <c r="KVA954" s="24"/>
      <c r="KVB954" s="24"/>
      <c r="KVC954" s="24"/>
      <c r="KVD954" s="24"/>
      <c r="KVE954" s="24"/>
      <c r="KVF954" s="24"/>
      <c r="KVG954" s="24"/>
      <c r="KVH954" s="24"/>
      <c r="KVI954" s="24"/>
      <c r="KVJ954" s="24"/>
      <c r="KVK954" s="24"/>
      <c r="KVL954" s="24"/>
      <c r="KVM954" s="24"/>
      <c r="KVN954" s="24"/>
      <c r="KVO954" s="24"/>
      <c r="KVP954" s="24"/>
      <c r="KVQ954" s="24"/>
      <c r="KVR954" s="24"/>
      <c r="KVS954" s="24"/>
      <c r="KVT954" s="24"/>
      <c r="KVU954" s="24"/>
      <c r="KVV954" s="24"/>
      <c r="KVW954" s="24"/>
      <c r="KVX954" s="24"/>
      <c r="KVY954" s="24"/>
      <c r="KVZ954" s="24"/>
      <c r="KWA954" s="24"/>
      <c r="KWB954" s="24"/>
      <c r="KWC954" s="24"/>
      <c r="KWD954" s="24"/>
      <c r="KWE954" s="24"/>
      <c r="KWF954" s="24"/>
      <c r="KWG954" s="24"/>
      <c r="KWH954" s="24"/>
      <c r="KWI954" s="24"/>
      <c r="KWJ954" s="24"/>
      <c r="KWK954" s="24"/>
      <c r="KWL954" s="24"/>
      <c r="KWM954" s="24"/>
      <c r="KWN954" s="24"/>
      <c r="KWO954" s="24"/>
      <c r="KWP954" s="24"/>
      <c r="KWQ954" s="24"/>
      <c r="KWR954" s="24"/>
      <c r="KWS954" s="24"/>
      <c r="KWT954" s="24"/>
      <c r="KWU954" s="24"/>
      <c r="KWV954" s="24"/>
      <c r="KWW954" s="24"/>
      <c r="KWX954" s="24"/>
      <c r="KWY954" s="24"/>
      <c r="KWZ954" s="24"/>
      <c r="KXA954" s="24"/>
      <c r="KXB954" s="24"/>
      <c r="KXC954" s="24"/>
      <c r="KXD954" s="24"/>
      <c r="KXE954" s="24"/>
      <c r="KXF954" s="24"/>
      <c r="KXG954" s="24"/>
      <c r="KXH954" s="24"/>
      <c r="KXI954" s="24"/>
      <c r="KXJ954" s="24"/>
      <c r="KXK954" s="24"/>
      <c r="KXL954" s="24"/>
      <c r="KXM954" s="24"/>
      <c r="KXN954" s="24"/>
      <c r="KXO954" s="24"/>
      <c r="KXP954" s="24"/>
      <c r="KXQ954" s="24"/>
      <c r="KXR954" s="24"/>
      <c r="KXS954" s="24"/>
      <c r="KXT954" s="24"/>
      <c r="KXU954" s="24"/>
      <c r="KXV954" s="24"/>
      <c r="KXW954" s="24"/>
      <c r="KXX954" s="24"/>
      <c r="KXY954" s="24"/>
      <c r="KXZ954" s="24"/>
      <c r="KYA954" s="24"/>
      <c r="KYB954" s="24"/>
      <c r="KYC954" s="24"/>
      <c r="KYD954" s="24"/>
      <c r="KYE954" s="24"/>
      <c r="KYF954" s="24"/>
      <c r="KYG954" s="24"/>
      <c r="KYH954" s="24"/>
      <c r="KYI954" s="24"/>
      <c r="KYJ954" s="24"/>
      <c r="KYK954" s="24"/>
      <c r="KYL954" s="24"/>
      <c r="KYM954" s="24"/>
      <c r="KYN954" s="24"/>
      <c r="KYO954" s="24"/>
      <c r="KYP954" s="24"/>
      <c r="KYQ954" s="24"/>
      <c r="KYR954" s="24"/>
      <c r="KYS954" s="24"/>
      <c r="KYT954" s="24"/>
      <c r="KYU954" s="24"/>
      <c r="KYV954" s="24"/>
      <c r="KYW954" s="24"/>
      <c r="KYX954" s="24"/>
      <c r="KYY954" s="24"/>
      <c r="KYZ954" s="24"/>
      <c r="KZA954" s="24"/>
      <c r="KZB954" s="24"/>
      <c r="KZC954" s="24"/>
      <c r="KZD954" s="24"/>
      <c r="KZE954" s="24"/>
      <c r="KZF954" s="24"/>
      <c r="KZG954" s="24"/>
      <c r="KZH954" s="24"/>
      <c r="KZI954" s="24"/>
      <c r="KZJ954" s="24"/>
      <c r="KZK954" s="24"/>
      <c r="KZL954" s="24"/>
      <c r="KZM954" s="24"/>
      <c r="KZN954" s="24"/>
      <c r="KZO954" s="24"/>
      <c r="KZP954" s="24"/>
      <c r="KZQ954" s="24"/>
      <c r="KZR954" s="24"/>
      <c r="KZS954" s="24"/>
      <c r="KZT954" s="24"/>
      <c r="KZU954" s="24"/>
      <c r="KZV954" s="24"/>
      <c r="KZW954" s="24"/>
      <c r="KZX954" s="24"/>
      <c r="KZY954" s="24"/>
      <c r="KZZ954" s="24"/>
      <c r="LAA954" s="24"/>
      <c r="LAB954" s="24"/>
      <c r="LAC954" s="24"/>
      <c r="LAD954" s="24"/>
      <c r="LAE954" s="24"/>
      <c r="LAF954" s="24"/>
      <c r="LAG954" s="24"/>
      <c r="LAH954" s="24"/>
      <c r="LAI954" s="24"/>
      <c r="LAJ954" s="24"/>
      <c r="LAK954" s="24"/>
      <c r="LAL954" s="24"/>
      <c r="LAM954" s="24"/>
      <c r="LAN954" s="24"/>
      <c r="LAO954" s="24"/>
      <c r="LAP954" s="24"/>
      <c r="LAQ954" s="24"/>
      <c r="LAR954" s="24"/>
      <c r="LAS954" s="24"/>
      <c r="LAT954" s="24"/>
      <c r="LAU954" s="24"/>
      <c r="LAV954" s="24"/>
      <c r="LAW954" s="24"/>
      <c r="LAX954" s="24"/>
      <c r="LAY954" s="24"/>
      <c r="LAZ954" s="24"/>
      <c r="LBA954" s="24"/>
      <c r="LBB954" s="24"/>
      <c r="LBC954" s="24"/>
      <c r="LBD954" s="24"/>
      <c r="LBE954" s="24"/>
      <c r="LBF954" s="24"/>
      <c r="LBG954" s="24"/>
      <c r="LBH954" s="24"/>
      <c r="LBI954" s="24"/>
      <c r="LBJ954" s="24"/>
      <c r="LBK954" s="24"/>
      <c r="LBL954" s="24"/>
      <c r="LBM954" s="24"/>
      <c r="LBN954" s="24"/>
      <c r="LBO954" s="24"/>
      <c r="LBP954" s="24"/>
      <c r="LBQ954" s="24"/>
      <c r="LBR954" s="24"/>
      <c r="LBS954" s="24"/>
      <c r="LBT954" s="24"/>
      <c r="LBU954" s="24"/>
      <c r="LBV954" s="24"/>
      <c r="LBW954" s="24"/>
      <c r="LBX954" s="24"/>
      <c r="LBY954" s="24"/>
      <c r="LBZ954" s="24"/>
      <c r="LCA954" s="24"/>
      <c r="LCB954" s="24"/>
      <c r="LCC954" s="24"/>
      <c r="LCD954" s="24"/>
      <c r="LCE954" s="24"/>
      <c r="LCF954" s="24"/>
      <c r="LCG954" s="24"/>
      <c r="LCH954" s="24"/>
      <c r="LCI954" s="24"/>
      <c r="LCJ954" s="24"/>
      <c r="LCK954" s="24"/>
      <c r="LCL954" s="24"/>
      <c r="LCM954" s="24"/>
      <c r="LCN954" s="24"/>
      <c r="LCO954" s="24"/>
      <c r="LCP954" s="24"/>
      <c r="LCQ954" s="24"/>
      <c r="LCR954" s="24"/>
      <c r="LCS954" s="24"/>
      <c r="LCT954" s="24"/>
      <c r="LCU954" s="24"/>
      <c r="LCV954" s="24"/>
      <c r="LCW954" s="24"/>
      <c r="LCX954" s="24"/>
      <c r="LCY954" s="24"/>
      <c r="LCZ954" s="24"/>
      <c r="LDA954" s="24"/>
      <c r="LDB954" s="24"/>
      <c r="LDC954" s="24"/>
      <c r="LDD954" s="24"/>
      <c r="LDE954" s="24"/>
      <c r="LDF954" s="24"/>
      <c r="LDG954" s="24"/>
      <c r="LDH954" s="24"/>
      <c r="LDI954" s="24"/>
      <c r="LDJ954" s="24"/>
      <c r="LDK954" s="24"/>
      <c r="LDL954" s="24"/>
      <c r="LDM954" s="24"/>
      <c r="LDN954" s="24"/>
      <c r="LDO954" s="24"/>
      <c r="LDP954" s="24"/>
      <c r="LDQ954" s="24"/>
      <c r="LDR954" s="24"/>
      <c r="LDS954" s="24"/>
      <c r="LDT954" s="24"/>
      <c r="LDU954" s="24"/>
      <c r="LDV954" s="24"/>
      <c r="LDW954" s="24"/>
      <c r="LDX954" s="24"/>
      <c r="LDY954" s="24"/>
      <c r="LDZ954" s="24"/>
      <c r="LEA954" s="24"/>
      <c r="LEB954" s="24"/>
      <c r="LEC954" s="24"/>
      <c r="LED954" s="24"/>
      <c r="LEE954" s="24"/>
      <c r="LEF954" s="24"/>
      <c r="LEG954" s="24"/>
      <c r="LEH954" s="24"/>
      <c r="LEI954" s="24"/>
      <c r="LEJ954" s="24"/>
      <c r="LEK954" s="24"/>
      <c r="LEL954" s="24"/>
      <c r="LEM954" s="24"/>
      <c r="LEN954" s="24"/>
      <c r="LEO954" s="24"/>
      <c r="LEP954" s="24"/>
      <c r="LEQ954" s="24"/>
      <c r="LER954" s="24"/>
      <c r="LES954" s="24"/>
      <c r="LET954" s="24"/>
      <c r="LEU954" s="24"/>
      <c r="LEV954" s="24"/>
      <c r="LEW954" s="24"/>
      <c r="LEX954" s="24"/>
      <c r="LEY954" s="24"/>
      <c r="LEZ954" s="24"/>
      <c r="LFA954" s="24"/>
      <c r="LFB954" s="24"/>
      <c r="LFC954" s="24"/>
      <c r="LFD954" s="24"/>
      <c r="LFE954" s="24"/>
      <c r="LFF954" s="24"/>
      <c r="LFG954" s="24"/>
      <c r="LFH954" s="24"/>
      <c r="LFI954" s="24"/>
      <c r="LFJ954" s="24"/>
      <c r="LFK954" s="24"/>
      <c r="LFL954" s="24"/>
      <c r="LFM954" s="24"/>
      <c r="LFN954" s="24"/>
      <c r="LFO954" s="24"/>
      <c r="LFP954" s="24"/>
      <c r="LFQ954" s="24"/>
      <c r="LFR954" s="24"/>
      <c r="LFS954" s="24"/>
      <c r="LFT954" s="24"/>
      <c r="LFU954" s="24"/>
      <c r="LFV954" s="24"/>
      <c r="LFW954" s="24"/>
      <c r="LFX954" s="24"/>
      <c r="LFY954" s="24"/>
      <c r="LFZ954" s="24"/>
      <c r="LGA954" s="24"/>
      <c r="LGB954" s="24"/>
      <c r="LGC954" s="24"/>
      <c r="LGD954" s="24"/>
      <c r="LGE954" s="24"/>
      <c r="LGF954" s="24"/>
      <c r="LGG954" s="24"/>
      <c r="LGH954" s="24"/>
      <c r="LGI954" s="24"/>
      <c r="LGJ954" s="24"/>
      <c r="LGK954" s="24"/>
      <c r="LGL954" s="24"/>
      <c r="LGM954" s="24"/>
      <c r="LGN954" s="24"/>
      <c r="LGO954" s="24"/>
      <c r="LGP954" s="24"/>
      <c r="LGQ954" s="24"/>
      <c r="LGR954" s="24"/>
      <c r="LGS954" s="24"/>
      <c r="LGT954" s="24"/>
      <c r="LGU954" s="24"/>
      <c r="LGV954" s="24"/>
      <c r="LGW954" s="24"/>
      <c r="LGX954" s="24"/>
      <c r="LGY954" s="24"/>
      <c r="LGZ954" s="24"/>
      <c r="LHA954" s="24"/>
      <c r="LHB954" s="24"/>
      <c r="LHC954" s="24"/>
      <c r="LHD954" s="24"/>
      <c r="LHE954" s="24"/>
      <c r="LHF954" s="24"/>
      <c r="LHG954" s="24"/>
      <c r="LHH954" s="24"/>
      <c r="LHI954" s="24"/>
      <c r="LHJ954" s="24"/>
      <c r="LHK954" s="24"/>
      <c r="LHL954" s="24"/>
      <c r="LHM954" s="24"/>
      <c r="LHN954" s="24"/>
      <c r="LHO954" s="24"/>
      <c r="LHP954" s="24"/>
      <c r="LHQ954" s="24"/>
      <c r="LHR954" s="24"/>
      <c r="LHS954" s="24"/>
      <c r="LHT954" s="24"/>
      <c r="LHU954" s="24"/>
      <c r="LHV954" s="24"/>
      <c r="LHW954" s="24"/>
      <c r="LHX954" s="24"/>
      <c r="LHY954" s="24"/>
      <c r="LHZ954" s="24"/>
      <c r="LIA954" s="24"/>
      <c r="LIB954" s="24"/>
      <c r="LIC954" s="24"/>
      <c r="LID954" s="24"/>
      <c r="LIE954" s="24"/>
      <c r="LIF954" s="24"/>
      <c r="LIG954" s="24"/>
      <c r="LIH954" s="24"/>
      <c r="LII954" s="24"/>
      <c r="LIJ954" s="24"/>
      <c r="LIK954" s="24"/>
      <c r="LIL954" s="24"/>
      <c r="LIM954" s="24"/>
      <c r="LIN954" s="24"/>
      <c r="LIO954" s="24"/>
      <c r="LIP954" s="24"/>
      <c r="LIQ954" s="24"/>
      <c r="LIR954" s="24"/>
      <c r="LIS954" s="24"/>
      <c r="LIT954" s="24"/>
      <c r="LIU954" s="24"/>
      <c r="LIV954" s="24"/>
      <c r="LIW954" s="24"/>
      <c r="LIX954" s="24"/>
      <c r="LIY954" s="24"/>
      <c r="LIZ954" s="24"/>
      <c r="LJA954" s="24"/>
      <c r="LJB954" s="24"/>
      <c r="LJC954" s="24"/>
      <c r="LJD954" s="24"/>
      <c r="LJE954" s="24"/>
      <c r="LJF954" s="24"/>
      <c r="LJG954" s="24"/>
      <c r="LJH954" s="24"/>
      <c r="LJI954" s="24"/>
      <c r="LJJ954" s="24"/>
      <c r="LJK954" s="24"/>
      <c r="LJL954" s="24"/>
      <c r="LJM954" s="24"/>
      <c r="LJN954" s="24"/>
      <c r="LJO954" s="24"/>
      <c r="LJP954" s="24"/>
      <c r="LJQ954" s="24"/>
      <c r="LJR954" s="24"/>
      <c r="LJS954" s="24"/>
      <c r="LJT954" s="24"/>
      <c r="LJU954" s="24"/>
      <c r="LJV954" s="24"/>
      <c r="LJW954" s="24"/>
      <c r="LJX954" s="24"/>
      <c r="LJY954" s="24"/>
      <c r="LJZ954" s="24"/>
      <c r="LKA954" s="24"/>
      <c r="LKB954" s="24"/>
      <c r="LKC954" s="24"/>
      <c r="LKD954" s="24"/>
      <c r="LKE954" s="24"/>
      <c r="LKF954" s="24"/>
      <c r="LKG954" s="24"/>
      <c r="LKH954" s="24"/>
      <c r="LKI954" s="24"/>
      <c r="LKJ954" s="24"/>
      <c r="LKK954" s="24"/>
      <c r="LKL954" s="24"/>
      <c r="LKM954" s="24"/>
      <c r="LKN954" s="24"/>
      <c r="LKO954" s="24"/>
      <c r="LKP954" s="24"/>
      <c r="LKQ954" s="24"/>
      <c r="LKR954" s="24"/>
      <c r="LKS954" s="24"/>
      <c r="LKT954" s="24"/>
      <c r="LKU954" s="24"/>
      <c r="LKV954" s="24"/>
      <c r="LKW954" s="24"/>
      <c r="LKX954" s="24"/>
      <c r="LKY954" s="24"/>
      <c r="LKZ954" s="24"/>
      <c r="LLA954" s="24"/>
      <c r="LLB954" s="24"/>
      <c r="LLC954" s="24"/>
      <c r="LLD954" s="24"/>
      <c r="LLE954" s="24"/>
      <c r="LLF954" s="24"/>
      <c r="LLG954" s="24"/>
      <c r="LLH954" s="24"/>
      <c r="LLI954" s="24"/>
      <c r="LLJ954" s="24"/>
      <c r="LLK954" s="24"/>
      <c r="LLL954" s="24"/>
      <c r="LLM954" s="24"/>
      <c r="LLN954" s="24"/>
      <c r="LLO954" s="24"/>
      <c r="LLP954" s="24"/>
      <c r="LLQ954" s="24"/>
      <c r="LLR954" s="24"/>
      <c r="LLS954" s="24"/>
      <c r="LLT954" s="24"/>
      <c r="LLU954" s="24"/>
      <c r="LLV954" s="24"/>
      <c r="LLW954" s="24"/>
      <c r="LLX954" s="24"/>
      <c r="LLY954" s="24"/>
      <c r="LLZ954" s="24"/>
      <c r="LMA954" s="24"/>
      <c r="LMB954" s="24"/>
      <c r="LMC954" s="24"/>
      <c r="LMD954" s="24"/>
      <c r="LME954" s="24"/>
      <c r="LMF954" s="24"/>
      <c r="LMG954" s="24"/>
      <c r="LMH954" s="24"/>
      <c r="LMI954" s="24"/>
      <c r="LMJ954" s="24"/>
      <c r="LMK954" s="24"/>
      <c r="LML954" s="24"/>
      <c r="LMM954" s="24"/>
      <c r="LMN954" s="24"/>
      <c r="LMO954" s="24"/>
      <c r="LMP954" s="24"/>
      <c r="LMQ954" s="24"/>
      <c r="LMR954" s="24"/>
      <c r="LMS954" s="24"/>
      <c r="LMT954" s="24"/>
      <c r="LMU954" s="24"/>
      <c r="LMV954" s="24"/>
      <c r="LMW954" s="24"/>
      <c r="LMX954" s="24"/>
      <c r="LMY954" s="24"/>
      <c r="LMZ954" s="24"/>
      <c r="LNA954" s="24"/>
      <c r="LNB954" s="24"/>
      <c r="LNC954" s="24"/>
      <c r="LND954" s="24"/>
      <c r="LNE954" s="24"/>
      <c r="LNF954" s="24"/>
      <c r="LNG954" s="24"/>
      <c r="LNH954" s="24"/>
      <c r="LNI954" s="24"/>
      <c r="LNJ954" s="24"/>
      <c r="LNK954" s="24"/>
      <c r="LNL954" s="24"/>
      <c r="LNM954" s="24"/>
      <c r="LNN954" s="24"/>
      <c r="LNO954" s="24"/>
      <c r="LNP954" s="24"/>
      <c r="LNQ954" s="24"/>
      <c r="LNR954" s="24"/>
      <c r="LNS954" s="24"/>
      <c r="LNT954" s="24"/>
      <c r="LNU954" s="24"/>
      <c r="LNV954" s="24"/>
      <c r="LNW954" s="24"/>
      <c r="LNX954" s="24"/>
      <c r="LNY954" s="24"/>
      <c r="LNZ954" s="24"/>
      <c r="LOA954" s="24"/>
      <c r="LOB954" s="24"/>
      <c r="LOC954" s="24"/>
      <c r="LOD954" s="24"/>
      <c r="LOE954" s="24"/>
      <c r="LOF954" s="24"/>
      <c r="LOG954" s="24"/>
      <c r="LOH954" s="24"/>
      <c r="LOI954" s="24"/>
      <c r="LOJ954" s="24"/>
      <c r="LOK954" s="24"/>
      <c r="LOL954" s="24"/>
      <c r="LOM954" s="24"/>
      <c r="LON954" s="24"/>
      <c r="LOO954" s="24"/>
      <c r="LOP954" s="24"/>
      <c r="LOQ954" s="24"/>
      <c r="LOR954" s="24"/>
      <c r="LOS954" s="24"/>
      <c r="LOT954" s="24"/>
      <c r="LOU954" s="24"/>
      <c r="LOV954" s="24"/>
      <c r="LOW954" s="24"/>
      <c r="LOX954" s="24"/>
      <c r="LOY954" s="24"/>
      <c r="LOZ954" s="24"/>
      <c r="LPA954" s="24"/>
      <c r="LPB954" s="24"/>
      <c r="LPC954" s="24"/>
      <c r="LPD954" s="24"/>
      <c r="LPE954" s="24"/>
      <c r="LPF954" s="24"/>
      <c r="LPG954" s="24"/>
      <c r="LPH954" s="24"/>
      <c r="LPI954" s="24"/>
      <c r="LPJ954" s="24"/>
      <c r="LPK954" s="24"/>
      <c r="LPL954" s="24"/>
      <c r="LPM954" s="24"/>
      <c r="LPN954" s="24"/>
      <c r="LPO954" s="24"/>
      <c r="LPP954" s="24"/>
      <c r="LPQ954" s="24"/>
      <c r="LPR954" s="24"/>
      <c r="LPS954" s="24"/>
      <c r="LPT954" s="24"/>
      <c r="LPU954" s="24"/>
      <c r="LPV954" s="24"/>
      <c r="LPW954" s="24"/>
      <c r="LPX954" s="24"/>
      <c r="LPY954" s="24"/>
      <c r="LPZ954" s="24"/>
      <c r="LQA954" s="24"/>
      <c r="LQB954" s="24"/>
      <c r="LQC954" s="24"/>
      <c r="LQD954" s="24"/>
      <c r="LQE954" s="24"/>
      <c r="LQF954" s="24"/>
      <c r="LQG954" s="24"/>
      <c r="LQH954" s="24"/>
      <c r="LQI954" s="24"/>
      <c r="LQJ954" s="24"/>
      <c r="LQK954" s="24"/>
      <c r="LQL954" s="24"/>
      <c r="LQM954" s="24"/>
      <c r="LQN954" s="24"/>
      <c r="LQO954" s="24"/>
      <c r="LQP954" s="24"/>
      <c r="LQQ954" s="24"/>
      <c r="LQR954" s="24"/>
      <c r="LQS954" s="24"/>
      <c r="LQT954" s="24"/>
      <c r="LQU954" s="24"/>
      <c r="LQV954" s="24"/>
      <c r="LQW954" s="24"/>
      <c r="LQX954" s="24"/>
      <c r="LQY954" s="24"/>
      <c r="LQZ954" s="24"/>
      <c r="LRA954" s="24"/>
      <c r="LRB954" s="24"/>
      <c r="LRC954" s="24"/>
      <c r="LRD954" s="24"/>
      <c r="LRE954" s="24"/>
      <c r="LRF954" s="24"/>
      <c r="LRG954" s="24"/>
      <c r="LRH954" s="24"/>
      <c r="LRI954" s="24"/>
      <c r="LRJ954" s="24"/>
      <c r="LRK954" s="24"/>
      <c r="LRL954" s="24"/>
      <c r="LRM954" s="24"/>
      <c r="LRN954" s="24"/>
      <c r="LRO954" s="24"/>
      <c r="LRP954" s="24"/>
      <c r="LRQ954" s="24"/>
      <c r="LRR954" s="24"/>
      <c r="LRS954" s="24"/>
      <c r="LRT954" s="24"/>
      <c r="LRU954" s="24"/>
      <c r="LRV954" s="24"/>
      <c r="LRW954" s="24"/>
      <c r="LRX954" s="24"/>
      <c r="LRY954" s="24"/>
      <c r="LRZ954" s="24"/>
      <c r="LSA954" s="24"/>
      <c r="LSB954" s="24"/>
      <c r="LSC954" s="24"/>
      <c r="LSD954" s="24"/>
      <c r="LSE954" s="24"/>
      <c r="LSF954" s="24"/>
      <c r="LSG954" s="24"/>
      <c r="LSH954" s="24"/>
      <c r="LSI954" s="24"/>
      <c r="LSJ954" s="24"/>
      <c r="LSK954" s="24"/>
      <c r="LSL954" s="24"/>
      <c r="LSM954" s="24"/>
      <c r="LSN954" s="24"/>
      <c r="LSO954" s="24"/>
      <c r="LSP954" s="24"/>
      <c r="LSQ954" s="24"/>
      <c r="LSR954" s="24"/>
      <c r="LSS954" s="24"/>
      <c r="LST954" s="24"/>
      <c r="LSU954" s="24"/>
      <c r="LSV954" s="24"/>
      <c r="LSW954" s="24"/>
      <c r="LSX954" s="24"/>
      <c r="LSY954" s="24"/>
      <c r="LSZ954" s="24"/>
      <c r="LTA954" s="24"/>
      <c r="LTB954" s="24"/>
      <c r="LTC954" s="24"/>
      <c r="LTD954" s="24"/>
      <c r="LTE954" s="24"/>
      <c r="LTF954" s="24"/>
      <c r="LTG954" s="24"/>
      <c r="LTH954" s="24"/>
      <c r="LTI954" s="24"/>
      <c r="LTJ954" s="24"/>
      <c r="LTK954" s="24"/>
      <c r="LTL954" s="24"/>
      <c r="LTM954" s="24"/>
      <c r="LTN954" s="24"/>
      <c r="LTO954" s="24"/>
      <c r="LTP954" s="24"/>
      <c r="LTQ954" s="24"/>
      <c r="LTR954" s="24"/>
      <c r="LTS954" s="24"/>
      <c r="LTT954" s="24"/>
      <c r="LTU954" s="24"/>
      <c r="LTV954" s="24"/>
      <c r="LTW954" s="24"/>
      <c r="LTX954" s="24"/>
      <c r="LTY954" s="24"/>
      <c r="LTZ954" s="24"/>
      <c r="LUA954" s="24"/>
      <c r="LUB954" s="24"/>
      <c r="LUC954" s="24"/>
      <c r="LUD954" s="24"/>
      <c r="LUE954" s="24"/>
      <c r="LUF954" s="24"/>
      <c r="LUG954" s="24"/>
      <c r="LUH954" s="24"/>
      <c r="LUI954" s="24"/>
      <c r="LUJ954" s="24"/>
      <c r="LUK954" s="24"/>
      <c r="LUL954" s="24"/>
      <c r="LUM954" s="24"/>
      <c r="LUN954" s="24"/>
      <c r="LUO954" s="24"/>
      <c r="LUP954" s="24"/>
      <c r="LUQ954" s="24"/>
      <c r="LUR954" s="24"/>
      <c r="LUS954" s="24"/>
      <c r="LUT954" s="24"/>
      <c r="LUU954" s="24"/>
      <c r="LUV954" s="24"/>
      <c r="LUW954" s="24"/>
      <c r="LUX954" s="24"/>
      <c r="LUY954" s="24"/>
      <c r="LUZ954" s="24"/>
      <c r="LVA954" s="24"/>
      <c r="LVB954" s="24"/>
      <c r="LVC954" s="24"/>
      <c r="LVD954" s="24"/>
      <c r="LVE954" s="24"/>
      <c r="LVF954" s="24"/>
      <c r="LVG954" s="24"/>
      <c r="LVH954" s="24"/>
      <c r="LVI954" s="24"/>
      <c r="LVJ954" s="24"/>
      <c r="LVK954" s="24"/>
      <c r="LVL954" s="24"/>
      <c r="LVM954" s="24"/>
      <c r="LVN954" s="24"/>
      <c r="LVO954" s="24"/>
      <c r="LVP954" s="24"/>
      <c r="LVQ954" s="24"/>
      <c r="LVR954" s="24"/>
      <c r="LVS954" s="24"/>
      <c r="LVT954" s="24"/>
      <c r="LVU954" s="24"/>
      <c r="LVV954" s="24"/>
      <c r="LVW954" s="24"/>
      <c r="LVX954" s="24"/>
      <c r="LVY954" s="24"/>
      <c r="LVZ954" s="24"/>
      <c r="LWA954" s="24"/>
      <c r="LWB954" s="24"/>
      <c r="LWC954" s="24"/>
      <c r="LWD954" s="24"/>
      <c r="LWE954" s="24"/>
      <c r="LWF954" s="24"/>
      <c r="LWG954" s="24"/>
      <c r="LWH954" s="24"/>
      <c r="LWI954" s="24"/>
      <c r="LWJ954" s="24"/>
      <c r="LWK954" s="24"/>
      <c r="LWL954" s="24"/>
      <c r="LWM954" s="24"/>
      <c r="LWN954" s="24"/>
      <c r="LWO954" s="24"/>
      <c r="LWP954" s="24"/>
      <c r="LWQ954" s="24"/>
      <c r="LWR954" s="24"/>
      <c r="LWS954" s="24"/>
      <c r="LWT954" s="24"/>
      <c r="LWU954" s="24"/>
      <c r="LWV954" s="24"/>
      <c r="LWW954" s="24"/>
      <c r="LWX954" s="24"/>
      <c r="LWY954" s="24"/>
      <c r="LWZ954" s="24"/>
      <c r="LXA954" s="24"/>
      <c r="LXB954" s="24"/>
      <c r="LXC954" s="24"/>
      <c r="LXD954" s="24"/>
      <c r="LXE954" s="24"/>
      <c r="LXF954" s="24"/>
      <c r="LXG954" s="24"/>
      <c r="LXH954" s="24"/>
      <c r="LXI954" s="24"/>
      <c r="LXJ954" s="24"/>
      <c r="LXK954" s="24"/>
      <c r="LXL954" s="24"/>
      <c r="LXM954" s="24"/>
      <c r="LXN954" s="24"/>
      <c r="LXO954" s="24"/>
      <c r="LXP954" s="24"/>
      <c r="LXQ954" s="24"/>
      <c r="LXR954" s="24"/>
      <c r="LXS954" s="24"/>
      <c r="LXT954" s="24"/>
      <c r="LXU954" s="24"/>
      <c r="LXV954" s="24"/>
      <c r="LXW954" s="24"/>
      <c r="LXX954" s="24"/>
      <c r="LXY954" s="24"/>
      <c r="LXZ954" s="24"/>
      <c r="LYA954" s="24"/>
      <c r="LYB954" s="24"/>
      <c r="LYC954" s="24"/>
      <c r="LYD954" s="24"/>
      <c r="LYE954" s="24"/>
      <c r="LYF954" s="24"/>
      <c r="LYG954" s="24"/>
      <c r="LYH954" s="24"/>
      <c r="LYI954" s="24"/>
      <c r="LYJ954" s="24"/>
      <c r="LYK954" s="24"/>
      <c r="LYL954" s="24"/>
      <c r="LYM954" s="24"/>
      <c r="LYN954" s="24"/>
      <c r="LYO954" s="24"/>
      <c r="LYP954" s="24"/>
      <c r="LYQ954" s="24"/>
      <c r="LYR954" s="24"/>
      <c r="LYS954" s="24"/>
      <c r="LYT954" s="24"/>
      <c r="LYU954" s="24"/>
      <c r="LYV954" s="24"/>
      <c r="LYW954" s="24"/>
      <c r="LYX954" s="24"/>
      <c r="LYY954" s="24"/>
      <c r="LYZ954" s="24"/>
      <c r="LZA954" s="24"/>
      <c r="LZB954" s="24"/>
      <c r="LZC954" s="24"/>
      <c r="LZD954" s="24"/>
      <c r="LZE954" s="24"/>
      <c r="LZF954" s="24"/>
      <c r="LZG954" s="24"/>
      <c r="LZH954" s="24"/>
      <c r="LZI954" s="24"/>
      <c r="LZJ954" s="24"/>
      <c r="LZK954" s="24"/>
      <c r="LZL954" s="24"/>
      <c r="LZM954" s="24"/>
      <c r="LZN954" s="24"/>
      <c r="LZO954" s="24"/>
      <c r="LZP954" s="24"/>
      <c r="LZQ954" s="24"/>
      <c r="LZR954" s="24"/>
      <c r="LZS954" s="24"/>
      <c r="LZT954" s="24"/>
      <c r="LZU954" s="24"/>
      <c r="LZV954" s="24"/>
      <c r="LZW954" s="24"/>
      <c r="LZX954" s="24"/>
      <c r="LZY954" s="24"/>
      <c r="LZZ954" s="24"/>
      <c r="MAA954" s="24"/>
      <c r="MAB954" s="24"/>
      <c r="MAC954" s="24"/>
      <c r="MAD954" s="24"/>
      <c r="MAE954" s="24"/>
      <c r="MAF954" s="24"/>
      <c r="MAG954" s="24"/>
      <c r="MAH954" s="24"/>
      <c r="MAI954" s="24"/>
      <c r="MAJ954" s="24"/>
      <c r="MAK954" s="24"/>
      <c r="MAL954" s="24"/>
      <c r="MAM954" s="24"/>
      <c r="MAN954" s="24"/>
      <c r="MAO954" s="24"/>
      <c r="MAP954" s="24"/>
      <c r="MAQ954" s="24"/>
      <c r="MAR954" s="24"/>
      <c r="MAS954" s="24"/>
      <c r="MAT954" s="24"/>
      <c r="MAU954" s="24"/>
      <c r="MAV954" s="24"/>
      <c r="MAW954" s="24"/>
      <c r="MAX954" s="24"/>
      <c r="MAY954" s="24"/>
      <c r="MAZ954" s="24"/>
      <c r="MBA954" s="24"/>
      <c r="MBB954" s="24"/>
      <c r="MBC954" s="24"/>
      <c r="MBD954" s="24"/>
      <c r="MBE954" s="24"/>
      <c r="MBF954" s="24"/>
      <c r="MBG954" s="24"/>
      <c r="MBH954" s="24"/>
      <c r="MBI954" s="24"/>
      <c r="MBJ954" s="24"/>
      <c r="MBK954" s="24"/>
      <c r="MBL954" s="24"/>
      <c r="MBM954" s="24"/>
      <c r="MBN954" s="24"/>
      <c r="MBO954" s="24"/>
      <c r="MBP954" s="24"/>
      <c r="MBQ954" s="24"/>
      <c r="MBR954" s="24"/>
      <c r="MBS954" s="24"/>
      <c r="MBT954" s="24"/>
      <c r="MBU954" s="24"/>
      <c r="MBV954" s="24"/>
      <c r="MBW954" s="24"/>
      <c r="MBX954" s="24"/>
      <c r="MBY954" s="24"/>
      <c r="MBZ954" s="24"/>
      <c r="MCA954" s="24"/>
      <c r="MCB954" s="24"/>
      <c r="MCC954" s="24"/>
      <c r="MCD954" s="24"/>
      <c r="MCE954" s="24"/>
      <c r="MCF954" s="24"/>
      <c r="MCG954" s="24"/>
      <c r="MCH954" s="24"/>
      <c r="MCI954" s="24"/>
      <c r="MCJ954" s="24"/>
      <c r="MCK954" s="24"/>
      <c r="MCL954" s="24"/>
      <c r="MCM954" s="24"/>
      <c r="MCN954" s="24"/>
      <c r="MCO954" s="24"/>
      <c r="MCP954" s="24"/>
      <c r="MCQ954" s="24"/>
      <c r="MCR954" s="24"/>
      <c r="MCS954" s="24"/>
      <c r="MCT954" s="24"/>
      <c r="MCU954" s="24"/>
      <c r="MCV954" s="24"/>
      <c r="MCW954" s="24"/>
      <c r="MCX954" s="24"/>
      <c r="MCY954" s="24"/>
      <c r="MCZ954" s="24"/>
      <c r="MDA954" s="24"/>
      <c r="MDB954" s="24"/>
      <c r="MDC954" s="24"/>
      <c r="MDD954" s="24"/>
      <c r="MDE954" s="24"/>
      <c r="MDF954" s="24"/>
      <c r="MDG954" s="24"/>
      <c r="MDH954" s="24"/>
      <c r="MDI954" s="24"/>
      <c r="MDJ954" s="24"/>
      <c r="MDK954" s="24"/>
      <c r="MDL954" s="24"/>
      <c r="MDM954" s="24"/>
      <c r="MDN954" s="24"/>
      <c r="MDO954" s="24"/>
      <c r="MDP954" s="24"/>
      <c r="MDQ954" s="24"/>
      <c r="MDR954" s="24"/>
      <c r="MDS954" s="24"/>
      <c r="MDT954" s="24"/>
      <c r="MDU954" s="24"/>
      <c r="MDV954" s="24"/>
      <c r="MDW954" s="24"/>
      <c r="MDX954" s="24"/>
      <c r="MDY954" s="24"/>
      <c r="MDZ954" s="24"/>
      <c r="MEA954" s="24"/>
      <c r="MEB954" s="24"/>
      <c r="MEC954" s="24"/>
      <c r="MED954" s="24"/>
      <c r="MEE954" s="24"/>
      <c r="MEF954" s="24"/>
      <c r="MEG954" s="24"/>
      <c r="MEH954" s="24"/>
      <c r="MEI954" s="24"/>
      <c r="MEJ954" s="24"/>
      <c r="MEK954" s="24"/>
      <c r="MEL954" s="24"/>
      <c r="MEM954" s="24"/>
      <c r="MEN954" s="24"/>
      <c r="MEO954" s="24"/>
      <c r="MEP954" s="24"/>
      <c r="MEQ954" s="24"/>
      <c r="MER954" s="24"/>
      <c r="MES954" s="24"/>
      <c r="MET954" s="24"/>
      <c r="MEU954" s="24"/>
      <c r="MEV954" s="24"/>
      <c r="MEW954" s="24"/>
      <c r="MEX954" s="24"/>
      <c r="MEY954" s="24"/>
      <c r="MEZ954" s="24"/>
      <c r="MFA954" s="24"/>
      <c r="MFB954" s="24"/>
      <c r="MFC954" s="24"/>
      <c r="MFD954" s="24"/>
      <c r="MFE954" s="24"/>
      <c r="MFF954" s="24"/>
      <c r="MFG954" s="24"/>
      <c r="MFH954" s="24"/>
      <c r="MFI954" s="24"/>
      <c r="MFJ954" s="24"/>
      <c r="MFK954" s="24"/>
      <c r="MFL954" s="24"/>
      <c r="MFM954" s="24"/>
      <c r="MFN954" s="24"/>
      <c r="MFO954" s="24"/>
      <c r="MFP954" s="24"/>
      <c r="MFQ954" s="24"/>
      <c r="MFR954" s="24"/>
      <c r="MFS954" s="24"/>
      <c r="MFT954" s="24"/>
      <c r="MFU954" s="24"/>
      <c r="MFV954" s="24"/>
      <c r="MFW954" s="24"/>
      <c r="MFX954" s="24"/>
      <c r="MFY954" s="24"/>
      <c r="MFZ954" s="24"/>
      <c r="MGA954" s="24"/>
      <c r="MGB954" s="24"/>
      <c r="MGC954" s="24"/>
      <c r="MGD954" s="24"/>
      <c r="MGE954" s="24"/>
      <c r="MGF954" s="24"/>
      <c r="MGG954" s="24"/>
      <c r="MGH954" s="24"/>
      <c r="MGI954" s="24"/>
      <c r="MGJ954" s="24"/>
      <c r="MGK954" s="24"/>
      <c r="MGL954" s="24"/>
      <c r="MGM954" s="24"/>
      <c r="MGN954" s="24"/>
      <c r="MGO954" s="24"/>
      <c r="MGP954" s="24"/>
      <c r="MGQ954" s="24"/>
      <c r="MGR954" s="24"/>
      <c r="MGS954" s="24"/>
      <c r="MGT954" s="24"/>
      <c r="MGU954" s="24"/>
      <c r="MGV954" s="24"/>
      <c r="MGW954" s="24"/>
      <c r="MGX954" s="24"/>
      <c r="MGY954" s="24"/>
      <c r="MGZ954" s="24"/>
      <c r="MHA954" s="24"/>
      <c r="MHB954" s="24"/>
      <c r="MHC954" s="24"/>
      <c r="MHD954" s="24"/>
      <c r="MHE954" s="24"/>
      <c r="MHF954" s="24"/>
      <c r="MHG954" s="24"/>
      <c r="MHH954" s="24"/>
      <c r="MHI954" s="24"/>
      <c r="MHJ954" s="24"/>
      <c r="MHK954" s="24"/>
      <c r="MHL954" s="24"/>
      <c r="MHM954" s="24"/>
      <c r="MHN954" s="24"/>
      <c r="MHO954" s="24"/>
      <c r="MHP954" s="24"/>
      <c r="MHQ954" s="24"/>
      <c r="MHR954" s="24"/>
      <c r="MHS954" s="24"/>
      <c r="MHT954" s="24"/>
      <c r="MHU954" s="24"/>
      <c r="MHV954" s="24"/>
      <c r="MHW954" s="24"/>
      <c r="MHX954" s="24"/>
      <c r="MHY954" s="24"/>
      <c r="MHZ954" s="24"/>
      <c r="MIA954" s="24"/>
      <c r="MIB954" s="24"/>
      <c r="MIC954" s="24"/>
      <c r="MID954" s="24"/>
      <c r="MIE954" s="24"/>
      <c r="MIF954" s="24"/>
      <c r="MIG954" s="24"/>
      <c r="MIH954" s="24"/>
      <c r="MII954" s="24"/>
      <c r="MIJ954" s="24"/>
      <c r="MIK954" s="24"/>
      <c r="MIL954" s="24"/>
      <c r="MIM954" s="24"/>
      <c r="MIN954" s="24"/>
      <c r="MIO954" s="24"/>
      <c r="MIP954" s="24"/>
      <c r="MIQ954" s="24"/>
      <c r="MIR954" s="24"/>
      <c r="MIS954" s="24"/>
      <c r="MIT954" s="24"/>
      <c r="MIU954" s="24"/>
      <c r="MIV954" s="24"/>
      <c r="MIW954" s="24"/>
      <c r="MIX954" s="24"/>
      <c r="MIY954" s="24"/>
      <c r="MIZ954" s="24"/>
      <c r="MJA954" s="24"/>
      <c r="MJB954" s="24"/>
      <c r="MJC954" s="24"/>
      <c r="MJD954" s="24"/>
      <c r="MJE954" s="24"/>
      <c r="MJF954" s="24"/>
      <c r="MJG954" s="24"/>
      <c r="MJH954" s="24"/>
      <c r="MJI954" s="24"/>
      <c r="MJJ954" s="24"/>
      <c r="MJK954" s="24"/>
      <c r="MJL954" s="24"/>
      <c r="MJM954" s="24"/>
      <c r="MJN954" s="24"/>
      <c r="MJO954" s="24"/>
      <c r="MJP954" s="24"/>
      <c r="MJQ954" s="24"/>
      <c r="MJR954" s="24"/>
      <c r="MJS954" s="24"/>
      <c r="MJT954" s="24"/>
      <c r="MJU954" s="24"/>
      <c r="MJV954" s="24"/>
      <c r="MJW954" s="24"/>
      <c r="MJX954" s="24"/>
      <c r="MJY954" s="24"/>
      <c r="MJZ954" s="24"/>
      <c r="MKA954" s="24"/>
      <c r="MKB954" s="24"/>
      <c r="MKC954" s="24"/>
      <c r="MKD954" s="24"/>
      <c r="MKE954" s="24"/>
      <c r="MKF954" s="24"/>
      <c r="MKG954" s="24"/>
      <c r="MKH954" s="24"/>
      <c r="MKI954" s="24"/>
      <c r="MKJ954" s="24"/>
      <c r="MKK954" s="24"/>
      <c r="MKL954" s="24"/>
      <c r="MKM954" s="24"/>
      <c r="MKN954" s="24"/>
      <c r="MKO954" s="24"/>
      <c r="MKP954" s="24"/>
      <c r="MKQ954" s="24"/>
      <c r="MKR954" s="24"/>
      <c r="MKS954" s="24"/>
      <c r="MKT954" s="24"/>
      <c r="MKU954" s="24"/>
      <c r="MKV954" s="24"/>
      <c r="MKW954" s="24"/>
      <c r="MKX954" s="24"/>
      <c r="MKY954" s="24"/>
      <c r="MKZ954" s="24"/>
      <c r="MLA954" s="24"/>
      <c r="MLB954" s="24"/>
      <c r="MLC954" s="24"/>
      <c r="MLD954" s="24"/>
      <c r="MLE954" s="24"/>
      <c r="MLF954" s="24"/>
      <c r="MLG954" s="24"/>
      <c r="MLH954" s="24"/>
      <c r="MLI954" s="24"/>
      <c r="MLJ954" s="24"/>
      <c r="MLK954" s="24"/>
      <c r="MLL954" s="24"/>
      <c r="MLM954" s="24"/>
      <c r="MLN954" s="24"/>
      <c r="MLO954" s="24"/>
      <c r="MLP954" s="24"/>
      <c r="MLQ954" s="24"/>
      <c r="MLR954" s="24"/>
      <c r="MLS954" s="24"/>
      <c r="MLT954" s="24"/>
      <c r="MLU954" s="24"/>
      <c r="MLV954" s="24"/>
      <c r="MLW954" s="24"/>
      <c r="MLX954" s="24"/>
      <c r="MLY954" s="24"/>
      <c r="MLZ954" s="24"/>
      <c r="MMA954" s="24"/>
      <c r="MMB954" s="24"/>
      <c r="MMC954" s="24"/>
      <c r="MMD954" s="24"/>
      <c r="MME954" s="24"/>
      <c r="MMF954" s="24"/>
      <c r="MMG954" s="24"/>
      <c r="MMH954" s="24"/>
      <c r="MMI954" s="24"/>
      <c r="MMJ954" s="24"/>
      <c r="MMK954" s="24"/>
      <c r="MML954" s="24"/>
      <c r="MMM954" s="24"/>
      <c r="MMN954" s="24"/>
      <c r="MMO954" s="24"/>
      <c r="MMP954" s="24"/>
      <c r="MMQ954" s="24"/>
      <c r="MMR954" s="24"/>
      <c r="MMS954" s="24"/>
      <c r="MMT954" s="24"/>
      <c r="MMU954" s="24"/>
      <c r="MMV954" s="24"/>
      <c r="MMW954" s="24"/>
      <c r="MMX954" s="24"/>
      <c r="MMY954" s="24"/>
      <c r="MMZ954" s="24"/>
      <c r="MNA954" s="24"/>
      <c r="MNB954" s="24"/>
      <c r="MNC954" s="24"/>
      <c r="MND954" s="24"/>
      <c r="MNE954" s="24"/>
      <c r="MNF954" s="24"/>
      <c r="MNG954" s="24"/>
      <c r="MNH954" s="24"/>
      <c r="MNI954" s="24"/>
      <c r="MNJ954" s="24"/>
      <c r="MNK954" s="24"/>
      <c r="MNL954" s="24"/>
      <c r="MNM954" s="24"/>
      <c r="MNN954" s="24"/>
      <c r="MNO954" s="24"/>
      <c r="MNP954" s="24"/>
      <c r="MNQ954" s="24"/>
      <c r="MNR954" s="24"/>
      <c r="MNS954" s="24"/>
      <c r="MNT954" s="24"/>
      <c r="MNU954" s="24"/>
      <c r="MNV954" s="24"/>
      <c r="MNW954" s="24"/>
      <c r="MNX954" s="24"/>
      <c r="MNY954" s="24"/>
      <c r="MNZ954" s="24"/>
      <c r="MOA954" s="24"/>
      <c r="MOB954" s="24"/>
      <c r="MOC954" s="24"/>
      <c r="MOD954" s="24"/>
      <c r="MOE954" s="24"/>
      <c r="MOF954" s="24"/>
      <c r="MOG954" s="24"/>
      <c r="MOH954" s="24"/>
      <c r="MOI954" s="24"/>
      <c r="MOJ954" s="24"/>
      <c r="MOK954" s="24"/>
      <c r="MOL954" s="24"/>
      <c r="MOM954" s="24"/>
      <c r="MON954" s="24"/>
      <c r="MOO954" s="24"/>
      <c r="MOP954" s="24"/>
      <c r="MOQ954" s="24"/>
      <c r="MOR954" s="24"/>
      <c r="MOS954" s="24"/>
      <c r="MOT954" s="24"/>
      <c r="MOU954" s="24"/>
      <c r="MOV954" s="24"/>
      <c r="MOW954" s="24"/>
      <c r="MOX954" s="24"/>
      <c r="MOY954" s="24"/>
      <c r="MOZ954" s="24"/>
      <c r="MPA954" s="24"/>
      <c r="MPB954" s="24"/>
      <c r="MPC954" s="24"/>
      <c r="MPD954" s="24"/>
      <c r="MPE954" s="24"/>
      <c r="MPF954" s="24"/>
      <c r="MPG954" s="24"/>
      <c r="MPH954" s="24"/>
      <c r="MPI954" s="24"/>
      <c r="MPJ954" s="24"/>
      <c r="MPK954" s="24"/>
      <c r="MPL954" s="24"/>
      <c r="MPM954" s="24"/>
      <c r="MPN954" s="24"/>
      <c r="MPO954" s="24"/>
      <c r="MPP954" s="24"/>
      <c r="MPQ954" s="24"/>
      <c r="MPR954" s="24"/>
      <c r="MPS954" s="24"/>
      <c r="MPT954" s="24"/>
      <c r="MPU954" s="24"/>
      <c r="MPV954" s="24"/>
      <c r="MPW954" s="24"/>
      <c r="MPX954" s="24"/>
      <c r="MPY954" s="24"/>
      <c r="MPZ954" s="24"/>
      <c r="MQA954" s="24"/>
      <c r="MQB954" s="24"/>
      <c r="MQC954" s="24"/>
      <c r="MQD954" s="24"/>
      <c r="MQE954" s="24"/>
      <c r="MQF954" s="24"/>
      <c r="MQG954" s="24"/>
      <c r="MQH954" s="24"/>
      <c r="MQI954" s="24"/>
      <c r="MQJ954" s="24"/>
      <c r="MQK954" s="24"/>
      <c r="MQL954" s="24"/>
      <c r="MQM954" s="24"/>
      <c r="MQN954" s="24"/>
      <c r="MQO954" s="24"/>
      <c r="MQP954" s="24"/>
      <c r="MQQ954" s="24"/>
      <c r="MQR954" s="24"/>
      <c r="MQS954" s="24"/>
      <c r="MQT954" s="24"/>
      <c r="MQU954" s="24"/>
      <c r="MQV954" s="24"/>
      <c r="MQW954" s="24"/>
      <c r="MQX954" s="24"/>
      <c r="MQY954" s="24"/>
      <c r="MQZ954" s="24"/>
      <c r="MRA954" s="24"/>
      <c r="MRB954" s="24"/>
      <c r="MRC954" s="24"/>
      <c r="MRD954" s="24"/>
      <c r="MRE954" s="24"/>
      <c r="MRF954" s="24"/>
      <c r="MRG954" s="24"/>
      <c r="MRH954" s="24"/>
      <c r="MRI954" s="24"/>
      <c r="MRJ954" s="24"/>
      <c r="MRK954" s="24"/>
      <c r="MRL954" s="24"/>
      <c r="MRM954" s="24"/>
      <c r="MRN954" s="24"/>
      <c r="MRO954" s="24"/>
      <c r="MRP954" s="24"/>
      <c r="MRQ954" s="24"/>
      <c r="MRR954" s="24"/>
      <c r="MRS954" s="24"/>
      <c r="MRT954" s="24"/>
      <c r="MRU954" s="24"/>
      <c r="MRV954" s="24"/>
      <c r="MRW954" s="24"/>
      <c r="MRX954" s="24"/>
      <c r="MRY954" s="24"/>
      <c r="MRZ954" s="24"/>
      <c r="MSA954" s="24"/>
      <c r="MSB954" s="24"/>
      <c r="MSC954" s="24"/>
      <c r="MSD954" s="24"/>
      <c r="MSE954" s="24"/>
      <c r="MSF954" s="24"/>
      <c r="MSG954" s="24"/>
      <c r="MSH954" s="24"/>
      <c r="MSI954" s="24"/>
      <c r="MSJ954" s="24"/>
      <c r="MSK954" s="24"/>
      <c r="MSL954" s="24"/>
      <c r="MSM954" s="24"/>
      <c r="MSN954" s="24"/>
      <c r="MSO954" s="24"/>
      <c r="MSP954" s="24"/>
      <c r="MSQ954" s="24"/>
      <c r="MSR954" s="24"/>
      <c r="MSS954" s="24"/>
      <c r="MST954" s="24"/>
      <c r="MSU954" s="24"/>
      <c r="MSV954" s="24"/>
      <c r="MSW954" s="24"/>
      <c r="MSX954" s="24"/>
      <c r="MSY954" s="24"/>
      <c r="MSZ954" s="24"/>
      <c r="MTA954" s="24"/>
      <c r="MTB954" s="24"/>
      <c r="MTC954" s="24"/>
      <c r="MTD954" s="24"/>
      <c r="MTE954" s="24"/>
      <c r="MTF954" s="24"/>
      <c r="MTG954" s="24"/>
      <c r="MTH954" s="24"/>
      <c r="MTI954" s="24"/>
      <c r="MTJ954" s="24"/>
      <c r="MTK954" s="24"/>
      <c r="MTL954" s="24"/>
      <c r="MTM954" s="24"/>
      <c r="MTN954" s="24"/>
      <c r="MTO954" s="24"/>
      <c r="MTP954" s="24"/>
      <c r="MTQ954" s="24"/>
      <c r="MTR954" s="24"/>
      <c r="MTS954" s="24"/>
      <c r="MTT954" s="24"/>
      <c r="MTU954" s="24"/>
      <c r="MTV954" s="24"/>
      <c r="MTW954" s="24"/>
      <c r="MTX954" s="24"/>
      <c r="MTY954" s="24"/>
      <c r="MTZ954" s="24"/>
      <c r="MUA954" s="24"/>
      <c r="MUB954" s="24"/>
      <c r="MUC954" s="24"/>
      <c r="MUD954" s="24"/>
      <c r="MUE954" s="24"/>
      <c r="MUF954" s="24"/>
      <c r="MUG954" s="24"/>
      <c r="MUH954" s="24"/>
      <c r="MUI954" s="24"/>
      <c r="MUJ954" s="24"/>
      <c r="MUK954" s="24"/>
      <c r="MUL954" s="24"/>
      <c r="MUM954" s="24"/>
      <c r="MUN954" s="24"/>
      <c r="MUO954" s="24"/>
      <c r="MUP954" s="24"/>
      <c r="MUQ954" s="24"/>
      <c r="MUR954" s="24"/>
      <c r="MUS954" s="24"/>
      <c r="MUT954" s="24"/>
      <c r="MUU954" s="24"/>
      <c r="MUV954" s="24"/>
      <c r="MUW954" s="24"/>
      <c r="MUX954" s="24"/>
      <c r="MUY954" s="24"/>
      <c r="MUZ954" s="24"/>
      <c r="MVA954" s="24"/>
      <c r="MVB954" s="24"/>
      <c r="MVC954" s="24"/>
      <c r="MVD954" s="24"/>
      <c r="MVE954" s="24"/>
      <c r="MVF954" s="24"/>
      <c r="MVG954" s="24"/>
      <c r="MVH954" s="24"/>
      <c r="MVI954" s="24"/>
      <c r="MVJ954" s="24"/>
      <c r="MVK954" s="24"/>
      <c r="MVL954" s="24"/>
      <c r="MVM954" s="24"/>
      <c r="MVN954" s="24"/>
      <c r="MVO954" s="24"/>
      <c r="MVP954" s="24"/>
      <c r="MVQ954" s="24"/>
      <c r="MVR954" s="24"/>
      <c r="MVS954" s="24"/>
      <c r="MVT954" s="24"/>
      <c r="MVU954" s="24"/>
      <c r="MVV954" s="24"/>
      <c r="MVW954" s="24"/>
      <c r="MVX954" s="24"/>
      <c r="MVY954" s="24"/>
      <c r="MVZ954" s="24"/>
      <c r="MWA954" s="24"/>
      <c r="MWB954" s="24"/>
      <c r="MWC954" s="24"/>
      <c r="MWD954" s="24"/>
      <c r="MWE954" s="24"/>
      <c r="MWF954" s="24"/>
      <c r="MWG954" s="24"/>
      <c r="MWH954" s="24"/>
      <c r="MWI954" s="24"/>
      <c r="MWJ954" s="24"/>
      <c r="MWK954" s="24"/>
      <c r="MWL954" s="24"/>
      <c r="MWM954" s="24"/>
      <c r="MWN954" s="24"/>
      <c r="MWO954" s="24"/>
      <c r="MWP954" s="24"/>
      <c r="MWQ954" s="24"/>
      <c r="MWR954" s="24"/>
      <c r="MWS954" s="24"/>
      <c r="MWT954" s="24"/>
      <c r="MWU954" s="24"/>
      <c r="MWV954" s="24"/>
      <c r="MWW954" s="24"/>
      <c r="MWX954" s="24"/>
      <c r="MWY954" s="24"/>
      <c r="MWZ954" s="24"/>
      <c r="MXA954" s="24"/>
      <c r="MXB954" s="24"/>
      <c r="MXC954" s="24"/>
      <c r="MXD954" s="24"/>
      <c r="MXE954" s="24"/>
      <c r="MXF954" s="24"/>
      <c r="MXG954" s="24"/>
      <c r="MXH954" s="24"/>
      <c r="MXI954" s="24"/>
      <c r="MXJ954" s="24"/>
      <c r="MXK954" s="24"/>
      <c r="MXL954" s="24"/>
      <c r="MXM954" s="24"/>
      <c r="MXN954" s="24"/>
      <c r="MXO954" s="24"/>
      <c r="MXP954" s="24"/>
      <c r="MXQ954" s="24"/>
      <c r="MXR954" s="24"/>
      <c r="MXS954" s="24"/>
      <c r="MXT954" s="24"/>
      <c r="MXU954" s="24"/>
      <c r="MXV954" s="24"/>
      <c r="MXW954" s="24"/>
      <c r="MXX954" s="24"/>
      <c r="MXY954" s="24"/>
      <c r="MXZ954" s="24"/>
      <c r="MYA954" s="24"/>
      <c r="MYB954" s="24"/>
      <c r="MYC954" s="24"/>
      <c r="MYD954" s="24"/>
      <c r="MYE954" s="24"/>
      <c r="MYF954" s="24"/>
      <c r="MYG954" s="24"/>
      <c r="MYH954" s="24"/>
      <c r="MYI954" s="24"/>
      <c r="MYJ954" s="24"/>
      <c r="MYK954" s="24"/>
      <c r="MYL954" s="24"/>
      <c r="MYM954" s="24"/>
      <c r="MYN954" s="24"/>
      <c r="MYO954" s="24"/>
      <c r="MYP954" s="24"/>
      <c r="MYQ954" s="24"/>
      <c r="MYR954" s="24"/>
      <c r="MYS954" s="24"/>
      <c r="MYT954" s="24"/>
      <c r="MYU954" s="24"/>
      <c r="MYV954" s="24"/>
      <c r="MYW954" s="24"/>
      <c r="MYX954" s="24"/>
      <c r="MYY954" s="24"/>
      <c r="MYZ954" s="24"/>
      <c r="MZA954" s="24"/>
      <c r="MZB954" s="24"/>
      <c r="MZC954" s="24"/>
      <c r="MZD954" s="24"/>
      <c r="MZE954" s="24"/>
      <c r="MZF954" s="24"/>
      <c r="MZG954" s="24"/>
      <c r="MZH954" s="24"/>
      <c r="MZI954" s="24"/>
      <c r="MZJ954" s="24"/>
      <c r="MZK954" s="24"/>
      <c r="MZL954" s="24"/>
      <c r="MZM954" s="24"/>
      <c r="MZN954" s="24"/>
      <c r="MZO954" s="24"/>
      <c r="MZP954" s="24"/>
      <c r="MZQ954" s="24"/>
      <c r="MZR954" s="24"/>
      <c r="MZS954" s="24"/>
      <c r="MZT954" s="24"/>
      <c r="MZU954" s="24"/>
      <c r="MZV954" s="24"/>
      <c r="MZW954" s="24"/>
      <c r="MZX954" s="24"/>
      <c r="MZY954" s="24"/>
      <c r="MZZ954" s="24"/>
      <c r="NAA954" s="24"/>
      <c r="NAB954" s="24"/>
      <c r="NAC954" s="24"/>
      <c r="NAD954" s="24"/>
      <c r="NAE954" s="24"/>
      <c r="NAF954" s="24"/>
      <c r="NAG954" s="24"/>
      <c r="NAH954" s="24"/>
      <c r="NAI954" s="24"/>
      <c r="NAJ954" s="24"/>
      <c r="NAK954" s="24"/>
      <c r="NAL954" s="24"/>
      <c r="NAM954" s="24"/>
      <c r="NAN954" s="24"/>
      <c r="NAO954" s="24"/>
      <c r="NAP954" s="24"/>
      <c r="NAQ954" s="24"/>
      <c r="NAR954" s="24"/>
      <c r="NAS954" s="24"/>
      <c r="NAT954" s="24"/>
      <c r="NAU954" s="24"/>
      <c r="NAV954" s="24"/>
      <c r="NAW954" s="24"/>
      <c r="NAX954" s="24"/>
      <c r="NAY954" s="24"/>
      <c r="NAZ954" s="24"/>
      <c r="NBA954" s="24"/>
      <c r="NBB954" s="24"/>
      <c r="NBC954" s="24"/>
      <c r="NBD954" s="24"/>
      <c r="NBE954" s="24"/>
      <c r="NBF954" s="24"/>
      <c r="NBG954" s="24"/>
      <c r="NBH954" s="24"/>
      <c r="NBI954" s="24"/>
      <c r="NBJ954" s="24"/>
      <c r="NBK954" s="24"/>
      <c r="NBL954" s="24"/>
      <c r="NBM954" s="24"/>
      <c r="NBN954" s="24"/>
      <c r="NBO954" s="24"/>
      <c r="NBP954" s="24"/>
      <c r="NBQ954" s="24"/>
      <c r="NBR954" s="24"/>
      <c r="NBS954" s="24"/>
      <c r="NBT954" s="24"/>
      <c r="NBU954" s="24"/>
      <c r="NBV954" s="24"/>
      <c r="NBW954" s="24"/>
      <c r="NBX954" s="24"/>
      <c r="NBY954" s="24"/>
      <c r="NBZ954" s="24"/>
      <c r="NCA954" s="24"/>
      <c r="NCB954" s="24"/>
      <c r="NCC954" s="24"/>
      <c r="NCD954" s="24"/>
      <c r="NCE954" s="24"/>
      <c r="NCF954" s="24"/>
      <c r="NCG954" s="24"/>
      <c r="NCH954" s="24"/>
      <c r="NCI954" s="24"/>
      <c r="NCJ954" s="24"/>
      <c r="NCK954" s="24"/>
      <c r="NCL954" s="24"/>
      <c r="NCM954" s="24"/>
      <c r="NCN954" s="24"/>
      <c r="NCO954" s="24"/>
      <c r="NCP954" s="24"/>
      <c r="NCQ954" s="24"/>
      <c r="NCR954" s="24"/>
      <c r="NCS954" s="24"/>
      <c r="NCT954" s="24"/>
      <c r="NCU954" s="24"/>
      <c r="NCV954" s="24"/>
      <c r="NCW954" s="24"/>
      <c r="NCX954" s="24"/>
      <c r="NCY954" s="24"/>
      <c r="NCZ954" s="24"/>
      <c r="NDA954" s="24"/>
      <c r="NDB954" s="24"/>
      <c r="NDC954" s="24"/>
      <c r="NDD954" s="24"/>
      <c r="NDE954" s="24"/>
      <c r="NDF954" s="24"/>
      <c r="NDG954" s="24"/>
      <c r="NDH954" s="24"/>
      <c r="NDI954" s="24"/>
      <c r="NDJ954" s="24"/>
      <c r="NDK954" s="24"/>
      <c r="NDL954" s="24"/>
      <c r="NDM954" s="24"/>
      <c r="NDN954" s="24"/>
      <c r="NDO954" s="24"/>
      <c r="NDP954" s="24"/>
      <c r="NDQ954" s="24"/>
      <c r="NDR954" s="24"/>
      <c r="NDS954" s="24"/>
      <c r="NDT954" s="24"/>
      <c r="NDU954" s="24"/>
      <c r="NDV954" s="24"/>
      <c r="NDW954" s="24"/>
      <c r="NDX954" s="24"/>
      <c r="NDY954" s="24"/>
      <c r="NDZ954" s="24"/>
      <c r="NEA954" s="24"/>
      <c r="NEB954" s="24"/>
      <c r="NEC954" s="24"/>
      <c r="NED954" s="24"/>
      <c r="NEE954" s="24"/>
      <c r="NEF954" s="24"/>
      <c r="NEG954" s="24"/>
      <c r="NEH954" s="24"/>
      <c r="NEI954" s="24"/>
      <c r="NEJ954" s="24"/>
      <c r="NEK954" s="24"/>
      <c r="NEL954" s="24"/>
      <c r="NEM954" s="24"/>
      <c r="NEN954" s="24"/>
      <c r="NEO954" s="24"/>
      <c r="NEP954" s="24"/>
      <c r="NEQ954" s="24"/>
      <c r="NER954" s="24"/>
      <c r="NES954" s="24"/>
      <c r="NET954" s="24"/>
      <c r="NEU954" s="24"/>
      <c r="NEV954" s="24"/>
      <c r="NEW954" s="24"/>
      <c r="NEX954" s="24"/>
      <c r="NEY954" s="24"/>
      <c r="NEZ954" s="24"/>
      <c r="NFA954" s="24"/>
      <c r="NFB954" s="24"/>
      <c r="NFC954" s="24"/>
      <c r="NFD954" s="24"/>
      <c r="NFE954" s="24"/>
      <c r="NFF954" s="24"/>
      <c r="NFG954" s="24"/>
      <c r="NFH954" s="24"/>
      <c r="NFI954" s="24"/>
      <c r="NFJ954" s="24"/>
      <c r="NFK954" s="24"/>
      <c r="NFL954" s="24"/>
      <c r="NFM954" s="24"/>
      <c r="NFN954" s="24"/>
      <c r="NFO954" s="24"/>
      <c r="NFP954" s="24"/>
      <c r="NFQ954" s="24"/>
      <c r="NFR954" s="24"/>
      <c r="NFS954" s="24"/>
      <c r="NFT954" s="24"/>
      <c r="NFU954" s="24"/>
      <c r="NFV954" s="24"/>
      <c r="NFW954" s="24"/>
      <c r="NFX954" s="24"/>
      <c r="NFY954" s="24"/>
      <c r="NFZ954" s="24"/>
      <c r="NGA954" s="24"/>
      <c r="NGB954" s="24"/>
      <c r="NGC954" s="24"/>
      <c r="NGD954" s="24"/>
      <c r="NGE954" s="24"/>
      <c r="NGF954" s="24"/>
      <c r="NGG954" s="24"/>
      <c r="NGH954" s="24"/>
      <c r="NGI954" s="24"/>
      <c r="NGJ954" s="24"/>
      <c r="NGK954" s="24"/>
      <c r="NGL954" s="24"/>
      <c r="NGM954" s="24"/>
      <c r="NGN954" s="24"/>
      <c r="NGO954" s="24"/>
      <c r="NGP954" s="24"/>
      <c r="NGQ954" s="24"/>
      <c r="NGR954" s="24"/>
      <c r="NGS954" s="24"/>
      <c r="NGT954" s="24"/>
      <c r="NGU954" s="24"/>
      <c r="NGV954" s="24"/>
      <c r="NGW954" s="24"/>
      <c r="NGX954" s="24"/>
      <c r="NGY954" s="24"/>
      <c r="NGZ954" s="24"/>
      <c r="NHA954" s="24"/>
      <c r="NHB954" s="24"/>
      <c r="NHC954" s="24"/>
      <c r="NHD954" s="24"/>
      <c r="NHE954" s="24"/>
      <c r="NHF954" s="24"/>
      <c r="NHG954" s="24"/>
      <c r="NHH954" s="24"/>
      <c r="NHI954" s="24"/>
      <c r="NHJ954" s="24"/>
      <c r="NHK954" s="24"/>
      <c r="NHL954" s="24"/>
      <c r="NHM954" s="24"/>
      <c r="NHN954" s="24"/>
      <c r="NHO954" s="24"/>
      <c r="NHP954" s="24"/>
      <c r="NHQ954" s="24"/>
      <c r="NHR954" s="24"/>
      <c r="NHS954" s="24"/>
      <c r="NHT954" s="24"/>
      <c r="NHU954" s="24"/>
      <c r="NHV954" s="24"/>
      <c r="NHW954" s="24"/>
      <c r="NHX954" s="24"/>
      <c r="NHY954" s="24"/>
      <c r="NHZ954" s="24"/>
      <c r="NIA954" s="24"/>
      <c r="NIB954" s="24"/>
      <c r="NIC954" s="24"/>
      <c r="NID954" s="24"/>
      <c r="NIE954" s="24"/>
      <c r="NIF954" s="24"/>
      <c r="NIG954" s="24"/>
      <c r="NIH954" s="24"/>
      <c r="NII954" s="24"/>
      <c r="NIJ954" s="24"/>
      <c r="NIK954" s="24"/>
      <c r="NIL954" s="24"/>
      <c r="NIM954" s="24"/>
      <c r="NIN954" s="24"/>
      <c r="NIO954" s="24"/>
      <c r="NIP954" s="24"/>
      <c r="NIQ954" s="24"/>
      <c r="NIR954" s="24"/>
      <c r="NIS954" s="24"/>
      <c r="NIT954" s="24"/>
      <c r="NIU954" s="24"/>
      <c r="NIV954" s="24"/>
      <c r="NIW954" s="24"/>
      <c r="NIX954" s="24"/>
      <c r="NIY954" s="24"/>
      <c r="NIZ954" s="24"/>
      <c r="NJA954" s="24"/>
      <c r="NJB954" s="24"/>
      <c r="NJC954" s="24"/>
      <c r="NJD954" s="24"/>
      <c r="NJE954" s="24"/>
      <c r="NJF954" s="24"/>
      <c r="NJG954" s="24"/>
      <c r="NJH954" s="24"/>
      <c r="NJI954" s="24"/>
      <c r="NJJ954" s="24"/>
      <c r="NJK954" s="24"/>
      <c r="NJL954" s="24"/>
      <c r="NJM954" s="24"/>
      <c r="NJN954" s="24"/>
      <c r="NJO954" s="24"/>
      <c r="NJP954" s="24"/>
      <c r="NJQ954" s="24"/>
      <c r="NJR954" s="24"/>
      <c r="NJS954" s="24"/>
      <c r="NJT954" s="24"/>
      <c r="NJU954" s="24"/>
      <c r="NJV954" s="24"/>
      <c r="NJW954" s="24"/>
      <c r="NJX954" s="24"/>
      <c r="NJY954" s="24"/>
      <c r="NJZ954" s="24"/>
      <c r="NKA954" s="24"/>
      <c r="NKB954" s="24"/>
      <c r="NKC954" s="24"/>
      <c r="NKD954" s="24"/>
      <c r="NKE954" s="24"/>
      <c r="NKF954" s="24"/>
      <c r="NKG954" s="24"/>
      <c r="NKH954" s="24"/>
      <c r="NKI954" s="24"/>
      <c r="NKJ954" s="24"/>
      <c r="NKK954" s="24"/>
      <c r="NKL954" s="24"/>
      <c r="NKM954" s="24"/>
      <c r="NKN954" s="24"/>
      <c r="NKO954" s="24"/>
      <c r="NKP954" s="24"/>
      <c r="NKQ954" s="24"/>
      <c r="NKR954" s="24"/>
      <c r="NKS954" s="24"/>
      <c r="NKT954" s="24"/>
      <c r="NKU954" s="24"/>
      <c r="NKV954" s="24"/>
      <c r="NKW954" s="24"/>
      <c r="NKX954" s="24"/>
      <c r="NKY954" s="24"/>
      <c r="NKZ954" s="24"/>
      <c r="NLA954" s="24"/>
      <c r="NLB954" s="24"/>
      <c r="NLC954" s="24"/>
      <c r="NLD954" s="24"/>
      <c r="NLE954" s="24"/>
      <c r="NLF954" s="24"/>
      <c r="NLG954" s="24"/>
      <c r="NLH954" s="24"/>
      <c r="NLI954" s="24"/>
      <c r="NLJ954" s="24"/>
      <c r="NLK954" s="24"/>
      <c r="NLL954" s="24"/>
      <c r="NLM954" s="24"/>
      <c r="NLN954" s="24"/>
      <c r="NLO954" s="24"/>
      <c r="NLP954" s="24"/>
      <c r="NLQ954" s="24"/>
      <c r="NLR954" s="24"/>
      <c r="NLS954" s="24"/>
      <c r="NLT954" s="24"/>
      <c r="NLU954" s="24"/>
      <c r="NLV954" s="24"/>
      <c r="NLW954" s="24"/>
      <c r="NLX954" s="24"/>
      <c r="NLY954" s="24"/>
      <c r="NLZ954" s="24"/>
      <c r="NMA954" s="24"/>
      <c r="NMB954" s="24"/>
      <c r="NMC954" s="24"/>
      <c r="NMD954" s="24"/>
      <c r="NME954" s="24"/>
      <c r="NMF954" s="24"/>
      <c r="NMG954" s="24"/>
      <c r="NMH954" s="24"/>
      <c r="NMI954" s="24"/>
      <c r="NMJ954" s="24"/>
      <c r="NMK954" s="24"/>
      <c r="NML954" s="24"/>
      <c r="NMM954" s="24"/>
      <c r="NMN954" s="24"/>
      <c r="NMO954" s="24"/>
      <c r="NMP954" s="24"/>
      <c r="NMQ954" s="24"/>
      <c r="NMR954" s="24"/>
      <c r="NMS954" s="24"/>
      <c r="NMT954" s="24"/>
      <c r="NMU954" s="24"/>
      <c r="NMV954" s="24"/>
      <c r="NMW954" s="24"/>
      <c r="NMX954" s="24"/>
      <c r="NMY954" s="24"/>
      <c r="NMZ954" s="24"/>
      <c r="NNA954" s="24"/>
      <c r="NNB954" s="24"/>
      <c r="NNC954" s="24"/>
      <c r="NND954" s="24"/>
      <c r="NNE954" s="24"/>
      <c r="NNF954" s="24"/>
      <c r="NNG954" s="24"/>
      <c r="NNH954" s="24"/>
      <c r="NNI954" s="24"/>
      <c r="NNJ954" s="24"/>
      <c r="NNK954" s="24"/>
      <c r="NNL954" s="24"/>
      <c r="NNM954" s="24"/>
      <c r="NNN954" s="24"/>
      <c r="NNO954" s="24"/>
      <c r="NNP954" s="24"/>
      <c r="NNQ954" s="24"/>
      <c r="NNR954" s="24"/>
      <c r="NNS954" s="24"/>
      <c r="NNT954" s="24"/>
      <c r="NNU954" s="24"/>
      <c r="NNV954" s="24"/>
      <c r="NNW954" s="24"/>
      <c r="NNX954" s="24"/>
      <c r="NNY954" s="24"/>
      <c r="NNZ954" s="24"/>
      <c r="NOA954" s="24"/>
      <c r="NOB954" s="24"/>
      <c r="NOC954" s="24"/>
      <c r="NOD954" s="24"/>
      <c r="NOE954" s="24"/>
      <c r="NOF954" s="24"/>
      <c r="NOG954" s="24"/>
      <c r="NOH954" s="24"/>
      <c r="NOI954" s="24"/>
      <c r="NOJ954" s="24"/>
      <c r="NOK954" s="24"/>
      <c r="NOL954" s="24"/>
      <c r="NOM954" s="24"/>
      <c r="NON954" s="24"/>
      <c r="NOO954" s="24"/>
      <c r="NOP954" s="24"/>
      <c r="NOQ954" s="24"/>
      <c r="NOR954" s="24"/>
      <c r="NOS954" s="24"/>
      <c r="NOT954" s="24"/>
      <c r="NOU954" s="24"/>
      <c r="NOV954" s="24"/>
      <c r="NOW954" s="24"/>
      <c r="NOX954" s="24"/>
      <c r="NOY954" s="24"/>
      <c r="NOZ954" s="24"/>
      <c r="NPA954" s="24"/>
      <c r="NPB954" s="24"/>
      <c r="NPC954" s="24"/>
      <c r="NPD954" s="24"/>
      <c r="NPE954" s="24"/>
      <c r="NPF954" s="24"/>
      <c r="NPG954" s="24"/>
      <c r="NPH954" s="24"/>
      <c r="NPI954" s="24"/>
      <c r="NPJ954" s="24"/>
      <c r="NPK954" s="24"/>
      <c r="NPL954" s="24"/>
      <c r="NPM954" s="24"/>
      <c r="NPN954" s="24"/>
      <c r="NPO954" s="24"/>
      <c r="NPP954" s="24"/>
      <c r="NPQ954" s="24"/>
      <c r="NPR954" s="24"/>
      <c r="NPS954" s="24"/>
      <c r="NPT954" s="24"/>
      <c r="NPU954" s="24"/>
      <c r="NPV954" s="24"/>
      <c r="NPW954" s="24"/>
      <c r="NPX954" s="24"/>
      <c r="NPY954" s="24"/>
      <c r="NPZ954" s="24"/>
      <c r="NQA954" s="24"/>
      <c r="NQB954" s="24"/>
      <c r="NQC954" s="24"/>
      <c r="NQD954" s="24"/>
      <c r="NQE954" s="24"/>
      <c r="NQF954" s="24"/>
      <c r="NQG954" s="24"/>
      <c r="NQH954" s="24"/>
      <c r="NQI954" s="24"/>
      <c r="NQJ954" s="24"/>
      <c r="NQK954" s="24"/>
      <c r="NQL954" s="24"/>
      <c r="NQM954" s="24"/>
      <c r="NQN954" s="24"/>
      <c r="NQO954" s="24"/>
      <c r="NQP954" s="24"/>
      <c r="NQQ954" s="24"/>
      <c r="NQR954" s="24"/>
      <c r="NQS954" s="24"/>
      <c r="NQT954" s="24"/>
      <c r="NQU954" s="24"/>
      <c r="NQV954" s="24"/>
      <c r="NQW954" s="24"/>
      <c r="NQX954" s="24"/>
      <c r="NQY954" s="24"/>
      <c r="NQZ954" s="24"/>
      <c r="NRA954" s="24"/>
      <c r="NRB954" s="24"/>
      <c r="NRC954" s="24"/>
      <c r="NRD954" s="24"/>
      <c r="NRE954" s="24"/>
      <c r="NRF954" s="24"/>
      <c r="NRG954" s="24"/>
      <c r="NRH954" s="24"/>
      <c r="NRI954" s="24"/>
      <c r="NRJ954" s="24"/>
      <c r="NRK954" s="24"/>
      <c r="NRL954" s="24"/>
      <c r="NRM954" s="24"/>
      <c r="NRN954" s="24"/>
      <c r="NRO954" s="24"/>
      <c r="NRP954" s="24"/>
      <c r="NRQ954" s="24"/>
      <c r="NRR954" s="24"/>
      <c r="NRS954" s="24"/>
      <c r="NRT954" s="24"/>
      <c r="NRU954" s="24"/>
      <c r="NRV954" s="24"/>
      <c r="NRW954" s="24"/>
      <c r="NRX954" s="24"/>
      <c r="NRY954" s="24"/>
      <c r="NRZ954" s="24"/>
      <c r="NSA954" s="24"/>
      <c r="NSB954" s="24"/>
      <c r="NSC954" s="24"/>
      <c r="NSD954" s="24"/>
      <c r="NSE954" s="24"/>
      <c r="NSF954" s="24"/>
      <c r="NSG954" s="24"/>
      <c r="NSH954" s="24"/>
      <c r="NSI954" s="24"/>
      <c r="NSJ954" s="24"/>
      <c r="NSK954" s="24"/>
      <c r="NSL954" s="24"/>
      <c r="NSM954" s="24"/>
      <c r="NSN954" s="24"/>
      <c r="NSO954" s="24"/>
      <c r="NSP954" s="24"/>
      <c r="NSQ954" s="24"/>
      <c r="NSR954" s="24"/>
      <c r="NSS954" s="24"/>
      <c r="NST954" s="24"/>
      <c r="NSU954" s="24"/>
      <c r="NSV954" s="24"/>
      <c r="NSW954" s="24"/>
      <c r="NSX954" s="24"/>
      <c r="NSY954" s="24"/>
      <c r="NSZ954" s="24"/>
      <c r="NTA954" s="24"/>
      <c r="NTB954" s="24"/>
      <c r="NTC954" s="24"/>
      <c r="NTD954" s="24"/>
      <c r="NTE954" s="24"/>
      <c r="NTF954" s="24"/>
      <c r="NTG954" s="24"/>
      <c r="NTH954" s="24"/>
      <c r="NTI954" s="24"/>
      <c r="NTJ954" s="24"/>
      <c r="NTK954" s="24"/>
      <c r="NTL954" s="24"/>
      <c r="NTM954" s="24"/>
      <c r="NTN954" s="24"/>
      <c r="NTO954" s="24"/>
      <c r="NTP954" s="24"/>
      <c r="NTQ954" s="24"/>
      <c r="NTR954" s="24"/>
      <c r="NTS954" s="24"/>
      <c r="NTT954" s="24"/>
      <c r="NTU954" s="24"/>
      <c r="NTV954" s="24"/>
      <c r="NTW954" s="24"/>
      <c r="NTX954" s="24"/>
      <c r="NTY954" s="24"/>
      <c r="NTZ954" s="24"/>
      <c r="NUA954" s="24"/>
      <c r="NUB954" s="24"/>
      <c r="NUC954" s="24"/>
      <c r="NUD954" s="24"/>
      <c r="NUE954" s="24"/>
      <c r="NUF954" s="24"/>
      <c r="NUG954" s="24"/>
      <c r="NUH954" s="24"/>
      <c r="NUI954" s="24"/>
      <c r="NUJ954" s="24"/>
      <c r="NUK954" s="24"/>
      <c r="NUL954" s="24"/>
      <c r="NUM954" s="24"/>
      <c r="NUN954" s="24"/>
      <c r="NUO954" s="24"/>
      <c r="NUP954" s="24"/>
      <c r="NUQ954" s="24"/>
      <c r="NUR954" s="24"/>
      <c r="NUS954" s="24"/>
      <c r="NUT954" s="24"/>
      <c r="NUU954" s="24"/>
      <c r="NUV954" s="24"/>
      <c r="NUW954" s="24"/>
      <c r="NUX954" s="24"/>
      <c r="NUY954" s="24"/>
      <c r="NUZ954" s="24"/>
      <c r="NVA954" s="24"/>
      <c r="NVB954" s="24"/>
      <c r="NVC954" s="24"/>
      <c r="NVD954" s="24"/>
      <c r="NVE954" s="24"/>
      <c r="NVF954" s="24"/>
      <c r="NVG954" s="24"/>
      <c r="NVH954" s="24"/>
      <c r="NVI954" s="24"/>
      <c r="NVJ954" s="24"/>
      <c r="NVK954" s="24"/>
      <c r="NVL954" s="24"/>
      <c r="NVM954" s="24"/>
      <c r="NVN954" s="24"/>
      <c r="NVO954" s="24"/>
      <c r="NVP954" s="24"/>
      <c r="NVQ954" s="24"/>
      <c r="NVR954" s="24"/>
      <c r="NVS954" s="24"/>
      <c r="NVT954" s="24"/>
      <c r="NVU954" s="24"/>
      <c r="NVV954" s="24"/>
      <c r="NVW954" s="24"/>
      <c r="NVX954" s="24"/>
      <c r="NVY954" s="24"/>
      <c r="NVZ954" s="24"/>
      <c r="NWA954" s="24"/>
      <c r="NWB954" s="24"/>
      <c r="NWC954" s="24"/>
      <c r="NWD954" s="24"/>
      <c r="NWE954" s="24"/>
      <c r="NWF954" s="24"/>
      <c r="NWG954" s="24"/>
      <c r="NWH954" s="24"/>
      <c r="NWI954" s="24"/>
      <c r="NWJ954" s="24"/>
      <c r="NWK954" s="24"/>
      <c r="NWL954" s="24"/>
      <c r="NWM954" s="24"/>
      <c r="NWN954" s="24"/>
      <c r="NWO954" s="24"/>
      <c r="NWP954" s="24"/>
      <c r="NWQ954" s="24"/>
      <c r="NWR954" s="24"/>
      <c r="NWS954" s="24"/>
      <c r="NWT954" s="24"/>
      <c r="NWU954" s="24"/>
      <c r="NWV954" s="24"/>
      <c r="NWW954" s="24"/>
      <c r="NWX954" s="24"/>
      <c r="NWY954" s="24"/>
      <c r="NWZ954" s="24"/>
      <c r="NXA954" s="24"/>
      <c r="NXB954" s="24"/>
      <c r="NXC954" s="24"/>
      <c r="NXD954" s="24"/>
      <c r="NXE954" s="24"/>
      <c r="NXF954" s="24"/>
      <c r="NXG954" s="24"/>
      <c r="NXH954" s="24"/>
      <c r="NXI954" s="24"/>
      <c r="NXJ954" s="24"/>
      <c r="NXK954" s="24"/>
      <c r="NXL954" s="24"/>
      <c r="NXM954" s="24"/>
      <c r="NXN954" s="24"/>
      <c r="NXO954" s="24"/>
      <c r="NXP954" s="24"/>
      <c r="NXQ954" s="24"/>
      <c r="NXR954" s="24"/>
      <c r="NXS954" s="24"/>
      <c r="NXT954" s="24"/>
      <c r="NXU954" s="24"/>
      <c r="NXV954" s="24"/>
      <c r="NXW954" s="24"/>
      <c r="NXX954" s="24"/>
      <c r="NXY954" s="24"/>
      <c r="NXZ954" s="24"/>
      <c r="NYA954" s="24"/>
      <c r="NYB954" s="24"/>
      <c r="NYC954" s="24"/>
      <c r="NYD954" s="24"/>
      <c r="NYE954" s="24"/>
      <c r="NYF954" s="24"/>
      <c r="NYG954" s="24"/>
      <c r="NYH954" s="24"/>
      <c r="NYI954" s="24"/>
      <c r="NYJ954" s="24"/>
      <c r="NYK954" s="24"/>
      <c r="NYL954" s="24"/>
      <c r="NYM954" s="24"/>
      <c r="NYN954" s="24"/>
      <c r="NYO954" s="24"/>
      <c r="NYP954" s="24"/>
      <c r="NYQ954" s="24"/>
      <c r="NYR954" s="24"/>
      <c r="NYS954" s="24"/>
      <c r="NYT954" s="24"/>
      <c r="NYU954" s="24"/>
      <c r="NYV954" s="24"/>
      <c r="NYW954" s="24"/>
      <c r="NYX954" s="24"/>
      <c r="NYY954" s="24"/>
      <c r="NYZ954" s="24"/>
      <c r="NZA954" s="24"/>
      <c r="NZB954" s="24"/>
      <c r="NZC954" s="24"/>
      <c r="NZD954" s="24"/>
      <c r="NZE954" s="24"/>
      <c r="NZF954" s="24"/>
      <c r="NZG954" s="24"/>
      <c r="NZH954" s="24"/>
      <c r="NZI954" s="24"/>
      <c r="NZJ954" s="24"/>
      <c r="NZK954" s="24"/>
      <c r="NZL954" s="24"/>
      <c r="NZM954" s="24"/>
      <c r="NZN954" s="24"/>
      <c r="NZO954" s="24"/>
      <c r="NZP954" s="24"/>
      <c r="NZQ954" s="24"/>
      <c r="NZR954" s="24"/>
      <c r="NZS954" s="24"/>
      <c r="NZT954" s="24"/>
      <c r="NZU954" s="24"/>
      <c r="NZV954" s="24"/>
      <c r="NZW954" s="24"/>
      <c r="NZX954" s="24"/>
      <c r="NZY954" s="24"/>
      <c r="NZZ954" s="24"/>
      <c r="OAA954" s="24"/>
      <c r="OAB954" s="24"/>
      <c r="OAC954" s="24"/>
      <c r="OAD954" s="24"/>
      <c r="OAE954" s="24"/>
      <c r="OAF954" s="24"/>
      <c r="OAG954" s="24"/>
      <c r="OAH954" s="24"/>
      <c r="OAI954" s="24"/>
      <c r="OAJ954" s="24"/>
      <c r="OAK954" s="24"/>
      <c r="OAL954" s="24"/>
      <c r="OAM954" s="24"/>
      <c r="OAN954" s="24"/>
      <c r="OAO954" s="24"/>
      <c r="OAP954" s="24"/>
      <c r="OAQ954" s="24"/>
      <c r="OAR954" s="24"/>
      <c r="OAS954" s="24"/>
      <c r="OAT954" s="24"/>
      <c r="OAU954" s="24"/>
      <c r="OAV954" s="24"/>
      <c r="OAW954" s="24"/>
      <c r="OAX954" s="24"/>
      <c r="OAY954" s="24"/>
      <c r="OAZ954" s="24"/>
      <c r="OBA954" s="24"/>
      <c r="OBB954" s="24"/>
      <c r="OBC954" s="24"/>
      <c r="OBD954" s="24"/>
      <c r="OBE954" s="24"/>
      <c r="OBF954" s="24"/>
      <c r="OBG954" s="24"/>
      <c r="OBH954" s="24"/>
      <c r="OBI954" s="24"/>
      <c r="OBJ954" s="24"/>
      <c r="OBK954" s="24"/>
      <c r="OBL954" s="24"/>
      <c r="OBM954" s="24"/>
      <c r="OBN954" s="24"/>
      <c r="OBO954" s="24"/>
      <c r="OBP954" s="24"/>
      <c r="OBQ954" s="24"/>
      <c r="OBR954" s="24"/>
      <c r="OBS954" s="24"/>
      <c r="OBT954" s="24"/>
      <c r="OBU954" s="24"/>
      <c r="OBV954" s="24"/>
      <c r="OBW954" s="24"/>
      <c r="OBX954" s="24"/>
      <c r="OBY954" s="24"/>
      <c r="OBZ954" s="24"/>
      <c r="OCA954" s="24"/>
      <c r="OCB954" s="24"/>
      <c r="OCC954" s="24"/>
      <c r="OCD954" s="24"/>
      <c r="OCE954" s="24"/>
      <c r="OCF954" s="24"/>
      <c r="OCG954" s="24"/>
      <c r="OCH954" s="24"/>
      <c r="OCI954" s="24"/>
      <c r="OCJ954" s="24"/>
      <c r="OCK954" s="24"/>
      <c r="OCL954" s="24"/>
      <c r="OCM954" s="24"/>
      <c r="OCN954" s="24"/>
      <c r="OCO954" s="24"/>
      <c r="OCP954" s="24"/>
      <c r="OCQ954" s="24"/>
      <c r="OCR954" s="24"/>
      <c r="OCS954" s="24"/>
      <c r="OCT954" s="24"/>
      <c r="OCU954" s="24"/>
      <c r="OCV954" s="24"/>
      <c r="OCW954" s="24"/>
      <c r="OCX954" s="24"/>
      <c r="OCY954" s="24"/>
      <c r="OCZ954" s="24"/>
      <c r="ODA954" s="24"/>
      <c r="ODB954" s="24"/>
      <c r="ODC954" s="24"/>
      <c r="ODD954" s="24"/>
      <c r="ODE954" s="24"/>
      <c r="ODF954" s="24"/>
      <c r="ODG954" s="24"/>
      <c r="ODH954" s="24"/>
      <c r="ODI954" s="24"/>
      <c r="ODJ954" s="24"/>
      <c r="ODK954" s="24"/>
      <c r="ODL954" s="24"/>
      <c r="ODM954" s="24"/>
      <c r="ODN954" s="24"/>
      <c r="ODO954" s="24"/>
      <c r="ODP954" s="24"/>
      <c r="ODQ954" s="24"/>
      <c r="ODR954" s="24"/>
      <c r="ODS954" s="24"/>
      <c r="ODT954" s="24"/>
      <c r="ODU954" s="24"/>
      <c r="ODV954" s="24"/>
      <c r="ODW954" s="24"/>
      <c r="ODX954" s="24"/>
      <c r="ODY954" s="24"/>
      <c r="ODZ954" s="24"/>
      <c r="OEA954" s="24"/>
      <c r="OEB954" s="24"/>
      <c r="OEC954" s="24"/>
      <c r="OED954" s="24"/>
      <c r="OEE954" s="24"/>
      <c r="OEF954" s="24"/>
      <c r="OEG954" s="24"/>
      <c r="OEH954" s="24"/>
      <c r="OEI954" s="24"/>
      <c r="OEJ954" s="24"/>
      <c r="OEK954" s="24"/>
      <c r="OEL954" s="24"/>
      <c r="OEM954" s="24"/>
      <c r="OEN954" s="24"/>
      <c r="OEO954" s="24"/>
      <c r="OEP954" s="24"/>
      <c r="OEQ954" s="24"/>
      <c r="OER954" s="24"/>
      <c r="OES954" s="24"/>
      <c r="OET954" s="24"/>
      <c r="OEU954" s="24"/>
      <c r="OEV954" s="24"/>
      <c r="OEW954" s="24"/>
      <c r="OEX954" s="24"/>
      <c r="OEY954" s="24"/>
      <c r="OEZ954" s="24"/>
      <c r="OFA954" s="24"/>
      <c r="OFB954" s="24"/>
      <c r="OFC954" s="24"/>
      <c r="OFD954" s="24"/>
      <c r="OFE954" s="24"/>
      <c r="OFF954" s="24"/>
      <c r="OFG954" s="24"/>
      <c r="OFH954" s="24"/>
      <c r="OFI954" s="24"/>
      <c r="OFJ954" s="24"/>
      <c r="OFK954" s="24"/>
      <c r="OFL954" s="24"/>
      <c r="OFM954" s="24"/>
      <c r="OFN954" s="24"/>
      <c r="OFO954" s="24"/>
      <c r="OFP954" s="24"/>
      <c r="OFQ954" s="24"/>
      <c r="OFR954" s="24"/>
      <c r="OFS954" s="24"/>
      <c r="OFT954" s="24"/>
      <c r="OFU954" s="24"/>
      <c r="OFV954" s="24"/>
      <c r="OFW954" s="24"/>
      <c r="OFX954" s="24"/>
      <c r="OFY954" s="24"/>
      <c r="OFZ954" s="24"/>
      <c r="OGA954" s="24"/>
      <c r="OGB954" s="24"/>
      <c r="OGC954" s="24"/>
      <c r="OGD954" s="24"/>
      <c r="OGE954" s="24"/>
      <c r="OGF954" s="24"/>
      <c r="OGG954" s="24"/>
      <c r="OGH954" s="24"/>
      <c r="OGI954" s="24"/>
      <c r="OGJ954" s="24"/>
      <c r="OGK954" s="24"/>
      <c r="OGL954" s="24"/>
      <c r="OGM954" s="24"/>
      <c r="OGN954" s="24"/>
      <c r="OGO954" s="24"/>
      <c r="OGP954" s="24"/>
      <c r="OGQ954" s="24"/>
      <c r="OGR954" s="24"/>
      <c r="OGS954" s="24"/>
      <c r="OGT954" s="24"/>
      <c r="OGU954" s="24"/>
      <c r="OGV954" s="24"/>
      <c r="OGW954" s="24"/>
      <c r="OGX954" s="24"/>
      <c r="OGY954" s="24"/>
      <c r="OGZ954" s="24"/>
      <c r="OHA954" s="24"/>
      <c r="OHB954" s="24"/>
      <c r="OHC954" s="24"/>
      <c r="OHD954" s="24"/>
      <c r="OHE954" s="24"/>
      <c r="OHF954" s="24"/>
      <c r="OHG954" s="24"/>
      <c r="OHH954" s="24"/>
      <c r="OHI954" s="24"/>
      <c r="OHJ954" s="24"/>
      <c r="OHK954" s="24"/>
      <c r="OHL954" s="24"/>
      <c r="OHM954" s="24"/>
      <c r="OHN954" s="24"/>
      <c r="OHO954" s="24"/>
      <c r="OHP954" s="24"/>
      <c r="OHQ954" s="24"/>
      <c r="OHR954" s="24"/>
      <c r="OHS954" s="24"/>
      <c r="OHT954" s="24"/>
      <c r="OHU954" s="24"/>
      <c r="OHV954" s="24"/>
      <c r="OHW954" s="24"/>
      <c r="OHX954" s="24"/>
      <c r="OHY954" s="24"/>
      <c r="OHZ954" s="24"/>
      <c r="OIA954" s="24"/>
      <c r="OIB954" s="24"/>
      <c r="OIC954" s="24"/>
      <c r="OID954" s="24"/>
      <c r="OIE954" s="24"/>
      <c r="OIF954" s="24"/>
      <c r="OIG954" s="24"/>
      <c r="OIH954" s="24"/>
      <c r="OII954" s="24"/>
      <c r="OIJ954" s="24"/>
      <c r="OIK954" s="24"/>
      <c r="OIL954" s="24"/>
      <c r="OIM954" s="24"/>
      <c r="OIN954" s="24"/>
      <c r="OIO954" s="24"/>
      <c r="OIP954" s="24"/>
      <c r="OIQ954" s="24"/>
      <c r="OIR954" s="24"/>
      <c r="OIS954" s="24"/>
      <c r="OIT954" s="24"/>
      <c r="OIU954" s="24"/>
      <c r="OIV954" s="24"/>
      <c r="OIW954" s="24"/>
      <c r="OIX954" s="24"/>
      <c r="OIY954" s="24"/>
      <c r="OIZ954" s="24"/>
      <c r="OJA954" s="24"/>
      <c r="OJB954" s="24"/>
      <c r="OJC954" s="24"/>
      <c r="OJD954" s="24"/>
      <c r="OJE954" s="24"/>
      <c r="OJF954" s="24"/>
      <c r="OJG954" s="24"/>
      <c r="OJH954" s="24"/>
      <c r="OJI954" s="24"/>
      <c r="OJJ954" s="24"/>
      <c r="OJK954" s="24"/>
      <c r="OJL954" s="24"/>
      <c r="OJM954" s="24"/>
      <c r="OJN954" s="24"/>
      <c r="OJO954" s="24"/>
      <c r="OJP954" s="24"/>
      <c r="OJQ954" s="24"/>
      <c r="OJR954" s="24"/>
      <c r="OJS954" s="24"/>
      <c r="OJT954" s="24"/>
      <c r="OJU954" s="24"/>
      <c r="OJV954" s="24"/>
      <c r="OJW954" s="24"/>
      <c r="OJX954" s="24"/>
      <c r="OJY954" s="24"/>
      <c r="OJZ954" s="24"/>
      <c r="OKA954" s="24"/>
      <c r="OKB954" s="24"/>
      <c r="OKC954" s="24"/>
      <c r="OKD954" s="24"/>
      <c r="OKE954" s="24"/>
      <c r="OKF954" s="24"/>
      <c r="OKG954" s="24"/>
      <c r="OKH954" s="24"/>
      <c r="OKI954" s="24"/>
      <c r="OKJ954" s="24"/>
      <c r="OKK954" s="24"/>
      <c r="OKL954" s="24"/>
      <c r="OKM954" s="24"/>
      <c r="OKN954" s="24"/>
      <c r="OKO954" s="24"/>
      <c r="OKP954" s="24"/>
      <c r="OKQ954" s="24"/>
      <c r="OKR954" s="24"/>
      <c r="OKS954" s="24"/>
      <c r="OKT954" s="24"/>
      <c r="OKU954" s="24"/>
      <c r="OKV954" s="24"/>
      <c r="OKW954" s="24"/>
      <c r="OKX954" s="24"/>
      <c r="OKY954" s="24"/>
      <c r="OKZ954" s="24"/>
      <c r="OLA954" s="24"/>
      <c r="OLB954" s="24"/>
      <c r="OLC954" s="24"/>
      <c r="OLD954" s="24"/>
      <c r="OLE954" s="24"/>
      <c r="OLF954" s="24"/>
      <c r="OLG954" s="24"/>
      <c r="OLH954" s="24"/>
      <c r="OLI954" s="24"/>
      <c r="OLJ954" s="24"/>
      <c r="OLK954" s="24"/>
      <c r="OLL954" s="24"/>
      <c r="OLM954" s="24"/>
      <c r="OLN954" s="24"/>
      <c r="OLO954" s="24"/>
      <c r="OLP954" s="24"/>
      <c r="OLQ954" s="24"/>
      <c r="OLR954" s="24"/>
      <c r="OLS954" s="24"/>
      <c r="OLT954" s="24"/>
      <c r="OLU954" s="24"/>
      <c r="OLV954" s="24"/>
      <c r="OLW954" s="24"/>
      <c r="OLX954" s="24"/>
      <c r="OLY954" s="24"/>
      <c r="OLZ954" s="24"/>
      <c r="OMA954" s="24"/>
      <c r="OMB954" s="24"/>
      <c r="OMC954" s="24"/>
      <c r="OMD954" s="24"/>
      <c r="OME954" s="24"/>
      <c r="OMF954" s="24"/>
      <c r="OMG954" s="24"/>
      <c r="OMH954" s="24"/>
      <c r="OMI954" s="24"/>
      <c r="OMJ954" s="24"/>
      <c r="OMK954" s="24"/>
      <c r="OML954" s="24"/>
      <c r="OMM954" s="24"/>
      <c r="OMN954" s="24"/>
      <c r="OMO954" s="24"/>
      <c r="OMP954" s="24"/>
      <c r="OMQ954" s="24"/>
      <c r="OMR954" s="24"/>
      <c r="OMS954" s="24"/>
      <c r="OMT954" s="24"/>
      <c r="OMU954" s="24"/>
      <c r="OMV954" s="24"/>
      <c r="OMW954" s="24"/>
      <c r="OMX954" s="24"/>
      <c r="OMY954" s="24"/>
      <c r="OMZ954" s="24"/>
      <c r="ONA954" s="24"/>
      <c r="ONB954" s="24"/>
      <c r="ONC954" s="24"/>
      <c r="OND954" s="24"/>
      <c r="ONE954" s="24"/>
      <c r="ONF954" s="24"/>
      <c r="ONG954" s="24"/>
      <c r="ONH954" s="24"/>
      <c r="ONI954" s="24"/>
      <c r="ONJ954" s="24"/>
      <c r="ONK954" s="24"/>
      <c r="ONL954" s="24"/>
      <c r="ONM954" s="24"/>
      <c r="ONN954" s="24"/>
      <c r="ONO954" s="24"/>
      <c r="ONP954" s="24"/>
      <c r="ONQ954" s="24"/>
      <c r="ONR954" s="24"/>
      <c r="ONS954" s="24"/>
      <c r="ONT954" s="24"/>
      <c r="ONU954" s="24"/>
      <c r="ONV954" s="24"/>
      <c r="ONW954" s="24"/>
      <c r="ONX954" s="24"/>
      <c r="ONY954" s="24"/>
      <c r="ONZ954" s="24"/>
      <c r="OOA954" s="24"/>
      <c r="OOB954" s="24"/>
      <c r="OOC954" s="24"/>
      <c r="OOD954" s="24"/>
      <c r="OOE954" s="24"/>
      <c r="OOF954" s="24"/>
      <c r="OOG954" s="24"/>
      <c r="OOH954" s="24"/>
      <c r="OOI954" s="24"/>
      <c r="OOJ954" s="24"/>
      <c r="OOK954" s="24"/>
      <c r="OOL954" s="24"/>
      <c r="OOM954" s="24"/>
      <c r="OON954" s="24"/>
      <c r="OOO954" s="24"/>
      <c r="OOP954" s="24"/>
      <c r="OOQ954" s="24"/>
      <c r="OOR954" s="24"/>
      <c r="OOS954" s="24"/>
      <c r="OOT954" s="24"/>
      <c r="OOU954" s="24"/>
      <c r="OOV954" s="24"/>
      <c r="OOW954" s="24"/>
      <c r="OOX954" s="24"/>
      <c r="OOY954" s="24"/>
      <c r="OOZ954" s="24"/>
      <c r="OPA954" s="24"/>
      <c r="OPB954" s="24"/>
      <c r="OPC954" s="24"/>
      <c r="OPD954" s="24"/>
      <c r="OPE954" s="24"/>
      <c r="OPF954" s="24"/>
      <c r="OPG954" s="24"/>
      <c r="OPH954" s="24"/>
      <c r="OPI954" s="24"/>
      <c r="OPJ954" s="24"/>
      <c r="OPK954" s="24"/>
      <c r="OPL954" s="24"/>
      <c r="OPM954" s="24"/>
      <c r="OPN954" s="24"/>
      <c r="OPO954" s="24"/>
      <c r="OPP954" s="24"/>
      <c r="OPQ954" s="24"/>
      <c r="OPR954" s="24"/>
      <c r="OPS954" s="24"/>
      <c r="OPT954" s="24"/>
      <c r="OPU954" s="24"/>
      <c r="OPV954" s="24"/>
      <c r="OPW954" s="24"/>
      <c r="OPX954" s="24"/>
      <c r="OPY954" s="24"/>
      <c r="OPZ954" s="24"/>
      <c r="OQA954" s="24"/>
      <c r="OQB954" s="24"/>
      <c r="OQC954" s="24"/>
      <c r="OQD954" s="24"/>
      <c r="OQE954" s="24"/>
      <c r="OQF954" s="24"/>
      <c r="OQG954" s="24"/>
      <c r="OQH954" s="24"/>
      <c r="OQI954" s="24"/>
      <c r="OQJ954" s="24"/>
      <c r="OQK954" s="24"/>
      <c r="OQL954" s="24"/>
      <c r="OQM954" s="24"/>
      <c r="OQN954" s="24"/>
      <c r="OQO954" s="24"/>
      <c r="OQP954" s="24"/>
      <c r="OQQ954" s="24"/>
      <c r="OQR954" s="24"/>
      <c r="OQS954" s="24"/>
      <c r="OQT954" s="24"/>
      <c r="OQU954" s="24"/>
      <c r="OQV954" s="24"/>
      <c r="OQW954" s="24"/>
      <c r="OQX954" s="24"/>
      <c r="OQY954" s="24"/>
      <c r="OQZ954" s="24"/>
      <c r="ORA954" s="24"/>
      <c r="ORB954" s="24"/>
      <c r="ORC954" s="24"/>
      <c r="ORD954" s="24"/>
      <c r="ORE954" s="24"/>
      <c r="ORF954" s="24"/>
      <c r="ORG954" s="24"/>
      <c r="ORH954" s="24"/>
      <c r="ORI954" s="24"/>
      <c r="ORJ954" s="24"/>
      <c r="ORK954" s="24"/>
      <c r="ORL954" s="24"/>
      <c r="ORM954" s="24"/>
      <c r="ORN954" s="24"/>
      <c r="ORO954" s="24"/>
      <c r="ORP954" s="24"/>
      <c r="ORQ954" s="24"/>
      <c r="ORR954" s="24"/>
      <c r="ORS954" s="24"/>
      <c r="ORT954" s="24"/>
      <c r="ORU954" s="24"/>
      <c r="ORV954" s="24"/>
      <c r="ORW954" s="24"/>
      <c r="ORX954" s="24"/>
      <c r="ORY954" s="24"/>
      <c r="ORZ954" s="24"/>
      <c r="OSA954" s="24"/>
      <c r="OSB954" s="24"/>
      <c r="OSC954" s="24"/>
      <c r="OSD954" s="24"/>
      <c r="OSE954" s="24"/>
      <c r="OSF954" s="24"/>
      <c r="OSG954" s="24"/>
      <c r="OSH954" s="24"/>
      <c r="OSI954" s="24"/>
      <c r="OSJ954" s="24"/>
      <c r="OSK954" s="24"/>
      <c r="OSL954" s="24"/>
      <c r="OSM954" s="24"/>
      <c r="OSN954" s="24"/>
      <c r="OSO954" s="24"/>
      <c r="OSP954" s="24"/>
      <c r="OSQ954" s="24"/>
      <c r="OSR954" s="24"/>
      <c r="OSS954" s="24"/>
      <c r="OST954" s="24"/>
      <c r="OSU954" s="24"/>
      <c r="OSV954" s="24"/>
      <c r="OSW954" s="24"/>
      <c r="OSX954" s="24"/>
      <c r="OSY954" s="24"/>
      <c r="OSZ954" s="24"/>
      <c r="OTA954" s="24"/>
      <c r="OTB954" s="24"/>
      <c r="OTC954" s="24"/>
      <c r="OTD954" s="24"/>
      <c r="OTE954" s="24"/>
      <c r="OTF954" s="24"/>
      <c r="OTG954" s="24"/>
      <c r="OTH954" s="24"/>
      <c r="OTI954" s="24"/>
      <c r="OTJ954" s="24"/>
      <c r="OTK954" s="24"/>
      <c r="OTL954" s="24"/>
      <c r="OTM954" s="24"/>
      <c r="OTN954" s="24"/>
      <c r="OTO954" s="24"/>
      <c r="OTP954" s="24"/>
      <c r="OTQ954" s="24"/>
      <c r="OTR954" s="24"/>
      <c r="OTS954" s="24"/>
      <c r="OTT954" s="24"/>
      <c r="OTU954" s="24"/>
      <c r="OTV954" s="24"/>
      <c r="OTW954" s="24"/>
      <c r="OTX954" s="24"/>
      <c r="OTY954" s="24"/>
      <c r="OTZ954" s="24"/>
      <c r="OUA954" s="24"/>
      <c r="OUB954" s="24"/>
      <c r="OUC954" s="24"/>
      <c r="OUD954" s="24"/>
      <c r="OUE954" s="24"/>
      <c r="OUF954" s="24"/>
      <c r="OUG954" s="24"/>
      <c r="OUH954" s="24"/>
      <c r="OUI954" s="24"/>
      <c r="OUJ954" s="24"/>
      <c r="OUK954" s="24"/>
      <c r="OUL954" s="24"/>
      <c r="OUM954" s="24"/>
      <c r="OUN954" s="24"/>
      <c r="OUO954" s="24"/>
      <c r="OUP954" s="24"/>
      <c r="OUQ954" s="24"/>
      <c r="OUR954" s="24"/>
      <c r="OUS954" s="24"/>
      <c r="OUT954" s="24"/>
      <c r="OUU954" s="24"/>
      <c r="OUV954" s="24"/>
      <c r="OUW954" s="24"/>
      <c r="OUX954" s="24"/>
      <c r="OUY954" s="24"/>
      <c r="OUZ954" s="24"/>
      <c r="OVA954" s="24"/>
      <c r="OVB954" s="24"/>
      <c r="OVC954" s="24"/>
      <c r="OVD954" s="24"/>
      <c r="OVE954" s="24"/>
      <c r="OVF954" s="24"/>
      <c r="OVG954" s="24"/>
      <c r="OVH954" s="24"/>
      <c r="OVI954" s="24"/>
      <c r="OVJ954" s="24"/>
      <c r="OVK954" s="24"/>
      <c r="OVL954" s="24"/>
      <c r="OVM954" s="24"/>
      <c r="OVN954" s="24"/>
      <c r="OVO954" s="24"/>
      <c r="OVP954" s="24"/>
      <c r="OVQ954" s="24"/>
      <c r="OVR954" s="24"/>
      <c r="OVS954" s="24"/>
      <c r="OVT954" s="24"/>
      <c r="OVU954" s="24"/>
      <c r="OVV954" s="24"/>
      <c r="OVW954" s="24"/>
      <c r="OVX954" s="24"/>
      <c r="OVY954" s="24"/>
      <c r="OVZ954" s="24"/>
      <c r="OWA954" s="24"/>
      <c r="OWB954" s="24"/>
      <c r="OWC954" s="24"/>
      <c r="OWD954" s="24"/>
      <c r="OWE954" s="24"/>
      <c r="OWF954" s="24"/>
      <c r="OWG954" s="24"/>
      <c r="OWH954" s="24"/>
      <c r="OWI954" s="24"/>
      <c r="OWJ954" s="24"/>
      <c r="OWK954" s="24"/>
      <c r="OWL954" s="24"/>
      <c r="OWM954" s="24"/>
      <c r="OWN954" s="24"/>
      <c r="OWO954" s="24"/>
      <c r="OWP954" s="24"/>
      <c r="OWQ954" s="24"/>
      <c r="OWR954" s="24"/>
      <c r="OWS954" s="24"/>
      <c r="OWT954" s="24"/>
      <c r="OWU954" s="24"/>
      <c r="OWV954" s="24"/>
      <c r="OWW954" s="24"/>
      <c r="OWX954" s="24"/>
      <c r="OWY954" s="24"/>
      <c r="OWZ954" s="24"/>
      <c r="OXA954" s="24"/>
      <c r="OXB954" s="24"/>
      <c r="OXC954" s="24"/>
      <c r="OXD954" s="24"/>
      <c r="OXE954" s="24"/>
      <c r="OXF954" s="24"/>
      <c r="OXG954" s="24"/>
      <c r="OXH954" s="24"/>
      <c r="OXI954" s="24"/>
      <c r="OXJ954" s="24"/>
      <c r="OXK954" s="24"/>
      <c r="OXL954" s="24"/>
      <c r="OXM954" s="24"/>
      <c r="OXN954" s="24"/>
      <c r="OXO954" s="24"/>
      <c r="OXP954" s="24"/>
      <c r="OXQ954" s="24"/>
      <c r="OXR954" s="24"/>
      <c r="OXS954" s="24"/>
      <c r="OXT954" s="24"/>
      <c r="OXU954" s="24"/>
      <c r="OXV954" s="24"/>
      <c r="OXW954" s="24"/>
      <c r="OXX954" s="24"/>
      <c r="OXY954" s="24"/>
      <c r="OXZ954" s="24"/>
      <c r="OYA954" s="24"/>
      <c r="OYB954" s="24"/>
      <c r="OYC954" s="24"/>
      <c r="OYD954" s="24"/>
      <c r="OYE954" s="24"/>
      <c r="OYF954" s="24"/>
      <c r="OYG954" s="24"/>
      <c r="OYH954" s="24"/>
      <c r="OYI954" s="24"/>
      <c r="OYJ954" s="24"/>
      <c r="OYK954" s="24"/>
      <c r="OYL954" s="24"/>
      <c r="OYM954" s="24"/>
      <c r="OYN954" s="24"/>
      <c r="OYO954" s="24"/>
      <c r="OYP954" s="24"/>
      <c r="OYQ954" s="24"/>
      <c r="OYR954" s="24"/>
      <c r="OYS954" s="24"/>
      <c r="OYT954" s="24"/>
      <c r="OYU954" s="24"/>
      <c r="OYV954" s="24"/>
      <c r="OYW954" s="24"/>
      <c r="OYX954" s="24"/>
      <c r="OYY954" s="24"/>
      <c r="OYZ954" s="24"/>
      <c r="OZA954" s="24"/>
      <c r="OZB954" s="24"/>
      <c r="OZC954" s="24"/>
      <c r="OZD954" s="24"/>
      <c r="OZE954" s="24"/>
      <c r="OZF954" s="24"/>
      <c r="OZG954" s="24"/>
      <c r="OZH954" s="24"/>
      <c r="OZI954" s="24"/>
      <c r="OZJ954" s="24"/>
      <c r="OZK954" s="24"/>
      <c r="OZL954" s="24"/>
      <c r="OZM954" s="24"/>
      <c r="OZN954" s="24"/>
      <c r="OZO954" s="24"/>
      <c r="OZP954" s="24"/>
      <c r="OZQ954" s="24"/>
      <c r="OZR954" s="24"/>
      <c r="OZS954" s="24"/>
      <c r="OZT954" s="24"/>
      <c r="OZU954" s="24"/>
      <c r="OZV954" s="24"/>
      <c r="OZW954" s="24"/>
      <c r="OZX954" s="24"/>
      <c r="OZY954" s="24"/>
      <c r="OZZ954" s="24"/>
      <c r="PAA954" s="24"/>
      <c r="PAB954" s="24"/>
      <c r="PAC954" s="24"/>
      <c r="PAD954" s="24"/>
      <c r="PAE954" s="24"/>
      <c r="PAF954" s="24"/>
      <c r="PAG954" s="24"/>
      <c r="PAH954" s="24"/>
      <c r="PAI954" s="24"/>
      <c r="PAJ954" s="24"/>
      <c r="PAK954" s="24"/>
      <c r="PAL954" s="24"/>
      <c r="PAM954" s="24"/>
      <c r="PAN954" s="24"/>
      <c r="PAO954" s="24"/>
      <c r="PAP954" s="24"/>
      <c r="PAQ954" s="24"/>
      <c r="PAR954" s="24"/>
      <c r="PAS954" s="24"/>
      <c r="PAT954" s="24"/>
      <c r="PAU954" s="24"/>
      <c r="PAV954" s="24"/>
      <c r="PAW954" s="24"/>
      <c r="PAX954" s="24"/>
      <c r="PAY954" s="24"/>
      <c r="PAZ954" s="24"/>
      <c r="PBA954" s="24"/>
      <c r="PBB954" s="24"/>
      <c r="PBC954" s="24"/>
      <c r="PBD954" s="24"/>
      <c r="PBE954" s="24"/>
      <c r="PBF954" s="24"/>
      <c r="PBG954" s="24"/>
      <c r="PBH954" s="24"/>
      <c r="PBI954" s="24"/>
      <c r="PBJ954" s="24"/>
      <c r="PBK954" s="24"/>
      <c r="PBL954" s="24"/>
      <c r="PBM954" s="24"/>
      <c r="PBN954" s="24"/>
      <c r="PBO954" s="24"/>
      <c r="PBP954" s="24"/>
      <c r="PBQ954" s="24"/>
      <c r="PBR954" s="24"/>
      <c r="PBS954" s="24"/>
      <c r="PBT954" s="24"/>
      <c r="PBU954" s="24"/>
      <c r="PBV954" s="24"/>
      <c r="PBW954" s="24"/>
      <c r="PBX954" s="24"/>
      <c r="PBY954" s="24"/>
      <c r="PBZ954" s="24"/>
      <c r="PCA954" s="24"/>
      <c r="PCB954" s="24"/>
      <c r="PCC954" s="24"/>
      <c r="PCD954" s="24"/>
      <c r="PCE954" s="24"/>
      <c r="PCF954" s="24"/>
      <c r="PCG954" s="24"/>
      <c r="PCH954" s="24"/>
      <c r="PCI954" s="24"/>
      <c r="PCJ954" s="24"/>
      <c r="PCK954" s="24"/>
      <c r="PCL954" s="24"/>
      <c r="PCM954" s="24"/>
      <c r="PCN954" s="24"/>
      <c r="PCO954" s="24"/>
      <c r="PCP954" s="24"/>
      <c r="PCQ954" s="24"/>
      <c r="PCR954" s="24"/>
      <c r="PCS954" s="24"/>
      <c r="PCT954" s="24"/>
      <c r="PCU954" s="24"/>
      <c r="PCV954" s="24"/>
      <c r="PCW954" s="24"/>
      <c r="PCX954" s="24"/>
      <c r="PCY954" s="24"/>
      <c r="PCZ954" s="24"/>
      <c r="PDA954" s="24"/>
      <c r="PDB954" s="24"/>
      <c r="PDC954" s="24"/>
      <c r="PDD954" s="24"/>
      <c r="PDE954" s="24"/>
      <c r="PDF954" s="24"/>
      <c r="PDG954" s="24"/>
      <c r="PDH954" s="24"/>
      <c r="PDI954" s="24"/>
      <c r="PDJ954" s="24"/>
      <c r="PDK954" s="24"/>
      <c r="PDL954" s="24"/>
      <c r="PDM954" s="24"/>
      <c r="PDN954" s="24"/>
      <c r="PDO954" s="24"/>
      <c r="PDP954" s="24"/>
      <c r="PDQ954" s="24"/>
      <c r="PDR954" s="24"/>
      <c r="PDS954" s="24"/>
      <c r="PDT954" s="24"/>
      <c r="PDU954" s="24"/>
      <c r="PDV954" s="24"/>
      <c r="PDW954" s="24"/>
      <c r="PDX954" s="24"/>
      <c r="PDY954" s="24"/>
      <c r="PDZ954" s="24"/>
      <c r="PEA954" s="24"/>
      <c r="PEB954" s="24"/>
      <c r="PEC954" s="24"/>
      <c r="PED954" s="24"/>
      <c r="PEE954" s="24"/>
      <c r="PEF954" s="24"/>
      <c r="PEG954" s="24"/>
      <c r="PEH954" s="24"/>
      <c r="PEI954" s="24"/>
      <c r="PEJ954" s="24"/>
      <c r="PEK954" s="24"/>
      <c r="PEL954" s="24"/>
      <c r="PEM954" s="24"/>
      <c r="PEN954" s="24"/>
      <c r="PEO954" s="24"/>
      <c r="PEP954" s="24"/>
      <c r="PEQ954" s="24"/>
      <c r="PER954" s="24"/>
      <c r="PES954" s="24"/>
      <c r="PET954" s="24"/>
      <c r="PEU954" s="24"/>
      <c r="PEV954" s="24"/>
      <c r="PEW954" s="24"/>
      <c r="PEX954" s="24"/>
      <c r="PEY954" s="24"/>
      <c r="PEZ954" s="24"/>
      <c r="PFA954" s="24"/>
      <c r="PFB954" s="24"/>
      <c r="PFC954" s="24"/>
      <c r="PFD954" s="24"/>
      <c r="PFE954" s="24"/>
      <c r="PFF954" s="24"/>
      <c r="PFG954" s="24"/>
      <c r="PFH954" s="24"/>
      <c r="PFI954" s="24"/>
      <c r="PFJ954" s="24"/>
      <c r="PFK954" s="24"/>
      <c r="PFL954" s="24"/>
      <c r="PFM954" s="24"/>
      <c r="PFN954" s="24"/>
      <c r="PFO954" s="24"/>
      <c r="PFP954" s="24"/>
      <c r="PFQ954" s="24"/>
      <c r="PFR954" s="24"/>
      <c r="PFS954" s="24"/>
      <c r="PFT954" s="24"/>
      <c r="PFU954" s="24"/>
      <c r="PFV954" s="24"/>
      <c r="PFW954" s="24"/>
      <c r="PFX954" s="24"/>
      <c r="PFY954" s="24"/>
      <c r="PFZ954" s="24"/>
      <c r="PGA954" s="24"/>
      <c r="PGB954" s="24"/>
      <c r="PGC954" s="24"/>
      <c r="PGD954" s="24"/>
      <c r="PGE954" s="24"/>
      <c r="PGF954" s="24"/>
      <c r="PGG954" s="24"/>
      <c r="PGH954" s="24"/>
      <c r="PGI954" s="24"/>
      <c r="PGJ954" s="24"/>
      <c r="PGK954" s="24"/>
      <c r="PGL954" s="24"/>
      <c r="PGM954" s="24"/>
      <c r="PGN954" s="24"/>
      <c r="PGO954" s="24"/>
      <c r="PGP954" s="24"/>
      <c r="PGQ954" s="24"/>
      <c r="PGR954" s="24"/>
      <c r="PGS954" s="24"/>
      <c r="PGT954" s="24"/>
      <c r="PGU954" s="24"/>
      <c r="PGV954" s="24"/>
      <c r="PGW954" s="24"/>
      <c r="PGX954" s="24"/>
      <c r="PGY954" s="24"/>
      <c r="PGZ954" s="24"/>
      <c r="PHA954" s="24"/>
      <c r="PHB954" s="24"/>
      <c r="PHC954" s="24"/>
      <c r="PHD954" s="24"/>
      <c r="PHE954" s="24"/>
      <c r="PHF954" s="24"/>
      <c r="PHG954" s="24"/>
      <c r="PHH954" s="24"/>
      <c r="PHI954" s="24"/>
      <c r="PHJ954" s="24"/>
      <c r="PHK954" s="24"/>
      <c r="PHL954" s="24"/>
      <c r="PHM954" s="24"/>
      <c r="PHN954" s="24"/>
      <c r="PHO954" s="24"/>
      <c r="PHP954" s="24"/>
      <c r="PHQ954" s="24"/>
      <c r="PHR954" s="24"/>
      <c r="PHS954" s="24"/>
      <c r="PHT954" s="24"/>
      <c r="PHU954" s="24"/>
      <c r="PHV954" s="24"/>
      <c r="PHW954" s="24"/>
      <c r="PHX954" s="24"/>
      <c r="PHY954" s="24"/>
      <c r="PHZ954" s="24"/>
      <c r="PIA954" s="24"/>
      <c r="PIB954" s="24"/>
      <c r="PIC954" s="24"/>
      <c r="PID954" s="24"/>
      <c r="PIE954" s="24"/>
      <c r="PIF954" s="24"/>
      <c r="PIG954" s="24"/>
      <c r="PIH954" s="24"/>
      <c r="PII954" s="24"/>
      <c r="PIJ954" s="24"/>
      <c r="PIK954" s="24"/>
      <c r="PIL954" s="24"/>
      <c r="PIM954" s="24"/>
      <c r="PIN954" s="24"/>
      <c r="PIO954" s="24"/>
      <c r="PIP954" s="24"/>
      <c r="PIQ954" s="24"/>
      <c r="PIR954" s="24"/>
      <c r="PIS954" s="24"/>
      <c r="PIT954" s="24"/>
      <c r="PIU954" s="24"/>
      <c r="PIV954" s="24"/>
      <c r="PIW954" s="24"/>
      <c r="PIX954" s="24"/>
      <c r="PIY954" s="24"/>
      <c r="PIZ954" s="24"/>
      <c r="PJA954" s="24"/>
      <c r="PJB954" s="24"/>
      <c r="PJC954" s="24"/>
      <c r="PJD954" s="24"/>
      <c r="PJE954" s="24"/>
      <c r="PJF954" s="24"/>
      <c r="PJG954" s="24"/>
      <c r="PJH954" s="24"/>
      <c r="PJI954" s="24"/>
      <c r="PJJ954" s="24"/>
      <c r="PJK954" s="24"/>
      <c r="PJL954" s="24"/>
      <c r="PJM954" s="24"/>
      <c r="PJN954" s="24"/>
      <c r="PJO954" s="24"/>
      <c r="PJP954" s="24"/>
      <c r="PJQ954" s="24"/>
      <c r="PJR954" s="24"/>
      <c r="PJS954" s="24"/>
      <c r="PJT954" s="24"/>
      <c r="PJU954" s="24"/>
      <c r="PJV954" s="24"/>
      <c r="PJW954" s="24"/>
      <c r="PJX954" s="24"/>
      <c r="PJY954" s="24"/>
      <c r="PJZ954" s="24"/>
      <c r="PKA954" s="24"/>
      <c r="PKB954" s="24"/>
      <c r="PKC954" s="24"/>
      <c r="PKD954" s="24"/>
      <c r="PKE954" s="24"/>
      <c r="PKF954" s="24"/>
      <c r="PKG954" s="24"/>
      <c r="PKH954" s="24"/>
      <c r="PKI954" s="24"/>
      <c r="PKJ954" s="24"/>
      <c r="PKK954" s="24"/>
      <c r="PKL954" s="24"/>
      <c r="PKM954" s="24"/>
      <c r="PKN954" s="24"/>
      <c r="PKO954" s="24"/>
      <c r="PKP954" s="24"/>
      <c r="PKQ954" s="24"/>
      <c r="PKR954" s="24"/>
      <c r="PKS954" s="24"/>
      <c r="PKT954" s="24"/>
      <c r="PKU954" s="24"/>
      <c r="PKV954" s="24"/>
      <c r="PKW954" s="24"/>
      <c r="PKX954" s="24"/>
      <c r="PKY954" s="24"/>
      <c r="PKZ954" s="24"/>
      <c r="PLA954" s="24"/>
      <c r="PLB954" s="24"/>
      <c r="PLC954" s="24"/>
      <c r="PLD954" s="24"/>
      <c r="PLE954" s="24"/>
      <c r="PLF954" s="24"/>
      <c r="PLG954" s="24"/>
      <c r="PLH954" s="24"/>
      <c r="PLI954" s="24"/>
      <c r="PLJ954" s="24"/>
      <c r="PLK954" s="24"/>
      <c r="PLL954" s="24"/>
      <c r="PLM954" s="24"/>
      <c r="PLN954" s="24"/>
      <c r="PLO954" s="24"/>
      <c r="PLP954" s="24"/>
      <c r="PLQ954" s="24"/>
      <c r="PLR954" s="24"/>
      <c r="PLS954" s="24"/>
      <c r="PLT954" s="24"/>
      <c r="PLU954" s="24"/>
      <c r="PLV954" s="24"/>
      <c r="PLW954" s="24"/>
      <c r="PLX954" s="24"/>
      <c r="PLY954" s="24"/>
      <c r="PLZ954" s="24"/>
      <c r="PMA954" s="24"/>
      <c r="PMB954" s="24"/>
      <c r="PMC954" s="24"/>
      <c r="PMD954" s="24"/>
      <c r="PME954" s="24"/>
      <c r="PMF954" s="24"/>
      <c r="PMG954" s="24"/>
      <c r="PMH954" s="24"/>
      <c r="PMI954" s="24"/>
      <c r="PMJ954" s="24"/>
      <c r="PMK954" s="24"/>
      <c r="PML954" s="24"/>
      <c r="PMM954" s="24"/>
      <c r="PMN954" s="24"/>
      <c r="PMO954" s="24"/>
      <c r="PMP954" s="24"/>
      <c r="PMQ954" s="24"/>
      <c r="PMR954" s="24"/>
      <c r="PMS954" s="24"/>
      <c r="PMT954" s="24"/>
      <c r="PMU954" s="24"/>
      <c r="PMV954" s="24"/>
      <c r="PMW954" s="24"/>
      <c r="PMX954" s="24"/>
      <c r="PMY954" s="24"/>
      <c r="PMZ954" s="24"/>
      <c r="PNA954" s="24"/>
      <c r="PNB954" s="24"/>
      <c r="PNC954" s="24"/>
      <c r="PND954" s="24"/>
      <c r="PNE954" s="24"/>
      <c r="PNF954" s="24"/>
      <c r="PNG954" s="24"/>
      <c r="PNH954" s="24"/>
      <c r="PNI954" s="24"/>
      <c r="PNJ954" s="24"/>
      <c r="PNK954" s="24"/>
      <c r="PNL954" s="24"/>
      <c r="PNM954" s="24"/>
      <c r="PNN954" s="24"/>
      <c r="PNO954" s="24"/>
      <c r="PNP954" s="24"/>
      <c r="PNQ954" s="24"/>
      <c r="PNR954" s="24"/>
      <c r="PNS954" s="24"/>
      <c r="PNT954" s="24"/>
      <c r="PNU954" s="24"/>
      <c r="PNV954" s="24"/>
      <c r="PNW954" s="24"/>
      <c r="PNX954" s="24"/>
      <c r="PNY954" s="24"/>
      <c r="PNZ954" s="24"/>
      <c r="POA954" s="24"/>
      <c r="POB954" s="24"/>
      <c r="POC954" s="24"/>
      <c r="POD954" s="24"/>
      <c r="POE954" s="24"/>
      <c r="POF954" s="24"/>
      <c r="POG954" s="24"/>
      <c r="POH954" s="24"/>
      <c r="POI954" s="24"/>
      <c r="POJ954" s="24"/>
      <c r="POK954" s="24"/>
      <c r="POL954" s="24"/>
      <c r="POM954" s="24"/>
      <c r="PON954" s="24"/>
      <c r="POO954" s="24"/>
      <c r="POP954" s="24"/>
      <c r="POQ954" s="24"/>
      <c r="POR954" s="24"/>
      <c r="POS954" s="24"/>
      <c r="POT954" s="24"/>
      <c r="POU954" s="24"/>
      <c r="POV954" s="24"/>
      <c r="POW954" s="24"/>
      <c r="POX954" s="24"/>
      <c r="POY954" s="24"/>
      <c r="POZ954" s="24"/>
      <c r="PPA954" s="24"/>
      <c r="PPB954" s="24"/>
      <c r="PPC954" s="24"/>
      <c r="PPD954" s="24"/>
      <c r="PPE954" s="24"/>
      <c r="PPF954" s="24"/>
      <c r="PPG954" s="24"/>
      <c r="PPH954" s="24"/>
      <c r="PPI954" s="24"/>
      <c r="PPJ954" s="24"/>
      <c r="PPK954" s="24"/>
      <c r="PPL954" s="24"/>
      <c r="PPM954" s="24"/>
      <c r="PPN954" s="24"/>
      <c r="PPO954" s="24"/>
      <c r="PPP954" s="24"/>
      <c r="PPQ954" s="24"/>
      <c r="PPR954" s="24"/>
      <c r="PPS954" s="24"/>
      <c r="PPT954" s="24"/>
      <c r="PPU954" s="24"/>
      <c r="PPV954" s="24"/>
      <c r="PPW954" s="24"/>
      <c r="PPX954" s="24"/>
      <c r="PPY954" s="24"/>
      <c r="PPZ954" s="24"/>
      <c r="PQA954" s="24"/>
      <c r="PQB954" s="24"/>
      <c r="PQC954" s="24"/>
      <c r="PQD954" s="24"/>
      <c r="PQE954" s="24"/>
      <c r="PQF954" s="24"/>
      <c r="PQG954" s="24"/>
      <c r="PQH954" s="24"/>
      <c r="PQI954" s="24"/>
      <c r="PQJ954" s="24"/>
      <c r="PQK954" s="24"/>
      <c r="PQL954" s="24"/>
      <c r="PQM954" s="24"/>
      <c r="PQN954" s="24"/>
      <c r="PQO954" s="24"/>
      <c r="PQP954" s="24"/>
      <c r="PQQ954" s="24"/>
      <c r="PQR954" s="24"/>
      <c r="PQS954" s="24"/>
      <c r="PQT954" s="24"/>
      <c r="PQU954" s="24"/>
      <c r="PQV954" s="24"/>
      <c r="PQW954" s="24"/>
      <c r="PQX954" s="24"/>
      <c r="PQY954" s="24"/>
      <c r="PQZ954" s="24"/>
      <c r="PRA954" s="24"/>
      <c r="PRB954" s="24"/>
      <c r="PRC954" s="24"/>
      <c r="PRD954" s="24"/>
      <c r="PRE954" s="24"/>
      <c r="PRF954" s="24"/>
      <c r="PRG954" s="24"/>
      <c r="PRH954" s="24"/>
      <c r="PRI954" s="24"/>
      <c r="PRJ954" s="24"/>
      <c r="PRK954" s="24"/>
      <c r="PRL954" s="24"/>
      <c r="PRM954" s="24"/>
      <c r="PRN954" s="24"/>
      <c r="PRO954" s="24"/>
      <c r="PRP954" s="24"/>
      <c r="PRQ954" s="24"/>
      <c r="PRR954" s="24"/>
      <c r="PRS954" s="24"/>
      <c r="PRT954" s="24"/>
      <c r="PRU954" s="24"/>
      <c r="PRV954" s="24"/>
      <c r="PRW954" s="24"/>
      <c r="PRX954" s="24"/>
      <c r="PRY954" s="24"/>
      <c r="PRZ954" s="24"/>
      <c r="PSA954" s="24"/>
      <c r="PSB954" s="24"/>
      <c r="PSC954" s="24"/>
      <c r="PSD954" s="24"/>
      <c r="PSE954" s="24"/>
      <c r="PSF954" s="24"/>
      <c r="PSG954" s="24"/>
      <c r="PSH954" s="24"/>
      <c r="PSI954" s="24"/>
      <c r="PSJ954" s="24"/>
      <c r="PSK954" s="24"/>
      <c r="PSL954" s="24"/>
      <c r="PSM954" s="24"/>
      <c r="PSN954" s="24"/>
      <c r="PSO954" s="24"/>
      <c r="PSP954" s="24"/>
      <c r="PSQ954" s="24"/>
      <c r="PSR954" s="24"/>
      <c r="PSS954" s="24"/>
      <c r="PST954" s="24"/>
      <c r="PSU954" s="24"/>
      <c r="PSV954" s="24"/>
      <c r="PSW954" s="24"/>
      <c r="PSX954" s="24"/>
      <c r="PSY954" s="24"/>
      <c r="PSZ954" s="24"/>
      <c r="PTA954" s="24"/>
      <c r="PTB954" s="24"/>
      <c r="PTC954" s="24"/>
      <c r="PTD954" s="24"/>
      <c r="PTE954" s="24"/>
      <c r="PTF954" s="24"/>
      <c r="PTG954" s="24"/>
      <c r="PTH954" s="24"/>
      <c r="PTI954" s="24"/>
      <c r="PTJ954" s="24"/>
      <c r="PTK954" s="24"/>
      <c r="PTL954" s="24"/>
      <c r="PTM954" s="24"/>
      <c r="PTN954" s="24"/>
      <c r="PTO954" s="24"/>
      <c r="PTP954" s="24"/>
      <c r="PTQ954" s="24"/>
      <c r="PTR954" s="24"/>
      <c r="PTS954" s="24"/>
      <c r="PTT954" s="24"/>
      <c r="PTU954" s="24"/>
      <c r="PTV954" s="24"/>
      <c r="PTW954" s="24"/>
      <c r="PTX954" s="24"/>
      <c r="PTY954" s="24"/>
      <c r="PTZ954" s="24"/>
      <c r="PUA954" s="24"/>
      <c r="PUB954" s="24"/>
      <c r="PUC954" s="24"/>
      <c r="PUD954" s="24"/>
      <c r="PUE954" s="24"/>
      <c r="PUF954" s="24"/>
      <c r="PUG954" s="24"/>
      <c r="PUH954" s="24"/>
      <c r="PUI954" s="24"/>
      <c r="PUJ954" s="24"/>
      <c r="PUK954" s="24"/>
      <c r="PUL954" s="24"/>
      <c r="PUM954" s="24"/>
      <c r="PUN954" s="24"/>
      <c r="PUO954" s="24"/>
      <c r="PUP954" s="24"/>
      <c r="PUQ954" s="24"/>
      <c r="PUR954" s="24"/>
      <c r="PUS954" s="24"/>
      <c r="PUT954" s="24"/>
      <c r="PUU954" s="24"/>
      <c r="PUV954" s="24"/>
      <c r="PUW954" s="24"/>
      <c r="PUX954" s="24"/>
      <c r="PUY954" s="24"/>
      <c r="PUZ954" s="24"/>
      <c r="PVA954" s="24"/>
      <c r="PVB954" s="24"/>
      <c r="PVC954" s="24"/>
      <c r="PVD954" s="24"/>
      <c r="PVE954" s="24"/>
      <c r="PVF954" s="24"/>
      <c r="PVG954" s="24"/>
      <c r="PVH954" s="24"/>
      <c r="PVI954" s="24"/>
      <c r="PVJ954" s="24"/>
      <c r="PVK954" s="24"/>
      <c r="PVL954" s="24"/>
      <c r="PVM954" s="24"/>
      <c r="PVN954" s="24"/>
      <c r="PVO954" s="24"/>
      <c r="PVP954" s="24"/>
      <c r="PVQ954" s="24"/>
      <c r="PVR954" s="24"/>
      <c r="PVS954" s="24"/>
      <c r="PVT954" s="24"/>
      <c r="PVU954" s="24"/>
      <c r="PVV954" s="24"/>
      <c r="PVW954" s="24"/>
      <c r="PVX954" s="24"/>
      <c r="PVY954" s="24"/>
      <c r="PVZ954" s="24"/>
      <c r="PWA954" s="24"/>
      <c r="PWB954" s="24"/>
      <c r="PWC954" s="24"/>
      <c r="PWD954" s="24"/>
      <c r="PWE954" s="24"/>
      <c r="PWF954" s="24"/>
      <c r="PWG954" s="24"/>
      <c r="PWH954" s="24"/>
      <c r="PWI954" s="24"/>
      <c r="PWJ954" s="24"/>
      <c r="PWK954" s="24"/>
      <c r="PWL954" s="24"/>
      <c r="PWM954" s="24"/>
      <c r="PWN954" s="24"/>
      <c r="PWO954" s="24"/>
      <c r="PWP954" s="24"/>
      <c r="PWQ954" s="24"/>
      <c r="PWR954" s="24"/>
      <c r="PWS954" s="24"/>
      <c r="PWT954" s="24"/>
      <c r="PWU954" s="24"/>
      <c r="PWV954" s="24"/>
      <c r="PWW954" s="24"/>
      <c r="PWX954" s="24"/>
      <c r="PWY954" s="24"/>
      <c r="PWZ954" s="24"/>
      <c r="PXA954" s="24"/>
      <c r="PXB954" s="24"/>
      <c r="PXC954" s="24"/>
      <c r="PXD954" s="24"/>
      <c r="PXE954" s="24"/>
      <c r="PXF954" s="24"/>
      <c r="PXG954" s="24"/>
      <c r="PXH954" s="24"/>
      <c r="PXI954" s="24"/>
      <c r="PXJ954" s="24"/>
      <c r="PXK954" s="24"/>
      <c r="PXL954" s="24"/>
      <c r="PXM954" s="24"/>
      <c r="PXN954" s="24"/>
      <c r="PXO954" s="24"/>
      <c r="PXP954" s="24"/>
      <c r="PXQ954" s="24"/>
      <c r="PXR954" s="24"/>
      <c r="PXS954" s="24"/>
      <c r="PXT954" s="24"/>
      <c r="PXU954" s="24"/>
      <c r="PXV954" s="24"/>
      <c r="PXW954" s="24"/>
      <c r="PXX954" s="24"/>
      <c r="PXY954" s="24"/>
      <c r="PXZ954" s="24"/>
      <c r="PYA954" s="24"/>
      <c r="PYB954" s="24"/>
      <c r="PYC954" s="24"/>
      <c r="PYD954" s="24"/>
      <c r="PYE954" s="24"/>
      <c r="PYF954" s="24"/>
      <c r="PYG954" s="24"/>
      <c r="PYH954" s="24"/>
      <c r="PYI954" s="24"/>
      <c r="PYJ954" s="24"/>
      <c r="PYK954" s="24"/>
      <c r="PYL954" s="24"/>
      <c r="PYM954" s="24"/>
      <c r="PYN954" s="24"/>
      <c r="PYO954" s="24"/>
      <c r="PYP954" s="24"/>
      <c r="PYQ954" s="24"/>
      <c r="PYR954" s="24"/>
      <c r="PYS954" s="24"/>
      <c r="PYT954" s="24"/>
      <c r="PYU954" s="24"/>
      <c r="PYV954" s="24"/>
      <c r="PYW954" s="24"/>
      <c r="PYX954" s="24"/>
      <c r="PYY954" s="24"/>
      <c r="PYZ954" s="24"/>
      <c r="PZA954" s="24"/>
      <c r="PZB954" s="24"/>
      <c r="PZC954" s="24"/>
      <c r="PZD954" s="24"/>
      <c r="PZE954" s="24"/>
      <c r="PZF954" s="24"/>
      <c r="PZG954" s="24"/>
      <c r="PZH954" s="24"/>
      <c r="PZI954" s="24"/>
      <c r="PZJ954" s="24"/>
      <c r="PZK954" s="24"/>
      <c r="PZL954" s="24"/>
      <c r="PZM954" s="24"/>
      <c r="PZN954" s="24"/>
      <c r="PZO954" s="24"/>
      <c r="PZP954" s="24"/>
      <c r="PZQ954" s="24"/>
      <c r="PZR954" s="24"/>
      <c r="PZS954" s="24"/>
      <c r="PZT954" s="24"/>
      <c r="PZU954" s="24"/>
      <c r="PZV954" s="24"/>
      <c r="PZW954" s="24"/>
      <c r="PZX954" s="24"/>
      <c r="PZY954" s="24"/>
      <c r="PZZ954" s="24"/>
      <c r="QAA954" s="24"/>
      <c r="QAB954" s="24"/>
      <c r="QAC954" s="24"/>
      <c r="QAD954" s="24"/>
      <c r="QAE954" s="24"/>
      <c r="QAF954" s="24"/>
      <c r="QAG954" s="24"/>
      <c r="QAH954" s="24"/>
      <c r="QAI954" s="24"/>
      <c r="QAJ954" s="24"/>
      <c r="QAK954" s="24"/>
      <c r="QAL954" s="24"/>
      <c r="QAM954" s="24"/>
      <c r="QAN954" s="24"/>
      <c r="QAO954" s="24"/>
      <c r="QAP954" s="24"/>
      <c r="QAQ954" s="24"/>
      <c r="QAR954" s="24"/>
      <c r="QAS954" s="24"/>
      <c r="QAT954" s="24"/>
      <c r="QAU954" s="24"/>
      <c r="QAV954" s="24"/>
      <c r="QAW954" s="24"/>
      <c r="QAX954" s="24"/>
      <c r="QAY954" s="24"/>
      <c r="QAZ954" s="24"/>
      <c r="QBA954" s="24"/>
      <c r="QBB954" s="24"/>
      <c r="QBC954" s="24"/>
      <c r="QBD954" s="24"/>
      <c r="QBE954" s="24"/>
      <c r="QBF954" s="24"/>
      <c r="QBG954" s="24"/>
      <c r="QBH954" s="24"/>
      <c r="QBI954" s="24"/>
      <c r="QBJ954" s="24"/>
      <c r="QBK954" s="24"/>
      <c r="QBL954" s="24"/>
      <c r="QBM954" s="24"/>
      <c r="QBN954" s="24"/>
      <c r="QBO954" s="24"/>
      <c r="QBP954" s="24"/>
      <c r="QBQ954" s="24"/>
      <c r="QBR954" s="24"/>
      <c r="QBS954" s="24"/>
      <c r="QBT954" s="24"/>
      <c r="QBU954" s="24"/>
      <c r="QBV954" s="24"/>
      <c r="QBW954" s="24"/>
      <c r="QBX954" s="24"/>
      <c r="QBY954" s="24"/>
      <c r="QBZ954" s="24"/>
      <c r="QCA954" s="24"/>
      <c r="QCB954" s="24"/>
      <c r="QCC954" s="24"/>
      <c r="QCD954" s="24"/>
      <c r="QCE954" s="24"/>
      <c r="QCF954" s="24"/>
      <c r="QCG954" s="24"/>
      <c r="QCH954" s="24"/>
      <c r="QCI954" s="24"/>
      <c r="QCJ954" s="24"/>
      <c r="QCK954" s="24"/>
      <c r="QCL954" s="24"/>
      <c r="QCM954" s="24"/>
      <c r="QCN954" s="24"/>
      <c r="QCO954" s="24"/>
      <c r="QCP954" s="24"/>
      <c r="QCQ954" s="24"/>
      <c r="QCR954" s="24"/>
      <c r="QCS954" s="24"/>
      <c r="QCT954" s="24"/>
      <c r="QCU954" s="24"/>
      <c r="QCV954" s="24"/>
      <c r="QCW954" s="24"/>
      <c r="QCX954" s="24"/>
      <c r="QCY954" s="24"/>
      <c r="QCZ954" s="24"/>
      <c r="QDA954" s="24"/>
      <c r="QDB954" s="24"/>
      <c r="QDC954" s="24"/>
      <c r="QDD954" s="24"/>
      <c r="QDE954" s="24"/>
      <c r="QDF954" s="24"/>
      <c r="QDG954" s="24"/>
      <c r="QDH954" s="24"/>
      <c r="QDI954" s="24"/>
      <c r="QDJ954" s="24"/>
      <c r="QDK954" s="24"/>
      <c r="QDL954" s="24"/>
      <c r="QDM954" s="24"/>
      <c r="QDN954" s="24"/>
      <c r="QDO954" s="24"/>
      <c r="QDP954" s="24"/>
      <c r="QDQ954" s="24"/>
      <c r="QDR954" s="24"/>
      <c r="QDS954" s="24"/>
      <c r="QDT954" s="24"/>
      <c r="QDU954" s="24"/>
      <c r="QDV954" s="24"/>
      <c r="QDW954" s="24"/>
      <c r="QDX954" s="24"/>
      <c r="QDY954" s="24"/>
      <c r="QDZ954" s="24"/>
      <c r="QEA954" s="24"/>
      <c r="QEB954" s="24"/>
      <c r="QEC954" s="24"/>
      <c r="QED954" s="24"/>
      <c r="QEE954" s="24"/>
      <c r="QEF954" s="24"/>
      <c r="QEG954" s="24"/>
      <c r="QEH954" s="24"/>
      <c r="QEI954" s="24"/>
      <c r="QEJ954" s="24"/>
      <c r="QEK954" s="24"/>
      <c r="QEL954" s="24"/>
      <c r="QEM954" s="24"/>
      <c r="QEN954" s="24"/>
      <c r="QEO954" s="24"/>
      <c r="QEP954" s="24"/>
      <c r="QEQ954" s="24"/>
      <c r="QER954" s="24"/>
      <c r="QES954" s="24"/>
      <c r="QET954" s="24"/>
      <c r="QEU954" s="24"/>
      <c r="QEV954" s="24"/>
      <c r="QEW954" s="24"/>
      <c r="QEX954" s="24"/>
      <c r="QEY954" s="24"/>
      <c r="QEZ954" s="24"/>
      <c r="QFA954" s="24"/>
      <c r="QFB954" s="24"/>
      <c r="QFC954" s="24"/>
      <c r="QFD954" s="24"/>
      <c r="QFE954" s="24"/>
      <c r="QFF954" s="24"/>
      <c r="QFG954" s="24"/>
      <c r="QFH954" s="24"/>
      <c r="QFI954" s="24"/>
      <c r="QFJ954" s="24"/>
      <c r="QFK954" s="24"/>
      <c r="QFL954" s="24"/>
      <c r="QFM954" s="24"/>
      <c r="QFN954" s="24"/>
      <c r="QFO954" s="24"/>
      <c r="QFP954" s="24"/>
      <c r="QFQ954" s="24"/>
      <c r="QFR954" s="24"/>
      <c r="QFS954" s="24"/>
      <c r="QFT954" s="24"/>
      <c r="QFU954" s="24"/>
      <c r="QFV954" s="24"/>
      <c r="QFW954" s="24"/>
      <c r="QFX954" s="24"/>
      <c r="QFY954" s="24"/>
      <c r="QFZ954" s="24"/>
      <c r="QGA954" s="24"/>
      <c r="QGB954" s="24"/>
      <c r="QGC954" s="24"/>
      <c r="QGD954" s="24"/>
      <c r="QGE954" s="24"/>
      <c r="QGF954" s="24"/>
      <c r="QGG954" s="24"/>
      <c r="QGH954" s="24"/>
      <c r="QGI954" s="24"/>
      <c r="QGJ954" s="24"/>
      <c r="QGK954" s="24"/>
      <c r="QGL954" s="24"/>
      <c r="QGM954" s="24"/>
      <c r="QGN954" s="24"/>
      <c r="QGO954" s="24"/>
      <c r="QGP954" s="24"/>
      <c r="QGQ954" s="24"/>
      <c r="QGR954" s="24"/>
      <c r="QGS954" s="24"/>
      <c r="QGT954" s="24"/>
      <c r="QGU954" s="24"/>
      <c r="QGV954" s="24"/>
      <c r="QGW954" s="24"/>
      <c r="QGX954" s="24"/>
      <c r="QGY954" s="24"/>
      <c r="QGZ954" s="24"/>
      <c r="QHA954" s="24"/>
      <c r="QHB954" s="24"/>
      <c r="QHC954" s="24"/>
      <c r="QHD954" s="24"/>
      <c r="QHE954" s="24"/>
      <c r="QHF954" s="24"/>
      <c r="QHG954" s="24"/>
      <c r="QHH954" s="24"/>
      <c r="QHI954" s="24"/>
      <c r="QHJ954" s="24"/>
      <c r="QHK954" s="24"/>
      <c r="QHL954" s="24"/>
      <c r="QHM954" s="24"/>
      <c r="QHN954" s="24"/>
      <c r="QHO954" s="24"/>
      <c r="QHP954" s="24"/>
      <c r="QHQ954" s="24"/>
      <c r="QHR954" s="24"/>
      <c r="QHS954" s="24"/>
      <c r="QHT954" s="24"/>
      <c r="QHU954" s="24"/>
      <c r="QHV954" s="24"/>
      <c r="QHW954" s="24"/>
      <c r="QHX954" s="24"/>
      <c r="QHY954" s="24"/>
      <c r="QHZ954" s="24"/>
      <c r="QIA954" s="24"/>
      <c r="QIB954" s="24"/>
      <c r="QIC954" s="24"/>
      <c r="QID954" s="24"/>
      <c r="QIE954" s="24"/>
      <c r="QIF954" s="24"/>
      <c r="QIG954" s="24"/>
      <c r="QIH954" s="24"/>
      <c r="QII954" s="24"/>
      <c r="QIJ954" s="24"/>
      <c r="QIK954" s="24"/>
      <c r="QIL954" s="24"/>
      <c r="QIM954" s="24"/>
      <c r="QIN954" s="24"/>
      <c r="QIO954" s="24"/>
      <c r="QIP954" s="24"/>
      <c r="QIQ954" s="24"/>
      <c r="QIR954" s="24"/>
      <c r="QIS954" s="24"/>
      <c r="QIT954" s="24"/>
      <c r="QIU954" s="24"/>
      <c r="QIV954" s="24"/>
      <c r="QIW954" s="24"/>
      <c r="QIX954" s="24"/>
      <c r="QIY954" s="24"/>
      <c r="QIZ954" s="24"/>
      <c r="QJA954" s="24"/>
      <c r="QJB954" s="24"/>
      <c r="QJC954" s="24"/>
      <c r="QJD954" s="24"/>
      <c r="QJE954" s="24"/>
      <c r="QJF954" s="24"/>
      <c r="QJG954" s="24"/>
      <c r="QJH954" s="24"/>
      <c r="QJI954" s="24"/>
      <c r="QJJ954" s="24"/>
      <c r="QJK954" s="24"/>
      <c r="QJL954" s="24"/>
      <c r="QJM954" s="24"/>
      <c r="QJN954" s="24"/>
      <c r="QJO954" s="24"/>
      <c r="QJP954" s="24"/>
      <c r="QJQ954" s="24"/>
      <c r="QJR954" s="24"/>
      <c r="QJS954" s="24"/>
      <c r="QJT954" s="24"/>
      <c r="QJU954" s="24"/>
      <c r="QJV954" s="24"/>
      <c r="QJW954" s="24"/>
      <c r="QJX954" s="24"/>
      <c r="QJY954" s="24"/>
      <c r="QJZ954" s="24"/>
      <c r="QKA954" s="24"/>
      <c r="QKB954" s="24"/>
      <c r="QKC954" s="24"/>
      <c r="QKD954" s="24"/>
      <c r="QKE954" s="24"/>
      <c r="QKF954" s="24"/>
      <c r="QKG954" s="24"/>
      <c r="QKH954" s="24"/>
      <c r="QKI954" s="24"/>
      <c r="QKJ954" s="24"/>
      <c r="QKK954" s="24"/>
      <c r="QKL954" s="24"/>
      <c r="QKM954" s="24"/>
      <c r="QKN954" s="24"/>
      <c r="QKO954" s="24"/>
      <c r="QKP954" s="24"/>
      <c r="QKQ954" s="24"/>
      <c r="QKR954" s="24"/>
      <c r="QKS954" s="24"/>
      <c r="QKT954" s="24"/>
      <c r="QKU954" s="24"/>
      <c r="QKV954" s="24"/>
      <c r="QKW954" s="24"/>
      <c r="QKX954" s="24"/>
      <c r="QKY954" s="24"/>
      <c r="QKZ954" s="24"/>
      <c r="QLA954" s="24"/>
      <c r="QLB954" s="24"/>
      <c r="QLC954" s="24"/>
      <c r="QLD954" s="24"/>
      <c r="QLE954" s="24"/>
      <c r="QLF954" s="24"/>
      <c r="QLG954" s="24"/>
      <c r="QLH954" s="24"/>
      <c r="QLI954" s="24"/>
      <c r="QLJ954" s="24"/>
      <c r="QLK954" s="24"/>
      <c r="QLL954" s="24"/>
      <c r="QLM954" s="24"/>
      <c r="QLN954" s="24"/>
      <c r="QLO954" s="24"/>
      <c r="QLP954" s="24"/>
      <c r="QLQ954" s="24"/>
      <c r="QLR954" s="24"/>
      <c r="QLS954" s="24"/>
      <c r="QLT954" s="24"/>
      <c r="QLU954" s="24"/>
      <c r="QLV954" s="24"/>
      <c r="QLW954" s="24"/>
      <c r="QLX954" s="24"/>
      <c r="QLY954" s="24"/>
      <c r="QLZ954" s="24"/>
      <c r="QMA954" s="24"/>
      <c r="QMB954" s="24"/>
      <c r="QMC954" s="24"/>
      <c r="QMD954" s="24"/>
      <c r="QME954" s="24"/>
      <c r="QMF954" s="24"/>
      <c r="QMG954" s="24"/>
      <c r="QMH954" s="24"/>
      <c r="QMI954" s="24"/>
      <c r="QMJ954" s="24"/>
      <c r="QMK954" s="24"/>
      <c r="QML954" s="24"/>
      <c r="QMM954" s="24"/>
      <c r="QMN954" s="24"/>
      <c r="QMO954" s="24"/>
      <c r="QMP954" s="24"/>
      <c r="QMQ954" s="24"/>
      <c r="QMR954" s="24"/>
      <c r="QMS954" s="24"/>
      <c r="QMT954" s="24"/>
      <c r="QMU954" s="24"/>
      <c r="QMV954" s="24"/>
      <c r="QMW954" s="24"/>
      <c r="QMX954" s="24"/>
      <c r="QMY954" s="24"/>
      <c r="QMZ954" s="24"/>
      <c r="QNA954" s="24"/>
      <c r="QNB954" s="24"/>
      <c r="QNC954" s="24"/>
      <c r="QND954" s="24"/>
      <c r="QNE954" s="24"/>
      <c r="QNF954" s="24"/>
      <c r="QNG954" s="24"/>
      <c r="QNH954" s="24"/>
      <c r="QNI954" s="24"/>
      <c r="QNJ954" s="24"/>
      <c r="QNK954" s="24"/>
      <c r="QNL954" s="24"/>
      <c r="QNM954" s="24"/>
      <c r="QNN954" s="24"/>
      <c r="QNO954" s="24"/>
      <c r="QNP954" s="24"/>
      <c r="QNQ954" s="24"/>
      <c r="QNR954" s="24"/>
      <c r="QNS954" s="24"/>
      <c r="QNT954" s="24"/>
      <c r="QNU954" s="24"/>
      <c r="QNV954" s="24"/>
      <c r="QNW954" s="24"/>
      <c r="QNX954" s="24"/>
      <c r="QNY954" s="24"/>
      <c r="QNZ954" s="24"/>
      <c r="QOA954" s="24"/>
      <c r="QOB954" s="24"/>
      <c r="QOC954" s="24"/>
      <c r="QOD954" s="24"/>
      <c r="QOE954" s="24"/>
      <c r="QOF954" s="24"/>
      <c r="QOG954" s="24"/>
      <c r="QOH954" s="24"/>
      <c r="QOI954" s="24"/>
      <c r="QOJ954" s="24"/>
      <c r="QOK954" s="24"/>
      <c r="QOL954" s="24"/>
      <c r="QOM954" s="24"/>
      <c r="QON954" s="24"/>
      <c r="QOO954" s="24"/>
      <c r="QOP954" s="24"/>
      <c r="QOQ954" s="24"/>
      <c r="QOR954" s="24"/>
      <c r="QOS954" s="24"/>
      <c r="QOT954" s="24"/>
      <c r="QOU954" s="24"/>
      <c r="QOV954" s="24"/>
      <c r="QOW954" s="24"/>
      <c r="QOX954" s="24"/>
      <c r="QOY954" s="24"/>
      <c r="QOZ954" s="24"/>
      <c r="QPA954" s="24"/>
      <c r="QPB954" s="24"/>
      <c r="QPC954" s="24"/>
      <c r="QPD954" s="24"/>
      <c r="QPE954" s="24"/>
      <c r="QPF954" s="24"/>
      <c r="QPG954" s="24"/>
      <c r="QPH954" s="24"/>
      <c r="QPI954" s="24"/>
      <c r="QPJ954" s="24"/>
      <c r="QPK954" s="24"/>
      <c r="QPL954" s="24"/>
      <c r="QPM954" s="24"/>
      <c r="QPN954" s="24"/>
      <c r="QPO954" s="24"/>
      <c r="QPP954" s="24"/>
      <c r="QPQ954" s="24"/>
      <c r="QPR954" s="24"/>
      <c r="QPS954" s="24"/>
      <c r="QPT954" s="24"/>
      <c r="QPU954" s="24"/>
      <c r="QPV954" s="24"/>
      <c r="QPW954" s="24"/>
      <c r="QPX954" s="24"/>
      <c r="QPY954" s="24"/>
      <c r="QPZ954" s="24"/>
      <c r="QQA954" s="24"/>
      <c r="QQB954" s="24"/>
      <c r="QQC954" s="24"/>
      <c r="QQD954" s="24"/>
      <c r="QQE954" s="24"/>
      <c r="QQF954" s="24"/>
      <c r="QQG954" s="24"/>
      <c r="QQH954" s="24"/>
      <c r="QQI954" s="24"/>
      <c r="QQJ954" s="24"/>
      <c r="QQK954" s="24"/>
      <c r="QQL954" s="24"/>
      <c r="QQM954" s="24"/>
      <c r="QQN954" s="24"/>
      <c r="QQO954" s="24"/>
      <c r="QQP954" s="24"/>
      <c r="QQQ954" s="24"/>
      <c r="QQR954" s="24"/>
      <c r="QQS954" s="24"/>
      <c r="QQT954" s="24"/>
      <c r="QQU954" s="24"/>
      <c r="QQV954" s="24"/>
      <c r="QQW954" s="24"/>
      <c r="QQX954" s="24"/>
      <c r="QQY954" s="24"/>
      <c r="QQZ954" s="24"/>
      <c r="QRA954" s="24"/>
      <c r="QRB954" s="24"/>
      <c r="QRC954" s="24"/>
      <c r="QRD954" s="24"/>
      <c r="QRE954" s="24"/>
      <c r="QRF954" s="24"/>
      <c r="QRG954" s="24"/>
      <c r="QRH954" s="24"/>
      <c r="QRI954" s="24"/>
      <c r="QRJ954" s="24"/>
      <c r="QRK954" s="24"/>
      <c r="QRL954" s="24"/>
      <c r="QRM954" s="24"/>
      <c r="QRN954" s="24"/>
      <c r="QRO954" s="24"/>
      <c r="QRP954" s="24"/>
      <c r="QRQ954" s="24"/>
      <c r="QRR954" s="24"/>
      <c r="QRS954" s="24"/>
      <c r="QRT954" s="24"/>
      <c r="QRU954" s="24"/>
      <c r="QRV954" s="24"/>
      <c r="QRW954" s="24"/>
      <c r="QRX954" s="24"/>
      <c r="QRY954" s="24"/>
      <c r="QRZ954" s="24"/>
      <c r="QSA954" s="24"/>
      <c r="QSB954" s="24"/>
      <c r="QSC954" s="24"/>
      <c r="QSD954" s="24"/>
      <c r="QSE954" s="24"/>
      <c r="QSF954" s="24"/>
      <c r="QSG954" s="24"/>
      <c r="QSH954" s="24"/>
      <c r="QSI954" s="24"/>
      <c r="QSJ954" s="24"/>
      <c r="QSK954" s="24"/>
      <c r="QSL954" s="24"/>
      <c r="QSM954" s="24"/>
      <c r="QSN954" s="24"/>
      <c r="QSO954" s="24"/>
      <c r="QSP954" s="24"/>
      <c r="QSQ954" s="24"/>
      <c r="QSR954" s="24"/>
      <c r="QSS954" s="24"/>
      <c r="QST954" s="24"/>
      <c r="QSU954" s="24"/>
      <c r="QSV954" s="24"/>
      <c r="QSW954" s="24"/>
      <c r="QSX954" s="24"/>
      <c r="QSY954" s="24"/>
      <c r="QSZ954" s="24"/>
      <c r="QTA954" s="24"/>
      <c r="QTB954" s="24"/>
      <c r="QTC954" s="24"/>
      <c r="QTD954" s="24"/>
      <c r="QTE954" s="24"/>
      <c r="QTF954" s="24"/>
      <c r="QTG954" s="24"/>
      <c r="QTH954" s="24"/>
      <c r="QTI954" s="24"/>
      <c r="QTJ954" s="24"/>
      <c r="QTK954" s="24"/>
      <c r="QTL954" s="24"/>
      <c r="QTM954" s="24"/>
      <c r="QTN954" s="24"/>
      <c r="QTO954" s="24"/>
      <c r="QTP954" s="24"/>
      <c r="QTQ954" s="24"/>
      <c r="QTR954" s="24"/>
      <c r="QTS954" s="24"/>
      <c r="QTT954" s="24"/>
      <c r="QTU954" s="24"/>
      <c r="QTV954" s="24"/>
      <c r="QTW954" s="24"/>
      <c r="QTX954" s="24"/>
      <c r="QTY954" s="24"/>
      <c r="QTZ954" s="24"/>
      <c r="QUA954" s="24"/>
      <c r="QUB954" s="24"/>
      <c r="QUC954" s="24"/>
      <c r="QUD954" s="24"/>
      <c r="QUE954" s="24"/>
      <c r="QUF954" s="24"/>
      <c r="QUG954" s="24"/>
      <c r="QUH954" s="24"/>
      <c r="QUI954" s="24"/>
      <c r="QUJ954" s="24"/>
      <c r="QUK954" s="24"/>
      <c r="QUL954" s="24"/>
      <c r="QUM954" s="24"/>
      <c r="QUN954" s="24"/>
      <c r="QUO954" s="24"/>
      <c r="QUP954" s="24"/>
      <c r="QUQ954" s="24"/>
      <c r="QUR954" s="24"/>
      <c r="QUS954" s="24"/>
      <c r="QUT954" s="24"/>
      <c r="QUU954" s="24"/>
      <c r="QUV954" s="24"/>
      <c r="QUW954" s="24"/>
      <c r="QUX954" s="24"/>
      <c r="QUY954" s="24"/>
      <c r="QUZ954" s="24"/>
      <c r="QVA954" s="24"/>
      <c r="QVB954" s="24"/>
      <c r="QVC954" s="24"/>
      <c r="QVD954" s="24"/>
      <c r="QVE954" s="24"/>
      <c r="QVF954" s="24"/>
      <c r="QVG954" s="24"/>
      <c r="QVH954" s="24"/>
      <c r="QVI954" s="24"/>
      <c r="QVJ954" s="24"/>
      <c r="QVK954" s="24"/>
      <c r="QVL954" s="24"/>
      <c r="QVM954" s="24"/>
      <c r="QVN954" s="24"/>
      <c r="QVO954" s="24"/>
      <c r="QVP954" s="24"/>
      <c r="QVQ954" s="24"/>
      <c r="QVR954" s="24"/>
      <c r="QVS954" s="24"/>
      <c r="QVT954" s="24"/>
      <c r="QVU954" s="24"/>
      <c r="QVV954" s="24"/>
      <c r="QVW954" s="24"/>
      <c r="QVX954" s="24"/>
      <c r="QVY954" s="24"/>
      <c r="QVZ954" s="24"/>
      <c r="QWA954" s="24"/>
      <c r="QWB954" s="24"/>
      <c r="QWC954" s="24"/>
      <c r="QWD954" s="24"/>
      <c r="QWE954" s="24"/>
      <c r="QWF954" s="24"/>
      <c r="QWG954" s="24"/>
      <c r="QWH954" s="24"/>
      <c r="QWI954" s="24"/>
      <c r="QWJ954" s="24"/>
      <c r="QWK954" s="24"/>
      <c r="QWL954" s="24"/>
      <c r="QWM954" s="24"/>
      <c r="QWN954" s="24"/>
      <c r="QWO954" s="24"/>
      <c r="QWP954" s="24"/>
      <c r="QWQ954" s="24"/>
      <c r="QWR954" s="24"/>
      <c r="QWS954" s="24"/>
      <c r="QWT954" s="24"/>
      <c r="QWU954" s="24"/>
      <c r="QWV954" s="24"/>
      <c r="QWW954" s="24"/>
      <c r="QWX954" s="24"/>
      <c r="QWY954" s="24"/>
      <c r="QWZ954" s="24"/>
      <c r="QXA954" s="24"/>
      <c r="QXB954" s="24"/>
      <c r="QXC954" s="24"/>
      <c r="QXD954" s="24"/>
      <c r="QXE954" s="24"/>
      <c r="QXF954" s="24"/>
      <c r="QXG954" s="24"/>
      <c r="QXH954" s="24"/>
      <c r="QXI954" s="24"/>
      <c r="QXJ954" s="24"/>
      <c r="QXK954" s="24"/>
      <c r="QXL954" s="24"/>
      <c r="QXM954" s="24"/>
      <c r="QXN954" s="24"/>
      <c r="QXO954" s="24"/>
      <c r="QXP954" s="24"/>
      <c r="QXQ954" s="24"/>
      <c r="QXR954" s="24"/>
      <c r="QXS954" s="24"/>
      <c r="QXT954" s="24"/>
      <c r="QXU954" s="24"/>
      <c r="QXV954" s="24"/>
      <c r="QXW954" s="24"/>
      <c r="QXX954" s="24"/>
      <c r="QXY954" s="24"/>
      <c r="QXZ954" s="24"/>
      <c r="QYA954" s="24"/>
      <c r="QYB954" s="24"/>
      <c r="QYC954" s="24"/>
      <c r="QYD954" s="24"/>
      <c r="QYE954" s="24"/>
      <c r="QYF954" s="24"/>
      <c r="QYG954" s="24"/>
      <c r="QYH954" s="24"/>
      <c r="QYI954" s="24"/>
      <c r="QYJ954" s="24"/>
      <c r="QYK954" s="24"/>
      <c r="QYL954" s="24"/>
      <c r="QYM954" s="24"/>
      <c r="QYN954" s="24"/>
      <c r="QYO954" s="24"/>
      <c r="QYP954" s="24"/>
      <c r="QYQ954" s="24"/>
      <c r="QYR954" s="24"/>
      <c r="QYS954" s="24"/>
      <c r="QYT954" s="24"/>
      <c r="QYU954" s="24"/>
      <c r="QYV954" s="24"/>
      <c r="QYW954" s="24"/>
      <c r="QYX954" s="24"/>
      <c r="QYY954" s="24"/>
      <c r="QYZ954" s="24"/>
      <c r="QZA954" s="24"/>
      <c r="QZB954" s="24"/>
      <c r="QZC954" s="24"/>
      <c r="QZD954" s="24"/>
      <c r="QZE954" s="24"/>
      <c r="QZF954" s="24"/>
      <c r="QZG954" s="24"/>
      <c r="QZH954" s="24"/>
      <c r="QZI954" s="24"/>
      <c r="QZJ954" s="24"/>
      <c r="QZK954" s="24"/>
      <c r="QZL954" s="24"/>
      <c r="QZM954" s="24"/>
      <c r="QZN954" s="24"/>
      <c r="QZO954" s="24"/>
      <c r="QZP954" s="24"/>
      <c r="QZQ954" s="24"/>
      <c r="QZR954" s="24"/>
      <c r="QZS954" s="24"/>
      <c r="QZT954" s="24"/>
      <c r="QZU954" s="24"/>
      <c r="QZV954" s="24"/>
      <c r="QZW954" s="24"/>
      <c r="QZX954" s="24"/>
      <c r="QZY954" s="24"/>
      <c r="QZZ954" s="24"/>
      <c r="RAA954" s="24"/>
      <c r="RAB954" s="24"/>
      <c r="RAC954" s="24"/>
      <c r="RAD954" s="24"/>
      <c r="RAE954" s="24"/>
      <c r="RAF954" s="24"/>
      <c r="RAG954" s="24"/>
      <c r="RAH954" s="24"/>
      <c r="RAI954" s="24"/>
      <c r="RAJ954" s="24"/>
      <c r="RAK954" s="24"/>
      <c r="RAL954" s="24"/>
      <c r="RAM954" s="24"/>
      <c r="RAN954" s="24"/>
      <c r="RAO954" s="24"/>
      <c r="RAP954" s="24"/>
      <c r="RAQ954" s="24"/>
      <c r="RAR954" s="24"/>
      <c r="RAS954" s="24"/>
      <c r="RAT954" s="24"/>
      <c r="RAU954" s="24"/>
      <c r="RAV954" s="24"/>
      <c r="RAW954" s="24"/>
      <c r="RAX954" s="24"/>
      <c r="RAY954" s="24"/>
      <c r="RAZ954" s="24"/>
      <c r="RBA954" s="24"/>
      <c r="RBB954" s="24"/>
      <c r="RBC954" s="24"/>
      <c r="RBD954" s="24"/>
      <c r="RBE954" s="24"/>
      <c r="RBF954" s="24"/>
      <c r="RBG954" s="24"/>
      <c r="RBH954" s="24"/>
      <c r="RBI954" s="24"/>
      <c r="RBJ954" s="24"/>
      <c r="RBK954" s="24"/>
      <c r="RBL954" s="24"/>
      <c r="RBM954" s="24"/>
      <c r="RBN954" s="24"/>
      <c r="RBO954" s="24"/>
      <c r="RBP954" s="24"/>
      <c r="RBQ954" s="24"/>
      <c r="RBR954" s="24"/>
      <c r="RBS954" s="24"/>
      <c r="RBT954" s="24"/>
      <c r="RBU954" s="24"/>
      <c r="RBV954" s="24"/>
      <c r="RBW954" s="24"/>
      <c r="RBX954" s="24"/>
      <c r="RBY954" s="24"/>
      <c r="RBZ954" s="24"/>
      <c r="RCA954" s="24"/>
      <c r="RCB954" s="24"/>
      <c r="RCC954" s="24"/>
      <c r="RCD954" s="24"/>
      <c r="RCE954" s="24"/>
      <c r="RCF954" s="24"/>
      <c r="RCG954" s="24"/>
      <c r="RCH954" s="24"/>
      <c r="RCI954" s="24"/>
      <c r="RCJ954" s="24"/>
      <c r="RCK954" s="24"/>
      <c r="RCL954" s="24"/>
      <c r="RCM954" s="24"/>
      <c r="RCN954" s="24"/>
      <c r="RCO954" s="24"/>
      <c r="RCP954" s="24"/>
      <c r="RCQ954" s="24"/>
      <c r="RCR954" s="24"/>
      <c r="RCS954" s="24"/>
      <c r="RCT954" s="24"/>
      <c r="RCU954" s="24"/>
      <c r="RCV954" s="24"/>
      <c r="RCW954" s="24"/>
      <c r="RCX954" s="24"/>
      <c r="RCY954" s="24"/>
      <c r="RCZ954" s="24"/>
      <c r="RDA954" s="24"/>
      <c r="RDB954" s="24"/>
      <c r="RDC954" s="24"/>
      <c r="RDD954" s="24"/>
      <c r="RDE954" s="24"/>
      <c r="RDF954" s="24"/>
      <c r="RDG954" s="24"/>
      <c r="RDH954" s="24"/>
      <c r="RDI954" s="24"/>
      <c r="RDJ954" s="24"/>
      <c r="RDK954" s="24"/>
      <c r="RDL954" s="24"/>
      <c r="RDM954" s="24"/>
      <c r="RDN954" s="24"/>
      <c r="RDO954" s="24"/>
      <c r="RDP954" s="24"/>
      <c r="RDQ954" s="24"/>
      <c r="RDR954" s="24"/>
      <c r="RDS954" s="24"/>
      <c r="RDT954" s="24"/>
      <c r="RDU954" s="24"/>
      <c r="RDV954" s="24"/>
      <c r="RDW954" s="24"/>
      <c r="RDX954" s="24"/>
      <c r="RDY954" s="24"/>
      <c r="RDZ954" s="24"/>
      <c r="REA954" s="24"/>
      <c r="REB954" s="24"/>
      <c r="REC954" s="24"/>
      <c r="RED954" s="24"/>
      <c r="REE954" s="24"/>
      <c r="REF954" s="24"/>
      <c r="REG954" s="24"/>
      <c r="REH954" s="24"/>
      <c r="REI954" s="24"/>
      <c r="REJ954" s="24"/>
      <c r="REK954" s="24"/>
      <c r="REL954" s="24"/>
      <c r="REM954" s="24"/>
      <c r="REN954" s="24"/>
      <c r="REO954" s="24"/>
      <c r="REP954" s="24"/>
      <c r="REQ954" s="24"/>
      <c r="RER954" s="24"/>
      <c r="RES954" s="24"/>
      <c r="RET954" s="24"/>
      <c r="REU954" s="24"/>
      <c r="REV954" s="24"/>
      <c r="REW954" s="24"/>
      <c r="REX954" s="24"/>
      <c r="REY954" s="24"/>
      <c r="REZ954" s="24"/>
      <c r="RFA954" s="24"/>
      <c r="RFB954" s="24"/>
      <c r="RFC954" s="24"/>
      <c r="RFD954" s="24"/>
      <c r="RFE954" s="24"/>
      <c r="RFF954" s="24"/>
      <c r="RFG954" s="24"/>
      <c r="RFH954" s="24"/>
      <c r="RFI954" s="24"/>
      <c r="RFJ954" s="24"/>
      <c r="RFK954" s="24"/>
      <c r="RFL954" s="24"/>
      <c r="RFM954" s="24"/>
      <c r="RFN954" s="24"/>
      <c r="RFO954" s="24"/>
      <c r="RFP954" s="24"/>
      <c r="RFQ954" s="24"/>
      <c r="RFR954" s="24"/>
      <c r="RFS954" s="24"/>
      <c r="RFT954" s="24"/>
      <c r="RFU954" s="24"/>
      <c r="RFV954" s="24"/>
      <c r="RFW954" s="24"/>
      <c r="RFX954" s="24"/>
      <c r="RFY954" s="24"/>
      <c r="RFZ954" s="24"/>
      <c r="RGA954" s="24"/>
      <c r="RGB954" s="24"/>
      <c r="RGC954" s="24"/>
      <c r="RGD954" s="24"/>
      <c r="RGE954" s="24"/>
      <c r="RGF954" s="24"/>
      <c r="RGG954" s="24"/>
      <c r="RGH954" s="24"/>
      <c r="RGI954" s="24"/>
      <c r="RGJ954" s="24"/>
      <c r="RGK954" s="24"/>
      <c r="RGL954" s="24"/>
      <c r="RGM954" s="24"/>
      <c r="RGN954" s="24"/>
      <c r="RGO954" s="24"/>
      <c r="RGP954" s="24"/>
      <c r="RGQ954" s="24"/>
      <c r="RGR954" s="24"/>
      <c r="RGS954" s="24"/>
      <c r="RGT954" s="24"/>
      <c r="RGU954" s="24"/>
      <c r="RGV954" s="24"/>
      <c r="RGW954" s="24"/>
      <c r="RGX954" s="24"/>
      <c r="RGY954" s="24"/>
      <c r="RGZ954" s="24"/>
      <c r="RHA954" s="24"/>
      <c r="RHB954" s="24"/>
      <c r="RHC954" s="24"/>
      <c r="RHD954" s="24"/>
      <c r="RHE954" s="24"/>
      <c r="RHF954" s="24"/>
      <c r="RHG954" s="24"/>
      <c r="RHH954" s="24"/>
      <c r="RHI954" s="24"/>
      <c r="RHJ954" s="24"/>
      <c r="RHK954" s="24"/>
      <c r="RHL954" s="24"/>
      <c r="RHM954" s="24"/>
      <c r="RHN954" s="24"/>
      <c r="RHO954" s="24"/>
      <c r="RHP954" s="24"/>
      <c r="RHQ954" s="24"/>
      <c r="RHR954" s="24"/>
      <c r="RHS954" s="24"/>
      <c r="RHT954" s="24"/>
      <c r="RHU954" s="24"/>
      <c r="RHV954" s="24"/>
      <c r="RHW954" s="24"/>
      <c r="RHX954" s="24"/>
      <c r="RHY954" s="24"/>
      <c r="RHZ954" s="24"/>
      <c r="RIA954" s="24"/>
      <c r="RIB954" s="24"/>
      <c r="RIC954" s="24"/>
      <c r="RID954" s="24"/>
      <c r="RIE954" s="24"/>
      <c r="RIF954" s="24"/>
      <c r="RIG954" s="24"/>
      <c r="RIH954" s="24"/>
      <c r="RII954" s="24"/>
      <c r="RIJ954" s="24"/>
      <c r="RIK954" s="24"/>
      <c r="RIL954" s="24"/>
      <c r="RIM954" s="24"/>
      <c r="RIN954" s="24"/>
      <c r="RIO954" s="24"/>
      <c r="RIP954" s="24"/>
      <c r="RIQ954" s="24"/>
      <c r="RIR954" s="24"/>
      <c r="RIS954" s="24"/>
      <c r="RIT954" s="24"/>
      <c r="RIU954" s="24"/>
      <c r="RIV954" s="24"/>
      <c r="RIW954" s="24"/>
      <c r="RIX954" s="24"/>
      <c r="RIY954" s="24"/>
      <c r="RIZ954" s="24"/>
      <c r="RJA954" s="24"/>
      <c r="RJB954" s="24"/>
      <c r="RJC954" s="24"/>
      <c r="RJD954" s="24"/>
      <c r="RJE954" s="24"/>
      <c r="RJF954" s="24"/>
      <c r="RJG954" s="24"/>
      <c r="RJH954" s="24"/>
      <c r="RJI954" s="24"/>
      <c r="RJJ954" s="24"/>
      <c r="RJK954" s="24"/>
      <c r="RJL954" s="24"/>
      <c r="RJM954" s="24"/>
      <c r="RJN954" s="24"/>
      <c r="RJO954" s="24"/>
      <c r="RJP954" s="24"/>
      <c r="RJQ954" s="24"/>
      <c r="RJR954" s="24"/>
      <c r="RJS954" s="24"/>
      <c r="RJT954" s="24"/>
      <c r="RJU954" s="24"/>
      <c r="RJV954" s="24"/>
      <c r="RJW954" s="24"/>
      <c r="RJX954" s="24"/>
      <c r="RJY954" s="24"/>
      <c r="RJZ954" s="24"/>
      <c r="RKA954" s="24"/>
      <c r="RKB954" s="24"/>
      <c r="RKC954" s="24"/>
      <c r="RKD954" s="24"/>
      <c r="RKE954" s="24"/>
      <c r="RKF954" s="24"/>
      <c r="RKG954" s="24"/>
      <c r="RKH954" s="24"/>
      <c r="RKI954" s="24"/>
      <c r="RKJ954" s="24"/>
      <c r="RKK954" s="24"/>
      <c r="RKL954" s="24"/>
      <c r="RKM954" s="24"/>
      <c r="RKN954" s="24"/>
      <c r="RKO954" s="24"/>
      <c r="RKP954" s="24"/>
      <c r="RKQ954" s="24"/>
      <c r="RKR954" s="24"/>
      <c r="RKS954" s="24"/>
      <c r="RKT954" s="24"/>
      <c r="RKU954" s="24"/>
      <c r="RKV954" s="24"/>
      <c r="RKW954" s="24"/>
      <c r="RKX954" s="24"/>
      <c r="RKY954" s="24"/>
      <c r="RKZ954" s="24"/>
      <c r="RLA954" s="24"/>
      <c r="RLB954" s="24"/>
      <c r="RLC954" s="24"/>
      <c r="RLD954" s="24"/>
      <c r="RLE954" s="24"/>
      <c r="RLF954" s="24"/>
      <c r="RLG954" s="24"/>
      <c r="RLH954" s="24"/>
      <c r="RLI954" s="24"/>
      <c r="RLJ954" s="24"/>
      <c r="RLK954" s="24"/>
      <c r="RLL954" s="24"/>
      <c r="RLM954" s="24"/>
      <c r="RLN954" s="24"/>
      <c r="RLO954" s="24"/>
      <c r="RLP954" s="24"/>
      <c r="RLQ954" s="24"/>
      <c r="RLR954" s="24"/>
      <c r="RLS954" s="24"/>
      <c r="RLT954" s="24"/>
      <c r="RLU954" s="24"/>
      <c r="RLV954" s="24"/>
      <c r="RLW954" s="24"/>
      <c r="RLX954" s="24"/>
      <c r="RLY954" s="24"/>
      <c r="RLZ954" s="24"/>
      <c r="RMA954" s="24"/>
      <c r="RMB954" s="24"/>
      <c r="RMC954" s="24"/>
      <c r="RMD954" s="24"/>
      <c r="RME954" s="24"/>
      <c r="RMF954" s="24"/>
      <c r="RMG954" s="24"/>
      <c r="RMH954" s="24"/>
      <c r="RMI954" s="24"/>
      <c r="RMJ954" s="24"/>
      <c r="RMK954" s="24"/>
      <c r="RML954" s="24"/>
      <c r="RMM954" s="24"/>
      <c r="RMN954" s="24"/>
      <c r="RMO954" s="24"/>
      <c r="RMP954" s="24"/>
      <c r="RMQ954" s="24"/>
      <c r="RMR954" s="24"/>
      <c r="RMS954" s="24"/>
      <c r="RMT954" s="24"/>
      <c r="RMU954" s="24"/>
      <c r="RMV954" s="24"/>
      <c r="RMW954" s="24"/>
      <c r="RMX954" s="24"/>
      <c r="RMY954" s="24"/>
      <c r="RMZ954" s="24"/>
      <c r="RNA954" s="24"/>
      <c r="RNB954" s="24"/>
      <c r="RNC954" s="24"/>
      <c r="RND954" s="24"/>
      <c r="RNE954" s="24"/>
      <c r="RNF954" s="24"/>
      <c r="RNG954" s="24"/>
      <c r="RNH954" s="24"/>
      <c r="RNI954" s="24"/>
      <c r="RNJ954" s="24"/>
      <c r="RNK954" s="24"/>
      <c r="RNL954" s="24"/>
      <c r="RNM954" s="24"/>
      <c r="RNN954" s="24"/>
      <c r="RNO954" s="24"/>
      <c r="RNP954" s="24"/>
      <c r="RNQ954" s="24"/>
      <c r="RNR954" s="24"/>
      <c r="RNS954" s="24"/>
      <c r="RNT954" s="24"/>
      <c r="RNU954" s="24"/>
      <c r="RNV954" s="24"/>
      <c r="RNW954" s="24"/>
      <c r="RNX954" s="24"/>
      <c r="RNY954" s="24"/>
      <c r="RNZ954" s="24"/>
      <c r="ROA954" s="24"/>
      <c r="ROB954" s="24"/>
      <c r="ROC954" s="24"/>
      <c r="ROD954" s="24"/>
      <c r="ROE954" s="24"/>
      <c r="ROF954" s="24"/>
      <c r="ROG954" s="24"/>
      <c r="ROH954" s="24"/>
      <c r="ROI954" s="24"/>
      <c r="ROJ954" s="24"/>
      <c r="ROK954" s="24"/>
      <c r="ROL954" s="24"/>
      <c r="ROM954" s="24"/>
      <c r="RON954" s="24"/>
      <c r="ROO954" s="24"/>
      <c r="ROP954" s="24"/>
      <c r="ROQ954" s="24"/>
      <c r="ROR954" s="24"/>
      <c r="ROS954" s="24"/>
      <c r="ROT954" s="24"/>
      <c r="ROU954" s="24"/>
      <c r="ROV954" s="24"/>
      <c r="ROW954" s="24"/>
      <c r="ROX954" s="24"/>
      <c r="ROY954" s="24"/>
      <c r="ROZ954" s="24"/>
      <c r="RPA954" s="24"/>
      <c r="RPB954" s="24"/>
      <c r="RPC954" s="24"/>
      <c r="RPD954" s="24"/>
      <c r="RPE954" s="24"/>
      <c r="RPF954" s="24"/>
      <c r="RPG954" s="24"/>
      <c r="RPH954" s="24"/>
      <c r="RPI954" s="24"/>
      <c r="RPJ954" s="24"/>
      <c r="RPK954" s="24"/>
      <c r="RPL954" s="24"/>
      <c r="RPM954" s="24"/>
      <c r="RPN954" s="24"/>
      <c r="RPO954" s="24"/>
      <c r="RPP954" s="24"/>
      <c r="RPQ954" s="24"/>
      <c r="RPR954" s="24"/>
      <c r="RPS954" s="24"/>
      <c r="RPT954" s="24"/>
      <c r="RPU954" s="24"/>
      <c r="RPV954" s="24"/>
      <c r="RPW954" s="24"/>
      <c r="RPX954" s="24"/>
      <c r="RPY954" s="24"/>
      <c r="RPZ954" s="24"/>
      <c r="RQA954" s="24"/>
      <c r="RQB954" s="24"/>
      <c r="RQC954" s="24"/>
      <c r="RQD954" s="24"/>
      <c r="RQE954" s="24"/>
      <c r="RQF954" s="24"/>
      <c r="RQG954" s="24"/>
      <c r="RQH954" s="24"/>
      <c r="RQI954" s="24"/>
      <c r="RQJ954" s="24"/>
      <c r="RQK954" s="24"/>
      <c r="RQL954" s="24"/>
      <c r="RQM954" s="24"/>
      <c r="RQN954" s="24"/>
      <c r="RQO954" s="24"/>
      <c r="RQP954" s="24"/>
      <c r="RQQ954" s="24"/>
      <c r="RQR954" s="24"/>
      <c r="RQS954" s="24"/>
      <c r="RQT954" s="24"/>
      <c r="RQU954" s="24"/>
      <c r="RQV954" s="24"/>
      <c r="RQW954" s="24"/>
      <c r="RQX954" s="24"/>
      <c r="RQY954" s="24"/>
      <c r="RQZ954" s="24"/>
      <c r="RRA954" s="24"/>
      <c r="RRB954" s="24"/>
      <c r="RRC954" s="24"/>
      <c r="RRD954" s="24"/>
      <c r="RRE954" s="24"/>
      <c r="RRF954" s="24"/>
      <c r="RRG954" s="24"/>
      <c r="RRH954" s="24"/>
      <c r="RRI954" s="24"/>
      <c r="RRJ954" s="24"/>
      <c r="RRK954" s="24"/>
      <c r="RRL954" s="24"/>
      <c r="RRM954" s="24"/>
      <c r="RRN954" s="24"/>
      <c r="RRO954" s="24"/>
      <c r="RRP954" s="24"/>
      <c r="RRQ954" s="24"/>
      <c r="RRR954" s="24"/>
      <c r="RRS954" s="24"/>
      <c r="RRT954" s="24"/>
      <c r="RRU954" s="24"/>
      <c r="RRV954" s="24"/>
      <c r="RRW954" s="24"/>
      <c r="RRX954" s="24"/>
      <c r="RRY954" s="24"/>
      <c r="RRZ954" s="24"/>
      <c r="RSA954" s="24"/>
      <c r="RSB954" s="24"/>
      <c r="RSC954" s="24"/>
      <c r="RSD954" s="24"/>
      <c r="RSE954" s="24"/>
      <c r="RSF954" s="24"/>
      <c r="RSG954" s="24"/>
      <c r="RSH954" s="24"/>
      <c r="RSI954" s="24"/>
      <c r="RSJ954" s="24"/>
      <c r="RSK954" s="24"/>
      <c r="RSL954" s="24"/>
      <c r="RSM954" s="24"/>
      <c r="RSN954" s="24"/>
      <c r="RSO954" s="24"/>
      <c r="RSP954" s="24"/>
      <c r="RSQ954" s="24"/>
      <c r="RSR954" s="24"/>
      <c r="RSS954" s="24"/>
      <c r="RST954" s="24"/>
      <c r="RSU954" s="24"/>
      <c r="RSV954" s="24"/>
      <c r="RSW954" s="24"/>
      <c r="RSX954" s="24"/>
      <c r="RSY954" s="24"/>
      <c r="RSZ954" s="24"/>
      <c r="RTA954" s="24"/>
      <c r="RTB954" s="24"/>
      <c r="RTC954" s="24"/>
      <c r="RTD954" s="24"/>
      <c r="RTE954" s="24"/>
      <c r="RTF954" s="24"/>
      <c r="RTG954" s="24"/>
      <c r="RTH954" s="24"/>
      <c r="RTI954" s="24"/>
      <c r="RTJ954" s="24"/>
      <c r="RTK954" s="24"/>
      <c r="RTL954" s="24"/>
      <c r="RTM954" s="24"/>
      <c r="RTN954" s="24"/>
      <c r="RTO954" s="24"/>
      <c r="RTP954" s="24"/>
      <c r="RTQ954" s="24"/>
      <c r="RTR954" s="24"/>
      <c r="RTS954" s="24"/>
      <c r="RTT954" s="24"/>
      <c r="RTU954" s="24"/>
      <c r="RTV954" s="24"/>
      <c r="RTW954" s="24"/>
      <c r="RTX954" s="24"/>
      <c r="RTY954" s="24"/>
      <c r="RTZ954" s="24"/>
      <c r="RUA954" s="24"/>
      <c r="RUB954" s="24"/>
      <c r="RUC954" s="24"/>
      <c r="RUD954" s="24"/>
      <c r="RUE954" s="24"/>
      <c r="RUF954" s="24"/>
      <c r="RUG954" s="24"/>
      <c r="RUH954" s="24"/>
      <c r="RUI954" s="24"/>
      <c r="RUJ954" s="24"/>
      <c r="RUK954" s="24"/>
      <c r="RUL954" s="24"/>
      <c r="RUM954" s="24"/>
      <c r="RUN954" s="24"/>
      <c r="RUO954" s="24"/>
      <c r="RUP954" s="24"/>
      <c r="RUQ954" s="24"/>
      <c r="RUR954" s="24"/>
      <c r="RUS954" s="24"/>
      <c r="RUT954" s="24"/>
      <c r="RUU954" s="24"/>
      <c r="RUV954" s="24"/>
      <c r="RUW954" s="24"/>
      <c r="RUX954" s="24"/>
      <c r="RUY954" s="24"/>
      <c r="RUZ954" s="24"/>
      <c r="RVA954" s="24"/>
      <c r="RVB954" s="24"/>
      <c r="RVC954" s="24"/>
      <c r="RVD954" s="24"/>
      <c r="RVE954" s="24"/>
      <c r="RVF954" s="24"/>
      <c r="RVG954" s="24"/>
      <c r="RVH954" s="24"/>
      <c r="RVI954" s="24"/>
      <c r="RVJ954" s="24"/>
      <c r="RVK954" s="24"/>
      <c r="RVL954" s="24"/>
      <c r="RVM954" s="24"/>
      <c r="RVN954" s="24"/>
      <c r="RVO954" s="24"/>
      <c r="RVP954" s="24"/>
      <c r="RVQ954" s="24"/>
      <c r="RVR954" s="24"/>
      <c r="RVS954" s="24"/>
      <c r="RVT954" s="24"/>
      <c r="RVU954" s="24"/>
      <c r="RVV954" s="24"/>
      <c r="RVW954" s="24"/>
      <c r="RVX954" s="24"/>
      <c r="RVY954" s="24"/>
      <c r="RVZ954" s="24"/>
      <c r="RWA954" s="24"/>
      <c r="RWB954" s="24"/>
      <c r="RWC954" s="24"/>
      <c r="RWD954" s="24"/>
      <c r="RWE954" s="24"/>
      <c r="RWF954" s="24"/>
      <c r="RWG954" s="24"/>
      <c r="RWH954" s="24"/>
      <c r="RWI954" s="24"/>
      <c r="RWJ954" s="24"/>
      <c r="RWK954" s="24"/>
      <c r="RWL954" s="24"/>
      <c r="RWM954" s="24"/>
      <c r="RWN954" s="24"/>
      <c r="RWO954" s="24"/>
      <c r="RWP954" s="24"/>
      <c r="RWQ954" s="24"/>
      <c r="RWR954" s="24"/>
      <c r="RWS954" s="24"/>
      <c r="RWT954" s="24"/>
      <c r="RWU954" s="24"/>
      <c r="RWV954" s="24"/>
      <c r="RWW954" s="24"/>
      <c r="RWX954" s="24"/>
      <c r="RWY954" s="24"/>
      <c r="RWZ954" s="24"/>
      <c r="RXA954" s="24"/>
      <c r="RXB954" s="24"/>
      <c r="RXC954" s="24"/>
      <c r="RXD954" s="24"/>
      <c r="RXE954" s="24"/>
      <c r="RXF954" s="24"/>
      <c r="RXG954" s="24"/>
      <c r="RXH954" s="24"/>
      <c r="RXI954" s="24"/>
      <c r="RXJ954" s="24"/>
      <c r="RXK954" s="24"/>
      <c r="RXL954" s="24"/>
      <c r="RXM954" s="24"/>
      <c r="RXN954" s="24"/>
      <c r="RXO954" s="24"/>
      <c r="RXP954" s="24"/>
      <c r="RXQ954" s="24"/>
      <c r="RXR954" s="24"/>
      <c r="RXS954" s="24"/>
      <c r="RXT954" s="24"/>
      <c r="RXU954" s="24"/>
      <c r="RXV954" s="24"/>
      <c r="RXW954" s="24"/>
      <c r="RXX954" s="24"/>
      <c r="RXY954" s="24"/>
      <c r="RXZ954" s="24"/>
      <c r="RYA954" s="24"/>
      <c r="RYB954" s="24"/>
      <c r="RYC954" s="24"/>
      <c r="RYD954" s="24"/>
      <c r="RYE954" s="24"/>
      <c r="RYF954" s="24"/>
      <c r="RYG954" s="24"/>
      <c r="RYH954" s="24"/>
      <c r="RYI954" s="24"/>
      <c r="RYJ954" s="24"/>
      <c r="RYK954" s="24"/>
      <c r="RYL954" s="24"/>
      <c r="RYM954" s="24"/>
      <c r="RYN954" s="24"/>
      <c r="RYO954" s="24"/>
      <c r="RYP954" s="24"/>
      <c r="RYQ954" s="24"/>
      <c r="RYR954" s="24"/>
      <c r="RYS954" s="24"/>
      <c r="RYT954" s="24"/>
      <c r="RYU954" s="24"/>
      <c r="RYV954" s="24"/>
      <c r="RYW954" s="24"/>
      <c r="RYX954" s="24"/>
      <c r="RYY954" s="24"/>
      <c r="RYZ954" s="24"/>
      <c r="RZA954" s="24"/>
      <c r="RZB954" s="24"/>
      <c r="RZC954" s="24"/>
      <c r="RZD954" s="24"/>
      <c r="RZE954" s="24"/>
      <c r="RZF954" s="24"/>
      <c r="RZG954" s="24"/>
      <c r="RZH954" s="24"/>
      <c r="RZI954" s="24"/>
      <c r="RZJ954" s="24"/>
      <c r="RZK954" s="24"/>
      <c r="RZL954" s="24"/>
      <c r="RZM954" s="24"/>
      <c r="RZN954" s="24"/>
      <c r="RZO954" s="24"/>
      <c r="RZP954" s="24"/>
      <c r="RZQ954" s="24"/>
      <c r="RZR954" s="24"/>
      <c r="RZS954" s="24"/>
      <c r="RZT954" s="24"/>
      <c r="RZU954" s="24"/>
      <c r="RZV954" s="24"/>
      <c r="RZW954" s="24"/>
      <c r="RZX954" s="24"/>
      <c r="RZY954" s="24"/>
      <c r="RZZ954" s="24"/>
      <c r="SAA954" s="24"/>
      <c r="SAB954" s="24"/>
      <c r="SAC954" s="24"/>
      <c r="SAD954" s="24"/>
      <c r="SAE954" s="24"/>
      <c r="SAF954" s="24"/>
      <c r="SAG954" s="24"/>
      <c r="SAH954" s="24"/>
      <c r="SAI954" s="24"/>
      <c r="SAJ954" s="24"/>
      <c r="SAK954" s="24"/>
      <c r="SAL954" s="24"/>
      <c r="SAM954" s="24"/>
      <c r="SAN954" s="24"/>
      <c r="SAO954" s="24"/>
      <c r="SAP954" s="24"/>
      <c r="SAQ954" s="24"/>
      <c r="SAR954" s="24"/>
      <c r="SAS954" s="24"/>
      <c r="SAT954" s="24"/>
      <c r="SAU954" s="24"/>
      <c r="SAV954" s="24"/>
      <c r="SAW954" s="24"/>
      <c r="SAX954" s="24"/>
      <c r="SAY954" s="24"/>
      <c r="SAZ954" s="24"/>
      <c r="SBA954" s="24"/>
      <c r="SBB954" s="24"/>
      <c r="SBC954" s="24"/>
      <c r="SBD954" s="24"/>
      <c r="SBE954" s="24"/>
      <c r="SBF954" s="24"/>
      <c r="SBG954" s="24"/>
      <c r="SBH954" s="24"/>
      <c r="SBI954" s="24"/>
      <c r="SBJ954" s="24"/>
      <c r="SBK954" s="24"/>
      <c r="SBL954" s="24"/>
      <c r="SBM954" s="24"/>
      <c r="SBN954" s="24"/>
      <c r="SBO954" s="24"/>
      <c r="SBP954" s="24"/>
      <c r="SBQ954" s="24"/>
      <c r="SBR954" s="24"/>
      <c r="SBS954" s="24"/>
      <c r="SBT954" s="24"/>
      <c r="SBU954" s="24"/>
      <c r="SBV954" s="24"/>
      <c r="SBW954" s="24"/>
      <c r="SBX954" s="24"/>
      <c r="SBY954" s="24"/>
      <c r="SBZ954" s="24"/>
      <c r="SCA954" s="24"/>
      <c r="SCB954" s="24"/>
      <c r="SCC954" s="24"/>
      <c r="SCD954" s="24"/>
      <c r="SCE954" s="24"/>
      <c r="SCF954" s="24"/>
      <c r="SCG954" s="24"/>
      <c r="SCH954" s="24"/>
      <c r="SCI954" s="24"/>
      <c r="SCJ954" s="24"/>
      <c r="SCK954" s="24"/>
      <c r="SCL954" s="24"/>
      <c r="SCM954" s="24"/>
      <c r="SCN954" s="24"/>
      <c r="SCO954" s="24"/>
      <c r="SCP954" s="24"/>
      <c r="SCQ954" s="24"/>
      <c r="SCR954" s="24"/>
      <c r="SCS954" s="24"/>
      <c r="SCT954" s="24"/>
      <c r="SCU954" s="24"/>
      <c r="SCV954" s="24"/>
      <c r="SCW954" s="24"/>
      <c r="SCX954" s="24"/>
      <c r="SCY954" s="24"/>
      <c r="SCZ954" s="24"/>
      <c r="SDA954" s="24"/>
      <c r="SDB954" s="24"/>
      <c r="SDC954" s="24"/>
      <c r="SDD954" s="24"/>
      <c r="SDE954" s="24"/>
      <c r="SDF954" s="24"/>
      <c r="SDG954" s="24"/>
      <c r="SDH954" s="24"/>
      <c r="SDI954" s="24"/>
      <c r="SDJ954" s="24"/>
      <c r="SDK954" s="24"/>
      <c r="SDL954" s="24"/>
      <c r="SDM954" s="24"/>
      <c r="SDN954" s="24"/>
      <c r="SDO954" s="24"/>
      <c r="SDP954" s="24"/>
      <c r="SDQ954" s="24"/>
      <c r="SDR954" s="24"/>
      <c r="SDS954" s="24"/>
      <c r="SDT954" s="24"/>
      <c r="SDU954" s="24"/>
      <c r="SDV954" s="24"/>
      <c r="SDW954" s="24"/>
      <c r="SDX954" s="24"/>
      <c r="SDY954" s="24"/>
      <c r="SDZ954" s="24"/>
      <c r="SEA954" s="24"/>
      <c r="SEB954" s="24"/>
      <c r="SEC954" s="24"/>
      <c r="SED954" s="24"/>
      <c r="SEE954" s="24"/>
      <c r="SEF954" s="24"/>
      <c r="SEG954" s="24"/>
      <c r="SEH954" s="24"/>
      <c r="SEI954" s="24"/>
      <c r="SEJ954" s="24"/>
      <c r="SEK954" s="24"/>
      <c r="SEL954" s="24"/>
      <c r="SEM954" s="24"/>
      <c r="SEN954" s="24"/>
      <c r="SEO954" s="24"/>
      <c r="SEP954" s="24"/>
      <c r="SEQ954" s="24"/>
      <c r="SER954" s="24"/>
      <c r="SES954" s="24"/>
      <c r="SET954" s="24"/>
      <c r="SEU954" s="24"/>
      <c r="SEV954" s="24"/>
      <c r="SEW954" s="24"/>
      <c r="SEX954" s="24"/>
      <c r="SEY954" s="24"/>
      <c r="SEZ954" s="24"/>
      <c r="SFA954" s="24"/>
      <c r="SFB954" s="24"/>
      <c r="SFC954" s="24"/>
      <c r="SFD954" s="24"/>
      <c r="SFE954" s="24"/>
      <c r="SFF954" s="24"/>
      <c r="SFG954" s="24"/>
      <c r="SFH954" s="24"/>
      <c r="SFI954" s="24"/>
      <c r="SFJ954" s="24"/>
      <c r="SFK954" s="24"/>
      <c r="SFL954" s="24"/>
      <c r="SFM954" s="24"/>
      <c r="SFN954" s="24"/>
      <c r="SFO954" s="24"/>
      <c r="SFP954" s="24"/>
      <c r="SFQ954" s="24"/>
      <c r="SFR954" s="24"/>
      <c r="SFS954" s="24"/>
      <c r="SFT954" s="24"/>
      <c r="SFU954" s="24"/>
      <c r="SFV954" s="24"/>
      <c r="SFW954" s="24"/>
      <c r="SFX954" s="24"/>
      <c r="SFY954" s="24"/>
      <c r="SFZ954" s="24"/>
      <c r="SGA954" s="24"/>
      <c r="SGB954" s="24"/>
      <c r="SGC954" s="24"/>
      <c r="SGD954" s="24"/>
      <c r="SGE954" s="24"/>
      <c r="SGF954" s="24"/>
      <c r="SGG954" s="24"/>
      <c r="SGH954" s="24"/>
      <c r="SGI954" s="24"/>
      <c r="SGJ954" s="24"/>
      <c r="SGK954" s="24"/>
      <c r="SGL954" s="24"/>
      <c r="SGM954" s="24"/>
      <c r="SGN954" s="24"/>
      <c r="SGO954" s="24"/>
      <c r="SGP954" s="24"/>
      <c r="SGQ954" s="24"/>
      <c r="SGR954" s="24"/>
      <c r="SGS954" s="24"/>
      <c r="SGT954" s="24"/>
      <c r="SGU954" s="24"/>
      <c r="SGV954" s="24"/>
      <c r="SGW954" s="24"/>
      <c r="SGX954" s="24"/>
      <c r="SGY954" s="24"/>
      <c r="SGZ954" s="24"/>
      <c r="SHA954" s="24"/>
      <c r="SHB954" s="24"/>
      <c r="SHC954" s="24"/>
      <c r="SHD954" s="24"/>
      <c r="SHE954" s="24"/>
      <c r="SHF954" s="24"/>
      <c r="SHG954" s="24"/>
      <c r="SHH954" s="24"/>
      <c r="SHI954" s="24"/>
      <c r="SHJ954" s="24"/>
      <c r="SHK954" s="24"/>
      <c r="SHL954" s="24"/>
      <c r="SHM954" s="24"/>
      <c r="SHN954" s="24"/>
      <c r="SHO954" s="24"/>
      <c r="SHP954" s="24"/>
      <c r="SHQ954" s="24"/>
      <c r="SHR954" s="24"/>
      <c r="SHS954" s="24"/>
      <c r="SHT954" s="24"/>
      <c r="SHU954" s="24"/>
      <c r="SHV954" s="24"/>
      <c r="SHW954" s="24"/>
      <c r="SHX954" s="24"/>
      <c r="SHY954" s="24"/>
      <c r="SHZ954" s="24"/>
      <c r="SIA954" s="24"/>
      <c r="SIB954" s="24"/>
      <c r="SIC954" s="24"/>
      <c r="SID954" s="24"/>
      <c r="SIE954" s="24"/>
      <c r="SIF954" s="24"/>
      <c r="SIG954" s="24"/>
      <c r="SIH954" s="24"/>
      <c r="SII954" s="24"/>
      <c r="SIJ954" s="24"/>
      <c r="SIK954" s="24"/>
      <c r="SIL954" s="24"/>
      <c r="SIM954" s="24"/>
      <c r="SIN954" s="24"/>
      <c r="SIO954" s="24"/>
      <c r="SIP954" s="24"/>
      <c r="SIQ954" s="24"/>
      <c r="SIR954" s="24"/>
      <c r="SIS954" s="24"/>
      <c r="SIT954" s="24"/>
      <c r="SIU954" s="24"/>
      <c r="SIV954" s="24"/>
      <c r="SIW954" s="24"/>
      <c r="SIX954" s="24"/>
      <c r="SIY954" s="24"/>
      <c r="SIZ954" s="24"/>
      <c r="SJA954" s="24"/>
      <c r="SJB954" s="24"/>
      <c r="SJC954" s="24"/>
      <c r="SJD954" s="24"/>
      <c r="SJE954" s="24"/>
      <c r="SJF954" s="24"/>
      <c r="SJG954" s="24"/>
      <c r="SJH954" s="24"/>
      <c r="SJI954" s="24"/>
      <c r="SJJ954" s="24"/>
      <c r="SJK954" s="24"/>
      <c r="SJL954" s="24"/>
      <c r="SJM954" s="24"/>
      <c r="SJN954" s="24"/>
      <c r="SJO954" s="24"/>
      <c r="SJP954" s="24"/>
      <c r="SJQ954" s="24"/>
      <c r="SJR954" s="24"/>
      <c r="SJS954" s="24"/>
      <c r="SJT954" s="24"/>
      <c r="SJU954" s="24"/>
      <c r="SJV954" s="24"/>
      <c r="SJW954" s="24"/>
      <c r="SJX954" s="24"/>
      <c r="SJY954" s="24"/>
      <c r="SJZ954" s="24"/>
      <c r="SKA954" s="24"/>
      <c r="SKB954" s="24"/>
      <c r="SKC954" s="24"/>
      <c r="SKD954" s="24"/>
      <c r="SKE954" s="24"/>
      <c r="SKF954" s="24"/>
      <c r="SKG954" s="24"/>
      <c r="SKH954" s="24"/>
      <c r="SKI954" s="24"/>
      <c r="SKJ954" s="24"/>
      <c r="SKK954" s="24"/>
      <c r="SKL954" s="24"/>
      <c r="SKM954" s="24"/>
      <c r="SKN954" s="24"/>
      <c r="SKO954" s="24"/>
      <c r="SKP954" s="24"/>
      <c r="SKQ954" s="24"/>
      <c r="SKR954" s="24"/>
      <c r="SKS954" s="24"/>
      <c r="SKT954" s="24"/>
      <c r="SKU954" s="24"/>
      <c r="SKV954" s="24"/>
      <c r="SKW954" s="24"/>
      <c r="SKX954" s="24"/>
      <c r="SKY954" s="24"/>
      <c r="SKZ954" s="24"/>
      <c r="SLA954" s="24"/>
      <c r="SLB954" s="24"/>
      <c r="SLC954" s="24"/>
      <c r="SLD954" s="24"/>
      <c r="SLE954" s="24"/>
      <c r="SLF954" s="24"/>
      <c r="SLG954" s="24"/>
      <c r="SLH954" s="24"/>
      <c r="SLI954" s="24"/>
      <c r="SLJ954" s="24"/>
      <c r="SLK954" s="24"/>
      <c r="SLL954" s="24"/>
      <c r="SLM954" s="24"/>
      <c r="SLN954" s="24"/>
      <c r="SLO954" s="24"/>
      <c r="SLP954" s="24"/>
      <c r="SLQ954" s="24"/>
      <c r="SLR954" s="24"/>
      <c r="SLS954" s="24"/>
      <c r="SLT954" s="24"/>
      <c r="SLU954" s="24"/>
      <c r="SLV954" s="24"/>
      <c r="SLW954" s="24"/>
      <c r="SLX954" s="24"/>
      <c r="SLY954" s="24"/>
      <c r="SLZ954" s="24"/>
      <c r="SMA954" s="24"/>
      <c r="SMB954" s="24"/>
      <c r="SMC954" s="24"/>
      <c r="SMD954" s="24"/>
      <c r="SME954" s="24"/>
      <c r="SMF954" s="24"/>
      <c r="SMG954" s="24"/>
      <c r="SMH954" s="24"/>
      <c r="SMI954" s="24"/>
      <c r="SMJ954" s="24"/>
      <c r="SMK954" s="24"/>
      <c r="SML954" s="24"/>
      <c r="SMM954" s="24"/>
      <c r="SMN954" s="24"/>
      <c r="SMO954" s="24"/>
      <c r="SMP954" s="24"/>
      <c r="SMQ954" s="24"/>
      <c r="SMR954" s="24"/>
      <c r="SMS954" s="24"/>
      <c r="SMT954" s="24"/>
      <c r="SMU954" s="24"/>
      <c r="SMV954" s="24"/>
      <c r="SMW954" s="24"/>
      <c r="SMX954" s="24"/>
      <c r="SMY954" s="24"/>
      <c r="SMZ954" s="24"/>
      <c r="SNA954" s="24"/>
      <c r="SNB954" s="24"/>
      <c r="SNC954" s="24"/>
      <c r="SND954" s="24"/>
      <c r="SNE954" s="24"/>
      <c r="SNF954" s="24"/>
      <c r="SNG954" s="24"/>
      <c r="SNH954" s="24"/>
      <c r="SNI954" s="24"/>
      <c r="SNJ954" s="24"/>
      <c r="SNK954" s="24"/>
      <c r="SNL954" s="24"/>
      <c r="SNM954" s="24"/>
      <c r="SNN954" s="24"/>
      <c r="SNO954" s="24"/>
      <c r="SNP954" s="24"/>
      <c r="SNQ954" s="24"/>
      <c r="SNR954" s="24"/>
      <c r="SNS954" s="24"/>
      <c r="SNT954" s="24"/>
      <c r="SNU954" s="24"/>
      <c r="SNV954" s="24"/>
      <c r="SNW954" s="24"/>
      <c r="SNX954" s="24"/>
      <c r="SNY954" s="24"/>
      <c r="SNZ954" s="24"/>
      <c r="SOA954" s="24"/>
      <c r="SOB954" s="24"/>
      <c r="SOC954" s="24"/>
      <c r="SOD954" s="24"/>
      <c r="SOE954" s="24"/>
      <c r="SOF954" s="24"/>
      <c r="SOG954" s="24"/>
      <c r="SOH954" s="24"/>
      <c r="SOI954" s="24"/>
      <c r="SOJ954" s="24"/>
      <c r="SOK954" s="24"/>
      <c r="SOL954" s="24"/>
      <c r="SOM954" s="24"/>
      <c r="SON954" s="24"/>
      <c r="SOO954" s="24"/>
      <c r="SOP954" s="24"/>
      <c r="SOQ954" s="24"/>
      <c r="SOR954" s="24"/>
      <c r="SOS954" s="24"/>
      <c r="SOT954" s="24"/>
      <c r="SOU954" s="24"/>
      <c r="SOV954" s="24"/>
      <c r="SOW954" s="24"/>
      <c r="SOX954" s="24"/>
      <c r="SOY954" s="24"/>
      <c r="SOZ954" s="24"/>
      <c r="SPA954" s="24"/>
      <c r="SPB954" s="24"/>
      <c r="SPC954" s="24"/>
      <c r="SPD954" s="24"/>
      <c r="SPE954" s="24"/>
      <c r="SPF954" s="24"/>
      <c r="SPG954" s="24"/>
      <c r="SPH954" s="24"/>
      <c r="SPI954" s="24"/>
      <c r="SPJ954" s="24"/>
      <c r="SPK954" s="24"/>
      <c r="SPL954" s="24"/>
      <c r="SPM954" s="24"/>
      <c r="SPN954" s="24"/>
      <c r="SPO954" s="24"/>
      <c r="SPP954" s="24"/>
      <c r="SPQ954" s="24"/>
      <c r="SPR954" s="24"/>
      <c r="SPS954" s="24"/>
      <c r="SPT954" s="24"/>
      <c r="SPU954" s="24"/>
      <c r="SPV954" s="24"/>
      <c r="SPW954" s="24"/>
      <c r="SPX954" s="24"/>
      <c r="SPY954" s="24"/>
      <c r="SPZ954" s="24"/>
      <c r="SQA954" s="24"/>
      <c r="SQB954" s="24"/>
      <c r="SQC954" s="24"/>
      <c r="SQD954" s="24"/>
      <c r="SQE954" s="24"/>
      <c r="SQF954" s="24"/>
      <c r="SQG954" s="24"/>
      <c r="SQH954" s="24"/>
      <c r="SQI954" s="24"/>
      <c r="SQJ954" s="24"/>
      <c r="SQK954" s="24"/>
      <c r="SQL954" s="24"/>
      <c r="SQM954" s="24"/>
      <c r="SQN954" s="24"/>
      <c r="SQO954" s="24"/>
      <c r="SQP954" s="24"/>
      <c r="SQQ954" s="24"/>
      <c r="SQR954" s="24"/>
      <c r="SQS954" s="24"/>
      <c r="SQT954" s="24"/>
      <c r="SQU954" s="24"/>
      <c r="SQV954" s="24"/>
      <c r="SQW954" s="24"/>
      <c r="SQX954" s="24"/>
      <c r="SQY954" s="24"/>
      <c r="SQZ954" s="24"/>
      <c r="SRA954" s="24"/>
      <c r="SRB954" s="24"/>
      <c r="SRC954" s="24"/>
      <c r="SRD954" s="24"/>
      <c r="SRE954" s="24"/>
      <c r="SRF954" s="24"/>
      <c r="SRG954" s="24"/>
      <c r="SRH954" s="24"/>
      <c r="SRI954" s="24"/>
      <c r="SRJ954" s="24"/>
      <c r="SRK954" s="24"/>
      <c r="SRL954" s="24"/>
      <c r="SRM954" s="24"/>
      <c r="SRN954" s="24"/>
      <c r="SRO954" s="24"/>
      <c r="SRP954" s="24"/>
      <c r="SRQ954" s="24"/>
      <c r="SRR954" s="24"/>
      <c r="SRS954" s="24"/>
      <c r="SRT954" s="24"/>
      <c r="SRU954" s="24"/>
      <c r="SRV954" s="24"/>
      <c r="SRW954" s="24"/>
      <c r="SRX954" s="24"/>
      <c r="SRY954" s="24"/>
      <c r="SRZ954" s="24"/>
      <c r="SSA954" s="24"/>
      <c r="SSB954" s="24"/>
      <c r="SSC954" s="24"/>
      <c r="SSD954" s="24"/>
      <c r="SSE954" s="24"/>
      <c r="SSF954" s="24"/>
      <c r="SSG954" s="24"/>
      <c r="SSH954" s="24"/>
      <c r="SSI954" s="24"/>
      <c r="SSJ954" s="24"/>
      <c r="SSK954" s="24"/>
      <c r="SSL954" s="24"/>
      <c r="SSM954" s="24"/>
      <c r="SSN954" s="24"/>
      <c r="SSO954" s="24"/>
      <c r="SSP954" s="24"/>
      <c r="SSQ954" s="24"/>
      <c r="SSR954" s="24"/>
      <c r="SSS954" s="24"/>
      <c r="SST954" s="24"/>
      <c r="SSU954" s="24"/>
      <c r="SSV954" s="24"/>
      <c r="SSW954" s="24"/>
      <c r="SSX954" s="24"/>
      <c r="SSY954" s="24"/>
      <c r="SSZ954" s="24"/>
      <c r="STA954" s="24"/>
      <c r="STB954" s="24"/>
      <c r="STC954" s="24"/>
      <c r="STD954" s="24"/>
      <c r="STE954" s="24"/>
      <c r="STF954" s="24"/>
      <c r="STG954" s="24"/>
      <c r="STH954" s="24"/>
      <c r="STI954" s="24"/>
      <c r="STJ954" s="24"/>
      <c r="STK954" s="24"/>
      <c r="STL954" s="24"/>
      <c r="STM954" s="24"/>
      <c r="STN954" s="24"/>
      <c r="STO954" s="24"/>
      <c r="STP954" s="24"/>
      <c r="STQ954" s="24"/>
      <c r="STR954" s="24"/>
      <c r="STS954" s="24"/>
      <c r="STT954" s="24"/>
      <c r="STU954" s="24"/>
      <c r="STV954" s="24"/>
      <c r="STW954" s="24"/>
      <c r="STX954" s="24"/>
      <c r="STY954" s="24"/>
      <c r="STZ954" s="24"/>
      <c r="SUA954" s="24"/>
      <c r="SUB954" s="24"/>
      <c r="SUC954" s="24"/>
      <c r="SUD954" s="24"/>
      <c r="SUE954" s="24"/>
      <c r="SUF954" s="24"/>
      <c r="SUG954" s="24"/>
      <c r="SUH954" s="24"/>
      <c r="SUI954" s="24"/>
      <c r="SUJ954" s="24"/>
      <c r="SUK954" s="24"/>
      <c r="SUL954" s="24"/>
      <c r="SUM954" s="24"/>
      <c r="SUN954" s="24"/>
      <c r="SUO954" s="24"/>
      <c r="SUP954" s="24"/>
      <c r="SUQ954" s="24"/>
      <c r="SUR954" s="24"/>
      <c r="SUS954" s="24"/>
      <c r="SUT954" s="24"/>
      <c r="SUU954" s="24"/>
      <c r="SUV954" s="24"/>
      <c r="SUW954" s="24"/>
      <c r="SUX954" s="24"/>
      <c r="SUY954" s="24"/>
      <c r="SUZ954" s="24"/>
      <c r="SVA954" s="24"/>
      <c r="SVB954" s="24"/>
      <c r="SVC954" s="24"/>
      <c r="SVD954" s="24"/>
      <c r="SVE954" s="24"/>
      <c r="SVF954" s="24"/>
      <c r="SVG954" s="24"/>
      <c r="SVH954" s="24"/>
      <c r="SVI954" s="24"/>
      <c r="SVJ954" s="24"/>
      <c r="SVK954" s="24"/>
      <c r="SVL954" s="24"/>
      <c r="SVM954" s="24"/>
      <c r="SVN954" s="24"/>
      <c r="SVO954" s="24"/>
      <c r="SVP954" s="24"/>
      <c r="SVQ954" s="24"/>
      <c r="SVR954" s="24"/>
      <c r="SVS954" s="24"/>
      <c r="SVT954" s="24"/>
      <c r="SVU954" s="24"/>
      <c r="SVV954" s="24"/>
      <c r="SVW954" s="24"/>
      <c r="SVX954" s="24"/>
      <c r="SVY954" s="24"/>
      <c r="SVZ954" s="24"/>
      <c r="SWA954" s="24"/>
      <c r="SWB954" s="24"/>
      <c r="SWC954" s="24"/>
      <c r="SWD954" s="24"/>
      <c r="SWE954" s="24"/>
      <c r="SWF954" s="24"/>
      <c r="SWG954" s="24"/>
      <c r="SWH954" s="24"/>
      <c r="SWI954" s="24"/>
      <c r="SWJ954" s="24"/>
      <c r="SWK954" s="24"/>
      <c r="SWL954" s="24"/>
      <c r="SWM954" s="24"/>
      <c r="SWN954" s="24"/>
      <c r="SWO954" s="24"/>
      <c r="SWP954" s="24"/>
      <c r="SWQ954" s="24"/>
      <c r="SWR954" s="24"/>
      <c r="SWS954" s="24"/>
      <c r="SWT954" s="24"/>
      <c r="SWU954" s="24"/>
      <c r="SWV954" s="24"/>
      <c r="SWW954" s="24"/>
      <c r="SWX954" s="24"/>
      <c r="SWY954" s="24"/>
      <c r="SWZ954" s="24"/>
      <c r="SXA954" s="24"/>
      <c r="SXB954" s="24"/>
      <c r="SXC954" s="24"/>
      <c r="SXD954" s="24"/>
      <c r="SXE954" s="24"/>
      <c r="SXF954" s="24"/>
      <c r="SXG954" s="24"/>
      <c r="SXH954" s="24"/>
      <c r="SXI954" s="24"/>
      <c r="SXJ954" s="24"/>
      <c r="SXK954" s="24"/>
      <c r="SXL954" s="24"/>
      <c r="SXM954" s="24"/>
      <c r="SXN954" s="24"/>
      <c r="SXO954" s="24"/>
      <c r="SXP954" s="24"/>
      <c r="SXQ954" s="24"/>
      <c r="SXR954" s="24"/>
      <c r="SXS954" s="24"/>
      <c r="SXT954" s="24"/>
      <c r="SXU954" s="24"/>
      <c r="SXV954" s="24"/>
      <c r="SXW954" s="24"/>
      <c r="SXX954" s="24"/>
      <c r="SXY954" s="24"/>
      <c r="SXZ954" s="24"/>
      <c r="SYA954" s="24"/>
      <c r="SYB954" s="24"/>
      <c r="SYC954" s="24"/>
      <c r="SYD954" s="24"/>
      <c r="SYE954" s="24"/>
      <c r="SYF954" s="24"/>
      <c r="SYG954" s="24"/>
      <c r="SYH954" s="24"/>
      <c r="SYI954" s="24"/>
      <c r="SYJ954" s="24"/>
      <c r="SYK954" s="24"/>
      <c r="SYL954" s="24"/>
      <c r="SYM954" s="24"/>
      <c r="SYN954" s="24"/>
      <c r="SYO954" s="24"/>
      <c r="SYP954" s="24"/>
      <c r="SYQ954" s="24"/>
      <c r="SYR954" s="24"/>
      <c r="SYS954" s="24"/>
      <c r="SYT954" s="24"/>
      <c r="SYU954" s="24"/>
      <c r="SYV954" s="24"/>
      <c r="SYW954" s="24"/>
      <c r="SYX954" s="24"/>
      <c r="SYY954" s="24"/>
      <c r="SYZ954" s="24"/>
      <c r="SZA954" s="24"/>
      <c r="SZB954" s="24"/>
      <c r="SZC954" s="24"/>
      <c r="SZD954" s="24"/>
      <c r="SZE954" s="24"/>
      <c r="SZF954" s="24"/>
      <c r="SZG954" s="24"/>
      <c r="SZH954" s="24"/>
      <c r="SZI954" s="24"/>
      <c r="SZJ954" s="24"/>
      <c r="SZK954" s="24"/>
      <c r="SZL954" s="24"/>
      <c r="SZM954" s="24"/>
      <c r="SZN954" s="24"/>
      <c r="SZO954" s="24"/>
      <c r="SZP954" s="24"/>
      <c r="SZQ954" s="24"/>
      <c r="SZR954" s="24"/>
      <c r="SZS954" s="24"/>
      <c r="SZT954" s="24"/>
      <c r="SZU954" s="24"/>
      <c r="SZV954" s="24"/>
      <c r="SZW954" s="24"/>
      <c r="SZX954" s="24"/>
      <c r="SZY954" s="24"/>
      <c r="SZZ954" s="24"/>
      <c r="TAA954" s="24"/>
      <c r="TAB954" s="24"/>
      <c r="TAC954" s="24"/>
      <c r="TAD954" s="24"/>
      <c r="TAE954" s="24"/>
      <c r="TAF954" s="24"/>
      <c r="TAG954" s="24"/>
      <c r="TAH954" s="24"/>
      <c r="TAI954" s="24"/>
      <c r="TAJ954" s="24"/>
      <c r="TAK954" s="24"/>
      <c r="TAL954" s="24"/>
      <c r="TAM954" s="24"/>
      <c r="TAN954" s="24"/>
      <c r="TAO954" s="24"/>
      <c r="TAP954" s="24"/>
      <c r="TAQ954" s="24"/>
      <c r="TAR954" s="24"/>
      <c r="TAS954" s="24"/>
      <c r="TAT954" s="24"/>
      <c r="TAU954" s="24"/>
      <c r="TAV954" s="24"/>
      <c r="TAW954" s="24"/>
      <c r="TAX954" s="24"/>
      <c r="TAY954" s="24"/>
      <c r="TAZ954" s="24"/>
      <c r="TBA954" s="24"/>
      <c r="TBB954" s="24"/>
      <c r="TBC954" s="24"/>
      <c r="TBD954" s="24"/>
      <c r="TBE954" s="24"/>
      <c r="TBF954" s="24"/>
      <c r="TBG954" s="24"/>
      <c r="TBH954" s="24"/>
      <c r="TBI954" s="24"/>
      <c r="TBJ954" s="24"/>
      <c r="TBK954" s="24"/>
      <c r="TBL954" s="24"/>
      <c r="TBM954" s="24"/>
      <c r="TBN954" s="24"/>
      <c r="TBO954" s="24"/>
      <c r="TBP954" s="24"/>
      <c r="TBQ954" s="24"/>
      <c r="TBR954" s="24"/>
      <c r="TBS954" s="24"/>
      <c r="TBT954" s="24"/>
      <c r="TBU954" s="24"/>
      <c r="TBV954" s="24"/>
      <c r="TBW954" s="24"/>
      <c r="TBX954" s="24"/>
      <c r="TBY954" s="24"/>
      <c r="TBZ954" s="24"/>
      <c r="TCA954" s="24"/>
      <c r="TCB954" s="24"/>
      <c r="TCC954" s="24"/>
      <c r="TCD954" s="24"/>
      <c r="TCE954" s="24"/>
      <c r="TCF954" s="24"/>
      <c r="TCG954" s="24"/>
      <c r="TCH954" s="24"/>
      <c r="TCI954" s="24"/>
      <c r="TCJ954" s="24"/>
      <c r="TCK954" s="24"/>
      <c r="TCL954" s="24"/>
      <c r="TCM954" s="24"/>
      <c r="TCN954" s="24"/>
      <c r="TCO954" s="24"/>
      <c r="TCP954" s="24"/>
      <c r="TCQ954" s="24"/>
      <c r="TCR954" s="24"/>
      <c r="TCS954" s="24"/>
      <c r="TCT954" s="24"/>
      <c r="TCU954" s="24"/>
      <c r="TCV954" s="24"/>
      <c r="TCW954" s="24"/>
      <c r="TCX954" s="24"/>
      <c r="TCY954" s="24"/>
      <c r="TCZ954" s="24"/>
      <c r="TDA954" s="24"/>
      <c r="TDB954" s="24"/>
      <c r="TDC954" s="24"/>
      <c r="TDD954" s="24"/>
      <c r="TDE954" s="24"/>
      <c r="TDF954" s="24"/>
      <c r="TDG954" s="24"/>
      <c r="TDH954" s="24"/>
      <c r="TDI954" s="24"/>
      <c r="TDJ954" s="24"/>
      <c r="TDK954" s="24"/>
      <c r="TDL954" s="24"/>
      <c r="TDM954" s="24"/>
      <c r="TDN954" s="24"/>
      <c r="TDO954" s="24"/>
      <c r="TDP954" s="24"/>
      <c r="TDQ954" s="24"/>
      <c r="TDR954" s="24"/>
      <c r="TDS954" s="24"/>
      <c r="TDT954" s="24"/>
      <c r="TDU954" s="24"/>
      <c r="TDV954" s="24"/>
      <c r="TDW954" s="24"/>
      <c r="TDX954" s="24"/>
      <c r="TDY954" s="24"/>
      <c r="TDZ954" s="24"/>
      <c r="TEA954" s="24"/>
      <c r="TEB954" s="24"/>
      <c r="TEC954" s="24"/>
      <c r="TED954" s="24"/>
      <c r="TEE954" s="24"/>
      <c r="TEF954" s="24"/>
      <c r="TEG954" s="24"/>
      <c r="TEH954" s="24"/>
      <c r="TEI954" s="24"/>
      <c r="TEJ954" s="24"/>
      <c r="TEK954" s="24"/>
      <c r="TEL954" s="24"/>
      <c r="TEM954" s="24"/>
      <c r="TEN954" s="24"/>
      <c r="TEO954" s="24"/>
      <c r="TEP954" s="24"/>
      <c r="TEQ954" s="24"/>
      <c r="TER954" s="24"/>
      <c r="TES954" s="24"/>
      <c r="TET954" s="24"/>
      <c r="TEU954" s="24"/>
      <c r="TEV954" s="24"/>
      <c r="TEW954" s="24"/>
      <c r="TEX954" s="24"/>
      <c r="TEY954" s="24"/>
      <c r="TEZ954" s="24"/>
      <c r="TFA954" s="24"/>
      <c r="TFB954" s="24"/>
      <c r="TFC954" s="24"/>
      <c r="TFD954" s="24"/>
      <c r="TFE954" s="24"/>
      <c r="TFF954" s="24"/>
      <c r="TFG954" s="24"/>
      <c r="TFH954" s="24"/>
      <c r="TFI954" s="24"/>
      <c r="TFJ954" s="24"/>
      <c r="TFK954" s="24"/>
      <c r="TFL954" s="24"/>
      <c r="TFM954" s="24"/>
      <c r="TFN954" s="24"/>
      <c r="TFO954" s="24"/>
      <c r="TFP954" s="24"/>
      <c r="TFQ954" s="24"/>
      <c r="TFR954" s="24"/>
      <c r="TFS954" s="24"/>
      <c r="TFT954" s="24"/>
      <c r="TFU954" s="24"/>
      <c r="TFV954" s="24"/>
      <c r="TFW954" s="24"/>
      <c r="TFX954" s="24"/>
      <c r="TFY954" s="24"/>
      <c r="TFZ954" s="24"/>
      <c r="TGA954" s="24"/>
      <c r="TGB954" s="24"/>
      <c r="TGC954" s="24"/>
      <c r="TGD954" s="24"/>
      <c r="TGE954" s="24"/>
      <c r="TGF954" s="24"/>
      <c r="TGG954" s="24"/>
      <c r="TGH954" s="24"/>
      <c r="TGI954" s="24"/>
      <c r="TGJ954" s="24"/>
      <c r="TGK954" s="24"/>
      <c r="TGL954" s="24"/>
      <c r="TGM954" s="24"/>
      <c r="TGN954" s="24"/>
      <c r="TGO954" s="24"/>
      <c r="TGP954" s="24"/>
      <c r="TGQ954" s="24"/>
      <c r="TGR954" s="24"/>
      <c r="TGS954" s="24"/>
      <c r="TGT954" s="24"/>
      <c r="TGU954" s="24"/>
      <c r="TGV954" s="24"/>
      <c r="TGW954" s="24"/>
      <c r="TGX954" s="24"/>
      <c r="TGY954" s="24"/>
      <c r="TGZ954" s="24"/>
      <c r="THA954" s="24"/>
      <c r="THB954" s="24"/>
      <c r="THC954" s="24"/>
      <c r="THD954" s="24"/>
      <c r="THE954" s="24"/>
      <c r="THF954" s="24"/>
      <c r="THG954" s="24"/>
      <c r="THH954" s="24"/>
      <c r="THI954" s="24"/>
      <c r="THJ954" s="24"/>
      <c r="THK954" s="24"/>
      <c r="THL954" s="24"/>
      <c r="THM954" s="24"/>
      <c r="THN954" s="24"/>
      <c r="THO954" s="24"/>
      <c r="THP954" s="24"/>
      <c r="THQ954" s="24"/>
      <c r="THR954" s="24"/>
      <c r="THS954" s="24"/>
      <c r="THT954" s="24"/>
      <c r="THU954" s="24"/>
      <c r="THV954" s="24"/>
      <c r="THW954" s="24"/>
      <c r="THX954" s="24"/>
      <c r="THY954" s="24"/>
      <c r="THZ954" s="24"/>
      <c r="TIA954" s="24"/>
      <c r="TIB954" s="24"/>
      <c r="TIC954" s="24"/>
      <c r="TID954" s="24"/>
      <c r="TIE954" s="24"/>
      <c r="TIF954" s="24"/>
      <c r="TIG954" s="24"/>
      <c r="TIH954" s="24"/>
      <c r="TII954" s="24"/>
      <c r="TIJ954" s="24"/>
      <c r="TIK954" s="24"/>
      <c r="TIL954" s="24"/>
      <c r="TIM954" s="24"/>
      <c r="TIN954" s="24"/>
      <c r="TIO954" s="24"/>
      <c r="TIP954" s="24"/>
      <c r="TIQ954" s="24"/>
      <c r="TIR954" s="24"/>
      <c r="TIS954" s="24"/>
      <c r="TIT954" s="24"/>
      <c r="TIU954" s="24"/>
      <c r="TIV954" s="24"/>
      <c r="TIW954" s="24"/>
      <c r="TIX954" s="24"/>
      <c r="TIY954" s="24"/>
      <c r="TIZ954" s="24"/>
      <c r="TJA954" s="24"/>
      <c r="TJB954" s="24"/>
      <c r="TJC954" s="24"/>
      <c r="TJD954" s="24"/>
      <c r="TJE954" s="24"/>
      <c r="TJF954" s="24"/>
      <c r="TJG954" s="24"/>
      <c r="TJH954" s="24"/>
      <c r="TJI954" s="24"/>
      <c r="TJJ954" s="24"/>
      <c r="TJK954" s="24"/>
      <c r="TJL954" s="24"/>
      <c r="TJM954" s="24"/>
      <c r="TJN954" s="24"/>
      <c r="TJO954" s="24"/>
      <c r="TJP954" s="24"/>
      <c r="TJQ954" s="24"/>
      <c r="TJR954" s="24"/>
      <c r="TJS954" s="24"/>
      <c r="TJT954" s="24"/>
      <c r="TJU954" s="24"/>
      <c r="TJV954" s="24"/>
      <c r="TJW954" s="24"/>
      <c r="TJX954" s="24"/>
      <c r="TJY954" s="24"/>
      <c r="TJZ954" s="24"/>
      <c r="TKA954" s="24"/>
      <c r="TKB954" s="24"/>
      <c r="TKC954" s="24"/>
      <c r="TKD954" s="24"/>
      <c r="TKE954" s="24"/>
      <c r="TKF954" s="24"/>
      <c r="TKG954" s="24"/>
      <c r="TKH954" s="24"/>
      <c r="TKI954" s="24"/>
      <c r="TKJ954" s="24"/>
      <c r="TKK954" s="24"/>
      <c r="TKL954" s="24"/>
      <c r="TKM954" s="24"/>
      <c r="TKN954" s="24"/>
      <c r="TKO954" s="24"/>
      <c r="TKP954" s="24"/>
      <c r="TKQ954" s="24"/>
      <c r="TKR954" s="24"/>
      <c r="TKS954" s="24"/>
      <c r="TKT954" s="24"/>
      <c r="TKU954" s="24"/>
      <c r="TKV954" s="24"/>
      <c r="TKW954" s="24"/>
      <c r="TKX954" s="24"/>
      <c r="TKY954" s="24"/>
      <c r="TKZ954" s="24"/>
      <c r="TLA954" s="24"/>
      <c r="TLB954" s="24"/>
      <c r="TLC954" s="24"/>
      <c r="TLD954" s="24"/>
      <c r="TLE954" s="24"/>
      <c r="TLF954" s="24"/>
      <c r="TLG954" s="24"/>
      <c r="TLH954" s="24"/>
      <c r="TLI954" s="24"/>
      <c r="TLJ954" s="24"/>
      <c r="TLK954" s="24"/>
      <c r="TLL954" s="24"/>
      <c r="TLM954" s="24"/>
      <c r="TLN954" s="24"/>
      <c r="TLO954" s="24"/>
      <c r="TLP954" s="24"/>
      <c r="TLQ954" s="24"/>
      <c r="TLR954" s="24"/>
      <c r="TLS954" s="24"/>
      <c r="TLT954" s="24"/>
      <c r="TLU954" s="24"/>
      <c r="TLV954" s="24"/>
      <c r="TLW954" s="24"/>
      <c r="TLX954" s="24"/>
      <c r="TLY954" s="24"/>
      <c r="TLZ954" s="24"/>
      <c r="TMA954" s="24"/>
      <c r="TMB954" s="24"/>
      <c r="TMC954" s="24"/>
      <c r="TMD954" s="24"/>
      <c r="TME954" s="24"/>
      <c r="TMF954" s="24"/>
      <c r="TMG954" s="24"/>
      <c r="TMH954" s="24"/>
      <c r="TMI954" s="24"/>
      <c r="TMJ954" s="24"/>
      <c r="TMK954" s="24"/>
      <c r="TML954" s="24"/>
      <c r="TMM954" s="24"/>
      <c r="TMN954" s="24"/>
      <c r="TMO954" s="24"/>
      <c r="TMP954" s="24"/>
      <c r="TMQ954" s="24"/>
      <c r="TMR954" s="24"/>
      <c r="TMS954" s="24"/>
      <c r="TMT954" s="24"/>
      <c r="TMU954" s="24"/>
      <c r="TMV954" s="24"/>
      <c r="TMW954" s="24"/>
      <c r="TMX954" s="24"/>
      <c r="TMY954" s="24"/>
      <c r="TMZ954" s="24"/>
      <c r="TNA954" s="24"/>
      <c r="TNB954" s="24"/>
      <c r="TNC954" s="24"/>
      <c r="TND954" s="24"/>
      <c r="TNE954" s="24"/>
      <c r="TNF954" s="24"/>
      <c r="TNG954" s="24"/>
      <c r="TNH954" s="24"/>
      <c r="TNI954" s="24"/>
      <c r="TNJ954" s="24"/>
      <c r="TNK954" s="24"/>
      <c r="TNL954" s="24"/>
      <c r="TNM954" s="24"/>
      <c r="TNN954" s="24"/>
      <c r="TNO954" s="24"/>
      <c r="TNP954" s="24"/>
      <c r="TNQ954" s="24"/>
      <c r="TNR954" s="24"/>
      <c r="TNS954" s="24"/>
      <c r="TNT954" s="24"/>
      <c r="TNU954" s="24"/>
      <c r="TNV954" s="24"/>
      <c r="TNW954" s="24"/>
      <c r="TNX954" s="24"/>
      <c r="TNY954" s="24"/>
      <c r="TNZ954" s="24"/>
      <c r="TOA954" s="24"/>
      <c r="TOB954" s="24"/>
      <c r="TOC954" s="24"/>
      <c r="TOD954" s="24"/>
      <c r="TOE954" s="24"/>
      <c r="TOF954" s="24"/>
      <c r="TOG954" s="24"/>
      <c r="TOH954" s="24"/>
      <c r="TOI954" s="24"/>
      <c r="TOJ954" s="24"/>
      <c r="TOK954" s="24"/>
      <c r="TOL954" s="24"/>
      <c r="TOM954" s="24"/>
      <c r="TON954" s="24"/>
      <c r="TOO954" s="24"/>
      <c r="TOP954" s="24"/>
      <c r="TOQ954" s="24"/>
      <c r="TOR954" s="24"/>
      <c r="TOS954" s="24"/>
      <c r="TOT954" s="24"/>
      <c r="TOU954" s="24"/>
      <c r="TOV954" s="24"/>
      <c r="TOW954" s="24"/>
      <c r="TOX954" s="24"/>
      <c r="TOY954" s="24"/>
      <c r="TOZ954" s="24"/>
      <c r="TPA954" s="24"/>
      <c r="TPB954" s="24"/>
      <c r="TPC954" s="24"/>
      <c r="TPD954" s="24"/>
      <c r="TPE954" s="24"/>
      <c r="TPF954" s="24"/>
      <c r="TPG954" s="24"/>
      <c r="TPH954" s="24"/>
      <c r="TPI954" s="24"/>
      <c r="TPJ954" s="24"/>
      <c r="TPK954" s="24"/>
      <c r="TPL954" s="24"/>
      <c r="TPM954" s="24"/>
      <c r="TPN954" s="24"/>
      <c r="TPO954" s="24"/>
      <c r="TPP954" s="24"/>
      <c r="TPQ954" s="24"/>
      <c r="TPR954" s="24"/>
      <c r="TPS954" s="24"/>
      <c r="TPT954" s="24"/>
      <c r="TPU954" s="24"/>
      <c r="TPV954" s="24"/>
      <c r="TPW954" s="24"/>
      <c r="TPX954" s="24"/>
      <c r="TPY954" s="24"/>
      <c r="TPZ954" s="24"/>
      <c r="TQA954" s="24"/>
      <c r="TQB954" s="24"/>
      <c r="TQC954" s="24"/>
      <c r="TQD954" s="24"/>
      <c r="TQE954" s="24"/>
      <c r="TQF954" s="24"/>
      <c r="TQG954" s="24"/>
      <c r="TQH954" s="24"/>
      <c r="TQI954" s="24"/>
      <c r="TQJ954" s="24"/>
      <c r="TQK954" s="24"/>
      <c r="TQL954" s="24"/>
      <c r="TQM954" s="24"/>
      <c r="TQN954" s="24"/>
      <c r="TQO954" s="24"/>
      <c r="TQP954" s="24"/>
      <c r="TQQ954" s="24"/>
      <c r="TQR954" s="24"/>
      <c r="TQS954" s="24"/>
      <c r="TQT954" s="24"/>
      <c r="TQU954" s="24"/>
      <c r="TQV954" s="24"/>
      <c r="TQW954" s="24"/>
      <c r="TQX954" s="24"/>
      <c r="TQY954" s="24"/>
      <c r="TQZ954" s="24"/>
      <c r="TRA954" s="24"/>
      <c r="TRB954" s="24"/>
      <c r="TRC954" s="24"/>
      <c r="TRD954" s="24"/>
      <c r="TRE954" s="24"/>
      <c r="TRF954" s="24"/>
      <c r="TRG954" s="24"/>
      <c r="TRH954" s="24"/>
      <c r="TRI954" s="24"/>
      <c r="TRJ954" s="24"/>
      <c r="TRK954" s="24"/>
      <c r="TRL954" s="24"/>
      <c r="TRM954" s="24"/>
      <c r="TRN954" s="24"/>
      <c r="TRO954" s="24"/>
      <c r="TRP954" s="24"/>
      <c r="TRQ954" s="24"/>
      <c r="TRR954" s="24"/>
      <c r="TRS954" s="24"/>
      <c r="TRT954" s="24"/>
      <c r="TRU954" s="24"/>
      <c r="TRV954" s="24"/>
      <c r="TRW954" s="24"/>
      <c r="TRX954" s="24"/>
      <c r="TRY954" s="24"/>
      <c r="TRZ954" s="24"/>
      <c r="TSA954" s="24"/>
      <c r="TSB954" s="24"/>
      <c r="TSC954" s="24"/>
      <c r="TSD954" s="24"/>
      <c r="TSE954" s="24"/>
      <c r="TSF954" s="24"/>
      <c r="TSG954" s="24"/>
      <c r="TSH954" s="24"/>
      <c r="TSI954" s="24"/>
      <c r="TSJ954" s="24"/>
      <c r="TSK954" s="24"/>
      <c r="TSL954" s="24"/>
      <c r="TSM954" s="24"/>
      <c r="TSN954" s="24"/>
      <c r="TSO954" s="24"/>
      <c r="TSP954" s="24"/>
      <c r="TSQ954" s="24"/>
      <c r="TSR954" s="24"/>
      <c r="TSS954" s="24"/>
      <c r="TST954" s="24"/>
      <c r="TSU954" s="24"/>
      <c r="TSV954" s="24"/>
      <c r="TSW954" s="24"/>
      <c r="TSX954" s="24"/>
      <c r="TSY954" s="24"/>
      <c r="TSZ954" s="24"/>
      <c r="TTA954" s="24"/>
      <c r="TTB954" s="24"/>
      <c r="TTC954" s="24"/>
      <c r="TTD954" s="24"/>
      <c r="TTE954" s="24"/>
      <c r="TTF954" s="24"/>
      <c r="TTG954" s="24"/>
      <c r="TTH954" s="24"/>
      <c r="TTI954" s="24"/>
      <c r="TTJ954" s="24"/>
      <c r="TTK954" s="24"/>
      <c r="TTL954" s="24"/>
      <c r="TTM954" s="24"/>
      <c r="TTN954" s="24"/>
      <c r="TTO954" s="24"/>
      <c r="TTP954" s="24"/>
      <c r="TTQ954" s="24"/>
      <c r="TTR954" s="24"/>
      <c r="TTS954" s="24"/>
      <c r="TTT954" s="24"/>
      <c r="TTU954" s="24"/>
      <c r="TTV954" s="24"/>
      <c r="TTW954" s="24"/>
      <c r="TTX954" s="24"/>
      <c r="TTY954" s="24"/>
      <c r="TTZ954" s="24"/>
      <c r="TUA954" s="24"/>
      <c r="TUB954" s="24"/>
      <c r="TUC954" s="24"/>
      <c r="TUD954" s="24"/>
      <c r="TUE954" s="24"/>
      <c r="TUF954" s="24"/>
      <c r="TUG954" s="24"/>
      <c r="TUH954" s="24"/>
      <c r="TUI954" s="24"/>
      <c r="TUJ954" s="24"/>
      <c r="TUK954" s="24"/>
      <c r="TUL954" s="24"/>
      <c r="TUM954" s="24"/>
      <c r="TUN954" s="24"/>
      <c r="TUO954" s="24"/>
      <c r="TUP954" s="24"/>
      <c r="TUQ954" s="24"/>
      <c r="TUR954" s="24"/>
      <c r="TUS954" s="24"/>
      <c r="TUT954" s="24"/>
      <c r="TUU954" s="24"/>
      <c r="TUV954" s="24"/>
      <c r="TUW954" s="24"/>
      <c r="TUX954" s="24"/>
      <c r="TUY954" s="24"/>
      <c r="TUZ954" s="24"/>
      <c r="TVA954" s="24"/>
      <c r="TVB954" s="24"/>
      <c r="TVC954" s="24"/>
      <c r="TVD954" s="24"/>
      <c r="TVE954" s="24"/>
      <c r="TVF954" s="24"/>
      <c r="TVG954" s="24"/>
      <c r="TVH954" s="24"/>
      <c r="TVI954" s="24"/>
      <c r="TVJ954" s="24"/>
      <c r="TVK954" s="24"/>
      <c r="TVL954" s="24"/>
      <c r="TVM954" s="24"/>
      <c r="TVN954" s="24"/>
      <c r="TVO954" s="24"/>
      <c r="TVP954" s="24"/>
      <c r="TVQ954" s="24"/>
      <c r="TVR954" s="24"/>
      <c r="TVS954" s="24"/>
      <c r="TVT954" s="24"/>
      <c r="TVU954" s="24"/>
      <c r="TVV954" s="24"/>
      <c r="TVW954" s="24"/>
      <c r="TVX954" s="24"/>
      <c r="TVY954" s="24"/>
      <c r="TVZ954" s="24"/>
      <c r="TWA954" s="24"/>
      <c r="TWB954" s="24"/>
      <c r="TWC954" s="24"/>
      <c r="TWD954" s="24"/>
      <c r="TWE954" s="24"/>
      <c r="TWF954" s="24"/>
      <c r="TWG954" s="24"/>
      <c r="TWH954" s="24"/>
      <c r="TWI954" s="24"/>
      <c r="TWJ954" s="24"/>
      <c r="TWK954" s="24"/>
      <c r="TWL954" s="24"/>
      <c r="TWM954" s="24"/>
      <c r="TWN954" s="24"/>
      <c r="TWO954" s="24"/>
      <c r="TWP954" s="24"/>
      <c r="TWQ954" s="24"/>
      <c r="TWR954" s="24"/>
      <c r="TWS954" s="24"/>
      <c r="TWT954" s="24"/>
      <c r="TWU954" s="24"/>
      <c r="TWV954" s="24"/>
      <c r="TWW954" s="24"/>
      <c r="TWX954" s="24"/>
      <c r="TWY954" s="24"/>
      <c r="TWZ954" s="24"/>
      <c r="TXA954" s="24"/>
      <c r="TXB954" s="24"/>
      <c r="TXC954" s="24"/>
      <c r="TXD954" s="24"/>
      <c r="TXE954" s="24"/>
      <c r="TXF954" s="24"/>
      <c r="TXG954" s="24"/>
      <c r="TXH954" s="24"/>
      <c r="TXI954" s="24"/>
      <c r="TXJ954" s="24"/>
      <c r="TXK954" s="24"/>
      <c r="TXL954" s="24"/>
      <c r="TXM954" s="24"/>
      <c r="TXN954" s="24"/>
      <c r="TXO954" s="24"/>
      <c r="TXP954" s="24"/>
      <c r="TXQ954" s="24"/>
      <c r="TXR954" s="24"/>
      <c r="TXS954" s="24"/>
      <c r="TXT954" s="24"/>
      <c r="TXU954" s="24"/>
      <c r="TXV954" s="24"/>
      <c r="TXW954" s="24"/>
      <c r="TXX954" s="24"/>
      <c r="TXY954" s="24"/>
      <c r="TXZ954" s="24"/>
      <c r="TYA954" s="24"/>
      <c r="TYB954" s="24"/>
      <c r="TYC954" s="24"/>
      <c r="TYD954" s="24"/>
      <c r="TYE954" s="24"/>
      <c r="TYF954" s="24"/>
      <c r="TYG954" s="24"/>
      <c r="TYH954" s="24"/>
      <c r="TYI954" s="24"/>
      <c r="TYJ954" s="24"/>
      <c r="TYK954" s="24"/>
      <c r="TYL954" s="24"/>
      <c r="TYM954" s="24"/>
      <c r="TYN954" s="24"/>
      <c r="TYO954" s="24"/>
      <c r="TYP954" s="24"/>
      <c r="TYQ954" s="24"/>
      <c r="TYR954" s="24"/>
      <c r="TYS954" s="24"/>
      <c r="TYT954" s="24"/>
      <c r="TYU954" s="24"/>
      <c r="TYV954" s="24"/>
      <c r="TYW954" s="24"/>
      <c r="TYX954" s="24"/>
      <c r="TYY954" s="24"/>
      <c r="TYZ954" s="24"/>
      <c r="TZA954" s="24"/>
      <c r="TZB954" s="24"/>
      <c r="TZC954" s="24"/>
      <c r="TZD954" s="24"/>
      <c r="TZE954" s="24"/>
      <c r="TZF954" s="24"/>
      <c r="TZG954" s="24"/>
      <c r="TZH954" s="24"/>
      <c r="TZI954" s="24"/>
      <c r="TZJ954" s="24"/>
      <c r="TZK954" s="24"/>
      <c r="TZL954" s="24"/>
      <c r="TZM954" s="24"/>
      <c r="TZN954" s="24"/>
      <c r="TZO954" s="24"/>
      <c r="TZP954" s="24"/>
      <c r="TZQ954" s="24"/>
      <c r="TZR954" s="24"/>
      <c r="TZS954" s="24"/>
      <c r="TZT954" s="24"/>
      <c r="TZU954" s="24"/>
      <c r="TZV954" s="24"/>
      <c r="TZW954" s="24"/>
      <c r="TZX954" s="24"/>
      <c r="TZY954" s="24"/>
      <c r="TZZ954" s="24"/>
      <c r="UAA954" s="24"/>
      <c r="UAB954" s="24"/>
      <c r="UAC954" s="24"/>
      <c r="UAD954" s="24"/>
      <c r="UAE954" s="24"/>
      <c r="UAF954" s="24"/>
      <c r="UAG954" s="24"/>
      <c r="UAH954" s="24"/>
      <c r="UAI954" s="24"/>
      <c r="UAJ954" s="24"/>
      <c r="UAK954" s="24"/>
      <c r="UAL954" s="24"/>
      <c r="UAM954" s="24"/>
      <c r="UAN954" s="24"/>
      <c r="UAO954" s="24"/>
      <c r="UAP954" s="24"/>
      <c r="UAQ954" s="24"/>
      <c r="UAR954" s="24"/>
      <c r="UAS954" s="24"/>
      <c r="UAT954" s="24"/>
      <c r="UAU954" s="24"/>
      <c r="UAV954" s="24"/>
      <c r="UAW954" s="24"/>
      <c r="UAX954" s="24"/>
      <c r="UAY954" s="24"/>
      <c r="UAZ954" s="24"/>
      <c r="UBA954" s="24"/>
      <c r="UBB954" s="24"/>
      <c r="UBC954" s="24"/>
      <c r="UBD954" s="24"/>
      <c r="UBE954" s="24"/>
      <c r="UBF954" s="24"/>
      <c r="UBG954" s="24"/>
      <c r="UBH954" s="24"/>
      <c r="UBI954" s="24"/>
      <c r="UBJ954" s="24"/>
      <c r="UBK954" s="24"/>
      <c r="UBL954" s="24"/>
      <c r="UBM954" s="24"/>
      <c r="UBN954" s="24"/>
      <c r="UBO954" s="24"/>
      <c r="UBP954" s="24"/>
      <c r="UBQ954" s="24"/>
      <c r="UBR954" s="24"/>
      <c r="UBS954" s="24"/>
      <c r="UBT954" s="24"/>
      <c r="UBU954" s="24"/>
      <c r="UBV954" s="24"/>
      <c r="UBW954" s="24"/>
      <c r="UBX954" s="24"/>
      <c r="UBY954" s="24"/>
      <c r="UBZ954" s="24"/>
      <c r="UCA954" s="24"/>
      <c r="UCB954" s="24"/>
      <c r="UCC954" s="24"/>
      <c r="UCD954" s="24"/>
      <c r="UCE954" s="24"/>
      <c r="UCF954" s="24"/>
      <c r="UCG954" s="24"/>
      <c r="UCH954" s="24"/>
      <c r="UCI954" s="24"/>
      <c r="UCJ954" s="24"/>
      <c r="UCK954" s="24"/>
      <c r="UCL954" s="24"/>
      <c r="UCM954" s="24"/>
      <c r="UCN954" s="24"/>
      <c r="UCO954" s="24"/>
      <c r="UCP954" s="24"/>
      <c r="UCQ954" s="24"/>
      <c r="UCR954" s="24"/>
      <c r="UCS954" s="24"/>
      <c r="UCT954" s="24"/>
      <c r="UCU954" s="24"/>
      <c r="UCV954" s="24"/>
      <c r="UCW954" s="24"/>
      <c r="UCX954" s="24"/>
      <c r="UCY954" s="24"/>
      <c r="UCZ954" s="24"/>
      <c r="UDA954" s="24"/>
      <c r="UDB954" s="24"/>
      <c r="UDC954" s="24"/>
      <c r="UDD954" s="24"/>
      <c r="UDE954" s="24"/>
      <c r="UDF954" s="24"/>
      <c r="UDG954" s="24"/>
      <c r="UDH954" s="24"/>
      <c r="UDI954" s="24"/>
      <c r="UDJ954" s="24"/>
      <c r="UDK954" s="24"/>
      <c r="UDL954" s="24"/>
      <c r="UDM954" s="24"/>
      <c r="UDN954" s="24"/>
      <c r="UDO954" s="24"/>
      <c r="UDP954" s="24"/>
      <c r="UDQ954" s="24"/>
      <c r="UDR954" s="24"/>
      <c r="UDS954" s="24"/>
      <c r="UDT954" s="24"/>
      <c r="UDU954" s="24"/>
      <c r="UDV954" s="24"/>
      <c r="UDW954" s="24"/>
      <c r="UDX954" s="24"/>
      <c r="UDY954" s="24"/>
      <c r="UDZ954" s="24"/>
      <c r="UEA954" s="24"/>
      <c r="UEB954" s="24"/>
      <c r="UEC954" s="24"/>
      <c r="UED954" s="24"/>
      <c r="UEE954" s="24"/>
      <c r="UEF954" s="24"/>
      <c r="UEG954" s="24"/>
      <c r="UEH954" s="24"/>
      <c r="UEI954" s="24"/>
      <c r="UEJ954" s="24"/>
      <c r="UEK954" s="24"/>
      <c r="UEL954" s="24"/>
      <c r="UEM954" s="24"/>
      <c r="UEN954" s="24"/>
      <c r="UEO954" s="24"/>
      <c r="UEP954" s="24"/>
      <c r="UEQ954" s="24"/>
      <c r="UER954" s="24"/>
      <c r="UES954" s="24"/>
      <c r="UET954" s="24"/>
      <c r="UEU954" s="24"/>
      <c r="UEV954" s="24"/>
      <c r="UEW954" s="24"/>
      <c r="UEX954" s="24"/>
      <c r="UEY954" s="24"/>
      <c r="UEZ954" s="24"/>
      <c r="UFA954" s="24"/>
      <c r="UFB954" s="24"/>
      <c r="UFC954" s="24"/>
      <c r="UFD954" s="24"/>
      <c r="UFE954" s="24"/>
      <c r="UFF954" s="24"/>
      <c r="UFG954" s="24"/>
      <c r="UFH954" s="24"/>
      <c r="UFI954" s="24"/>
      <c r="UFJ954" s="24"/>
      <c r="UFK954" s="24"/>
      <c r="UFL954" s="24"/>
      <c r="UFM954" s="24"/>
      <c r="UFN954" s="24"/>
      <c r="UFO954" s="24"/>
      <c r="UFP954" s="24"/>
      <c r="UFQ954" s="24"/>
      <c r="UFR954" s="24"/>
      <c r="UFS954" s="24"/>
      <c r="UFT954" s="24"/>
      <c r="UFU954" s="24"/>
      <c r="UFV954" s="24"/>
      <c r="UFW954" s="24"/>
      <c r="UFX954" s="24"/>
      <c r="UFY954" s="24"/>
      <c r="UFZ954" s="24"/>
      <c r="UGA954" s="24"/>
      <c r="UGB954" s="24"/>
      <c r="UGC954" s="24"/>
      <c r="UGD954" s="24"/>
      <c r="UGE954" s="24"/>
      <c r="UGF954" s="24"/>
      <c r="UGG954" s="24"/>
      <c r="UGH954" s="24"/>
      <c r="UGI954" s="24"/>
      <c r="UGJ954" s="24"/>
      <c r="UGK954" s="24"/>
      <c r="UGL954" s="24"/>
      <c r="UGM954" s="24"/>
      <c r="UGN954" s="24"/>
      <c r="UGO954" s="24"/>
      <c r="UGP954" s="24"/>
      <c r="UGQ954" s="24"/>
      <c r="UGR954" s="24"/>
      <c r="UGS954" s="24"/>
      <c r="UGT954" s="24"/>
      <c r="UGU954" s="24"/>
      <c r="UGV954" s="24"/>
      <c r="UGW954" s="24"/>
      <c r="UGX954" s="24"/>
      <c r="UGY954" s="24"/>
      <c r="UGZ954" s="24"/>
      <c r="UHA954" s="24"/>
      <c r="UHB954" s="24"/>
      <c r="UHC954" s="24"/>
      <c r="UHD954" s="24"/>
      <c r="UHE954" s="24"/>
      <c r="UHF954" s="24"/>
      <c r="UHG954" s="24"/>
      <c r="UHH954" s="24"/>
      <c r="UHI954" s="24"/>
      <c r="UHJ954" s="24"/>
      <c r="UHK954" s="24"/>
      <c r="UHL954" s="24"/>
      <c r="UHM954" s="24"/>
      <c r="UHN954" s="24"/>
      <c r="UHO954" s="24"/>
      <c r="UHP954" s="24"/>
      <c r="UHQ954" s="24"/>
      <c r="UHR954" s="24"/>
      <c r="UHS954" s="24"/>
      <c r="UHT954" s="24"/>
      <c r="UHU954" s="24"/>
      <c r="UHV954" s="24"/>
      <c r="UHW954" s="24"/>
      <c r="UHX954" s="24"/>
      <c r="UHY954" s="24"/>
      <c r="UHZ954" s="24"/>
      <c r="UIA954" s="24"/>
      <c r="UIB954" s="24"/>
      <c r="UIC954" s="24"/>
      <c r="UID954" s="24"/>
      <c r="UIE954" s="24"/>
      <c r="UIF954" s="24"/>
      <c r="UIG954" s="24"/>
      <c r="UIH954" s="24"/>
      <c r="UII954" s="24"/>
      <c r="UIJ954" s="24"/>
      <c r="UIK954" s="24"/>
      <c r="UIL954" s="24"/>
      <c r="UIM954" s="24"/>
      <c r="UIN954" s="24"/>
      <c r="UIO954" s="24"/>
      <c r="UIP954" s="24"/>
      <c r="UIQ954" s="24"/>
      <c r="UIR954" s="24"/>
      <c r="UIS954" s="24"/>
      <c r="UIT954" s="24"/>
      <c r="UIU954" s="24"/>
      <c r="UIV954" s="24"/>
      <c r="UIW954" s="24"/>
      <c r="UIX954" s="24"/>
      <c r="UIY954" s="24"/>
      <c r="UIZ954" s="24"/>
      <c r="UJA954" s="24"/>
      <c r="UJB954" s="24"/>
      <c r="UJC954" s="24"/>
      <c r="UJD954" s="24"/>
      <c r="UJE954" s="24"/>
      <c r="UJF954" s="24"/>
      <c r="UJG954" s="24"/>
      <c r="UJH954" s="24"/>
      <c r="UJI954" s="24"/>
      <c r="UJJ954" s="24"/>
      <c r="UJK954" s="24"/>
      <c r="UJL954" s="24"/>
      <c r="UJM954" s="24"/>
      <c r="UJN954" s="24"/>
      <c r="UJO954" s="24"/>
      <c r="UJP954" s="24"/>
      <c r="UJQ954" s="24"/>
      <c r="UJR954" s="24"/>
      <c r="UJS954" s="24"/>
      <c r="UJT954" s="24"/>
      <c r="UJU954" s="24"/>
      <c r="UJV954" s="24"/>
      <c r="UJW954" s="24"/>
      <c r="UJX954" s="24"/>
      <c r="UJY954" s="24"/>
      <c r="UJZ954" s="24"/>
      <c r="UKA954" s="24"/>
      <c r="UKB954" s="24"/>
      <c r="UKC954" s="24"/>
      <c r="UKD954" s="24"/>
      <c r="UKE954" s="24"/>
      <c r="UKF954" s="24"/>
      <c r="UKG954" s="24"/>
      <c r="UKH954" s="24"/>
      <c r="UKI954" s="24"/>
      <c r="UKJ954" s="24"/>
      <c r="UKK954" s="24"/>
      <c r="UKL954" s="24"/>
      <c r="UKM954" s="24"/>
      <c r="UKN954" s="24"/>
      <c r="UKO954" s="24"/>
      <c r="UKP954" s="24"/>
      <c r="UKQ954" s="24"/>
      <c r="UKR954" s="24"/>
      <c r="UKS954" s="24"/>
      <c r="UKT954" s="24"/>
      <c r="UKU954" s="24"/>
      <c r="UKV954" s="24"/>
      <c r="UKW954" s="24"/>
      <c r="UKX954" s="24"/>
      <c r="UKY954" s="24"/>
      <c r="UKZ954" s="24"/>
      <c r="ULA954" s="24"/>
      <c r="ULB954" s="24"/>
      <c r="ULC954" s="24"/>
      <c r="ULD954" s="24"/>
      <c r="ULE954" s="24"/>
      <c r="ULF954" s="24"/>
      <c r="ULG954" s="24"/>
      <c r="ULH954" s="24"/>
      <c r="ULI954" s="24"/>
      <c r="ULJ954" s="24"/>
      <c r="ULK954" s="24"/>
      <c r="ULL954" s="24"/>
      <c r="ULM954" s="24"/>
      <c r="ULN954" s="24"/>
      <c r="ULO954" s="24"/>
      <c r="ULP954" s="24"/>
      <c r="ULQ954" s="24"/>
      <c r="ULR954" s="24"/>
      <c r="ULS954" s="24"/>
      <c r="ULT954" s="24"/>
      <c r="ULU954" s="24"/>
      <c r="ULV954" s="24"/>
      <c r="ULW954" s="24"/>
      <c r="ULX954" s="24"/>
      <c r="ULY954" s="24"/>
      <c r="ULZ954" s="24"/>
      <c r="UMA954" s="24"/>
      <c r="UMB954" s="24"/>
      <c r="UMC954" s="24"/>
      <c r="UMD954" s="24"/>
      <c r="UME954" s="24"/>
      <c r="UMF954" s="24"/>
      <c r="UMG954" s="24"/>
      <c r="UMH954" s="24"/>
      <c r="UMI954" s="24"/>
      <c r="UMJ954" s="24"/>
      <c r="UMK954" s="24"/>
      <c r="UML954" s="24"/>
      <c r="UMM954" s="24"/>
      <c r="UMN954" s="24"/>
      <c r="UMO954" s="24"/>
      <c r="UMP954" s="24"/>
      <c r="UMQ954" s="24"/>
      <c r="UMR954" s="24"/>
      <c r="UMS954" s="24"/>
      <c r="UMT954" s="24"/>
      <c r="UMU954" s="24"/>
      <c r="UMV954" s="24"/>
      <c r="UMW954" s="24"/>
      <c r="UMX954" s="24"/>
      <c r="UMY954" s="24"/>
      <c r="UMZ954" s="24"/>
      <c r="UNA954" s="24"/>
      <c r="UNB954" s="24"/>
      <c r="UNC954" s="24"/>
      <c r="UND954" s="24"/>
      <c r="UNE954" s="24"/>
      <c r="UNF954" s="24"/>
      <c r="UNG954" s="24"/>
      <c r="UNH954" s="24"/>
      <c r="UNI954" s="24"/>
      <c r="UNJ954" s="24"/>
      <c r="UNK954" s="24"/>
      <c r="UNL954" s="24"/>
      <c r="UNM954" s="24"/>
      <c r="UNN954" s="24"/>
      <c r="UNO954" s="24"/>
      <c r="UNP954" s="24"/>
      <c r="UNQ954" s="24"/>
      <c r="UNR954" s="24"/>
      <c r="UNS954" s="24"/>
      <c r="UNT954" s="24"/>
      <c r="UNU954" s="24"/>
      <c r="UNV954" s="24"/>
      <c r="UNW954" s="24"/>
      <c r="UNX954" s="24"/>
      <c r="UNY954" s="24"/>
      <c r="UNZ954" s="24"/>
      <c r="UOA954" s="24"/>
      <c r="UOB954" s="24"/>
      <c r="UOC954" s="24"/>
      <c r="UOD954" s="24"/>
      <c r="UOE954" s="24"/>
      <c r="UOF954" s="24"/>
      <c r="UOG954" s="24"/>
      <c r="UOH954" s="24"/>
      <c r="UOI954" s="24"/>
      <c r="UOJ954" s="24"/>
      <c r="UOK954" s="24"/>
      <c r="UOL954" s="24"/>
      <c r="UOM954" s="24"/>
      <c r="UON954" s="24"/>
      <c r="UOO954" s="24"/>
      <c r="UOP954" s="24"/>
      <c r="UOQ954" s="24"/>
      <c r="UOR954" s="24"/>
      <c r="UOS954" s="24"/>
      <c r="UOT954" s="24"/>
      <c r="UOU954" s="24"/>
      <c r="UOV954" s="24"/>
      <c r="UOW954" s="24"/>
      <c r="UOX954" s="24"/>
      <c r="UOY954" s="24"/>
      <c r="UOZ954" s="24"/>
      <c r="UPA954" s="24"/>
      <c r="UPB954" s="24"/>
      <c r="UPC954" s="24"/>
      <c r="UPD954" s="24"/>
      <c r="UPE954" s="24"/>
      <c r="UPF954" s="24"/>
      <c r="UPG954" s="24"/>
      <c r="UPH954" s="24"/>
      <c r="UPI954" s="24"/>
      <c r="UPJ954" s="24"/>
      <c r="UPK954" s="24"/>
      <c r="UPL954" s="24"/>
      <c r="UPM954" s="24"/>
      <c r="UPN954" s="24"/>
      <c r="UPO954" s="24"/>
      <c r="UPP954" s="24"/>
      <c r="UPQ954" s="24"/>
      <c r="UPR954" s="24"/>
      <c r="UPS954" s="24"/>
      <c r="UPT954" s="24"/>
      <c r="UPU954" s="24"/>
      <c r="UPV954" s="24"/>
      <c r="UPW954" s="24"/>
      <c r="UPX954" s="24"/>
      <c r="UPY954" s="24"/>
      <c r="UPZ954" s="24"/>
      <c r="UQA954" s="24"/>
      <c r="UQB954" s="24"/>
      <c r="UQC954" s="24"/>
      <c r="UQD954" s="24"/>
      <c r="UQE954" s="24"/>
      <c r="UQF954" s="24"/>
      <c r="UQG954" s="24"/>
      <c r="UQH954" s="24"/>
      <c r="UQI954" s="24"/>
      <c r="UQJ954" s="24"/>
      <c r="UQK954" s="24"/>
      <c r="UQL954" s="24"/>
      <c r="UQM954" s="24"/>
      <c r="UQN954" s="24"/>
      <c r="UQO954" s="24"/>
      <c r="UQP954" s="24"/>
      <c r="UQQ954" s="24"/>
      <c r="UQR954" s="24"/>
      <c r="UQS954" s="24"/>
      <c r="UQT954" s="24"/>
      <c r="UQU954" s="24"/>
      <c r="UQV954" s="24"/>
      <c r="UQW954" s="24"/>
      <c r="UQX954" s="24"/>
      <c r="UQY954" s="24"/>
      <c r="UQZ954" s="24"/>
      <c r="URA954" s="24"/>
      <c r="URB954" s="24"/>
      <c r="URC954" s="24"/>
      <c r="URD954" s="24"/>
      <c r="URE954" s="24"/>
      <c r="URF954" s="24"/>
      <c r="URG954" s="24"/>
      <c r="URH954" s="24"/>
      <c r="URI954" s="24"/>
      <c r="URJ954" s="24"/>
      <c r="URK954" s="24"/>
      <c r="URL954" s="24"/>
      <c r="URM954" s="24"/>
      <c r="URN954" s="24"/>
      <c r="URO954" s="24"/>
      <c r="URP954" s="24"/>
      <c r="URQ954" s="24"/>
      <c r="URR954" s="24"/>
      <c r="URS954" s="24"/>
      <c r="URT954" s="24"/>
      <c r="URU954" s="24"/>
      <c r="URV954" s="24"/>
      <c r="URW954" s="24"/>
      <c r="URX954" s="24"/>
      <c r="URY954" s="24"/>
      <c r="URZ954" s="24"/>
      <c r="USA954" s="24"/>
      <c r="USB954" s="24"/>
      <c r="USC954" s="24"/>
      <c r="USD954" s="24"/>
      <c r="USE954" s="24"/>
      <c r="USF954" s="24"/>
      <c r="USG954" s="24"/>
      <c r="USH954" s="24"/>
      <c r="USI954" s="24"/>
      <c r="USJ954" s="24"/>
      <c r="USK954" s="24"/>
      <c r="USL954" s="24"/>
      <c r="USM954" s="24"/>
      <c r="USN954" s="24"/>
      <c r="USO954" s="24"/>
      <c r="USP954" s="24"/>
      <c r="USQ954" s="24"/>
      <c r="USR954" s="24"/>
      <c r="USS954" s="24"/>
      <c r="UST954" s="24"/>
      <c r="USU954" s="24"/>
      <c r="USV954" s="24"/>
      <c r="USW954" s="24"/>
      <c r="USX954" s="24"/>
      <c r="USY954" s="24"/>
      <c r="USZ954" s="24"/>
      <c r="UTA954" s="24"/>
      <c r="UTB954" s="24"/>
      <c r="UTC954" s="24"/>
      <c r="UTD954" s="24"/>
      <c r="UTE954" s="24"/>
      <c r="UTF954" s="24"/>
      <c r="UTG954" s="24"/>
      <c r="UTH954" s="24"/>
      <c r="UTI954" s="24"/>
      <c r="UTJ954" s="24"/>
      <c r="UTK954" s="24"/>
      <c r="UTL954" s="24"/>
      <c r="UTM954" s="24"/>
      <c r="UTN954" s="24"/>
      <c r="UTO954" s="24"/>
      <c r="UTP954" s="24"/>
      <c r="UTQ954" s="24"/>
      <c r="UTR954" s="24"/>
      <c r="UTS954" s="24"/>
      <c r="UTT954" s="24"/>
      <c r="UTU954" s="24"/>
      <c r="UTV954" s="24"/>
      <c r="UTW954" s="24"/>
      <c r="UTX954" s="24"/>
      <c r="UTY954" s="24"/>
      <c r="UTZ954" s="24"/>
      <c r="UUA954" s="24"/>
      <c r="UUB954" s="24"/>
      <c r="UUC954" s="24"/>
      <c r="UUD954" s="24"/>
      <c r="UUE954" s="24"/>
      <c r="UUF954" s="24"/>
      <c r="UUG954" s="24"/>
      <c r="UUH954" s="24"/>
      <c r="UUI954" s="24"/>
      <c r="UUJ954" s="24"/>
      <c r="UUK954" s="24"/>
      <c r="UUL954" s="24"/>
      <c r="UUM954" s="24"/>
      <c r="UUN954" s="24"/>
      <c r="UUO954" s="24"/>
      <c r="UUP954" s="24"/>
      <c r="UUQ954" s="24"/>
      <c r="UUR954" s="24"/>
      <c r="UUS954" s="24"/>
      <c r="UUT954" s="24"/>
      <c r="UUU954" s="24"/>
      <c r="UUV954" s="24"/>
      <c r="UUW954" s="24"/>
      <c r="UUX954" s="24"/>
      <c r="UUY954" s="24"/>
      <c r="UUZ954" s="24"/>
      <c r="UVA954" s="24"/>
      <c r="UVB954" s="24"/>
      <c r="UVC954" s="24"/>
      <c r="UVD954" s="24"/>
      <c r="UVE954" s="24"/>
      <c r="UVF954" s="24"/>
      <c r="UVG954" s="24"/>
      <c r="UVH954" s="24"/>
      <c r="UVI954" s="24"/>
      <c r="UVJ954" s="24"/>
      <c r="UVK954" s="24"/>
      <c r="UVL954" s="24"/>
      <c r="UVM954" s="24"/>
      <c r="UVN954" s="24"/>
      <c r="UVO954" s="24"/>
      <c r="UVP954" s="24"/>
      <c r="UVQ954" s="24"/>
      <c r="UVR954" s="24"/>
      <c r="UVS954" s="24"/>
      <c r="UVT954" s="24"/>
      <c r="UVU954" s="24"/>
      <c r="UVV954" s="24"/>
      <c r="UVW954" s="24"/>
      <c r="UVX954" s="24"/>
      <c r="UVY954" s="24"/>
      <c r="UVZ954" s="24"/>
      <c r="UWA954" s="24"/>
      <c r="UWB954" s="24"/>
      <c r="UWC954" s="24"/>
      <c r="UWD954" s="24"/>
      <c r="UWE954" s="24"/>
      <c r="UWF954" s="24"/>
      <c r="UWG954" s="24"/>
      <c r="UWH954" s="24"/>
      <c r="UWI954" s="24"/>
      <c r="UWJ954" s="24"/>
      <c r="UWK954" s="24"/>
      <c r="UWL954" s="24"/>
      <c r="UWM954" s="24"/>
      <c r="UWN954" s="24"/>
      <c r="UWO954" s="24"/>
      <c r="UWP954" s="24"/>
      <c r="UWQ954" s="24"/>
      <c r="UWR954" s="24"/>
      <c r="UWS954" s="24"/>
      <c r="UWT954" s="24"/>
      <c r="UWU954" s="24"/>
      <c r="UWV954" s="24"/>
      <c r="UWW954" s="24"/>
      <c r="UWX954" s="24"/>
      <c r="UWY954" s="24"/>
      <c r="UWZ954" s="24"/>
      <c r="UXA954" s="24"/>
      <c r="UXB954" s="24"/>
      <c r="UXC954" s="24"/>
      <c r="UXD954" s="24"/>
      <c r="UXE954" s="24"/>
      <c r="UXF954" s="24"/>
      <c r="UXG954" s="24"/>
      <c r="UXH954" s="24"/>
      <c r="UXI954" s="24"/>
      <c r="UXJ954" s="24"/>
      <c r="UXK954" s="24"/>
      <c r="UXL954" s="24"/>
      <c r="UXM954" s="24"/>
      <c r="UXN954" s="24"/>
      <c r="UXO954" s="24"/>
      <c r="UXP954" s="24"/>
      <c r="UXQ954" s="24"/>
      <c r="UXR954" s="24"/>
      <c r="UXS954" s="24"/>
      <c r="UXT954" s="24"/>
      <c r="UXU954" s="24"/>
      <c r="UXV954" s="24"/>
      <c r="UXW954" s="24"/>
      <c r="UXX954" s="24"/>
      <c r="UXY954" s="24"/>
      <c r="UXZ954" s="24"/>
      <c r="UYA954" s="24"/>
      <c r="UYB954" s="24"/>
      <c r="UYC954" s="24"/>
      <c r="UYD954" s="24"/>
      <c r="UYE954" s="24"/>
      <c r="UYF954" s="24"/>
      <c r="UYG954" s="24"/>
      <c r="UYH954" s="24"/>
      <c r="UYI954" s="24"/>
      <c r="UYJ954" s="24"/>
      <c r="UYK954" s="24"/>
      <c r="UYL954" s="24"/>
      <c r="UYM954" s="24"/>
      <c r="UYN954" s="24"/>
      <c r="UYO954" s="24"/>
      <c r="UYP954" s="24"/>
      <c r="UYQ954" s="24"/>
      <c r="UYR954" s="24"/>
      <c r="UYS954" s="24"/>
      <c r="UYT954" s="24"/>
      <c r="UYU954" s="24"/>
      <c r="UYV954" s="24"/>
      <c r="UYW954" s="24"/>
      <c r="UYX954" s="24"/>
      <c r="UYY954" s="24"/>
      <c r="UYZ954" s="24"/>
      <c r="UZA954" s="24"/>
      <c r="UZB954" s="24"/>
      <c r="UZC954" s="24"/>
      <c r="UZD954" s="24"/>
      <c r="UZE954" s="24"/>
      <c r="UZF954" s="24"/>
      <c r="UZG954" s="24"/>
      <c r="UZH954" s="24"/>
      <c r="UZI954" s="24"/>
      <c r="UZJ954" s="24"/>
      <c r="UZK954" s="24"/>
      <c r="UZL954" s="24"/>
      <c r="UZM954" s="24"/>
      <c r="UZN954" s="24"/>
      <c r="UZO954" s="24"/>
      <c r="UZP954" s="24"/>
      <c r="UZQ954" s="24"/>
      <c r="UZR954" s="24"/>
      <c r="UZS954" s="24"/>
      <c r="UZT954" s="24"/>
      <c r="UZU954" s="24"/>
      <c r="UZV954" s="24"/>
      <c r="UZW954" s="24"/>
      <c r="UZX954" s="24"/>
      <c r="UZY954" s="24"/>
      <c r="UZZ954" s="24"/>
      <c r="VAA954" s="24"/>
      <c r="VAB954" s="24"/>
      <c r="VAC954" s="24"/>
      <c r="VAD954" s="24"/>
      <c r="VAE954" s="24"/>
      <c r="VAF954" s="24"/>
      <c r="VAG954" s="24"/>
      <c r="VAH954" s="24"/>
      <c r="VAI954" s="24"/>
      <c r="VAJ954" s="24"/>
      <c r="VAK954" s="24"/>
      <c r="VAL954" s="24"/>
      <c r="VAM954" s="24"/>
      <c r="VAN954" s="24"/>
      <c r="VAO954" s="24"/>
      <c r="VAP954" s="24"/>
      <c r="VAQ954" s="24"/>
      <c r="VAR954" s="24"/>
      <c r="VAS954" s="24"/>
      <c r="VAT954" s="24"/>
      <c r="VAU954" s="24"/>
      <c r="VAV954" s="24"/>
      <c r="VAW954" s="24"/>
      <c r="VAX954" s="24"/>
      <c r="VAY954" s="24"/>
      <c r="VAZ954" s="24"/>
      <c r="VBA954" s="24"/>
      <c r="VBB954" s="24"/>
      <c r="VBC954" s="24"/>
      <c r="VBD954" s="24"/>
      <c r="VBE954" s="24"/>
      <c r="VBF954" s="24"/>
      <c r="VBG954" s="24"/>
      <c r="VBH954" s="24"/>
      <c r="VBI954" s="24"/>
      <c r="VBJ954" s="24"/>
      <c r="VBK954" s="24"/>
      <c r="VBL954" s="24"/>
      <c r="VBM954" s="24"/>
      <c r="VBN954" s="24"/>
      <c r="VBO954" s="24"/>
      <c r="VBP954" s="24"/>
      <c r="VBQ954" s="24"/>
      <c r="VBR954" s="24"/>
      <c r="VBS954" s="24"/>
      <c r="VBT954" s="24"/>
      <c r="VBU954" s="24"/>
      <c r="VBV954" s="24"/>
      <c r="VBW954" s="24"/>
      <c r="VBX954" s="24"/>
      <c r="VBY954" s="24"/>
      <c r="VBZ954" s="24"/>
      <c r="VCA954" s="24"/>
      <c r="VCB954" s="24"/>
      <c r="VCC954" s="24"/>
      <c r="VCD954" s="24"/>
      <c r="VCE954" s="24"/>
      <c r="VCF954" s="24"/>
      <c r="VCG954" s="24"/>
      <c r="VCH954" s="24"/>
      <c r="VCI954" s="24"/>
      <c r="VCJ954" s="24"/>
      <c r="VCK954" s="24"/>
      <c r="VCL954" s="24"/>
      <c r="VCM954" s="24"/>
      <c r="VCN954" s="24"/>
      <c r="VCO954" s="24"/>
      <c r="VCP954" s="24"/>
      <c r="VCQ954" s="24"/>
      <c r="VCR954" s="24"/>
      <c r="VCS954" s="24"/>
      <c r="VCT954" s="24"/>
      <c r="VCU954" s="24"/>
      <c r="VCV954" s="24"/>
      <c r="VCW954" s="24"/>
      <c r="VCX954" s="24"/>
      <c r="VCY954" s="24"/>
      <c r="VCZ954" s="24"/>
      <c r="VDA954" s="24"/>
      <c r="VDB954" s="24"/>
      <c r="VDC954" s="24"/>
      <c r="VDD954" s="24"/>
      <c r="VDE954" s="24"/>
      <c r="VDF954" s="24"/>
      <c r="VDG954" s="24"/>
      <c r="VDH954" s="24"/>
      <c r="VDI954" s="24"/>
      <c r="VDJ954" s="24"/>
      <c r="VDK954" s="24"/>
      <c r="VDL954" s="24"/>
      <c r="VDM954" s="24"/>
      <c r="VDN954" s="24"/>
      <c r="VDO954" s="24"/>
      <c r="VDP954" s="24"/>
      <c r="VDQ954" s="24"/>
      <c r="VDR954" s="24"/>
      <c r="VDS954" s="24"/>
      <c r="VDT954" s="24"/>
      <c r="VDU954" s="24"/>
      <c r="VDV954" s="24"/>
      <c r="VDW954" s="24"/>
      <c r="VDX954" s="24"/>
      <c r="VDY954" s="24"/>
      <c r="VDZ954" s="24"/>
      <c r="VEA954" s="24"/>
      <c r="VEB954" s="24"/>
      <c r="VEC954" s="24"/>
      <c r="VED954" s="24"/>
      <c r="VEE954" s="24"/>
      <c r="VEF954" s="24"/>
      <c r="VEG954" s="24"/>
      <c r="VEH954" s="24"/>
      <c r="VEI954" s="24"/>
      <c r="VEJ954" s="24"/>
      <c r="VEK954" s="24"/>
      <c r="VEL954" s="24"/>
      <c r="VEM954" s="24"/>
      <c r="VEN954" s="24"/>
      <c r="VEO954" s="24"/>
      <c r="VEP954" s="24"/>
      <c r="VEQ954" s="24"/>
      <c r="VER954" s="24"/>
      <c r="VES954" s="24"/>
      <c r="VET954" s="24"/>
      <c r="VEU954" s="24"/>
      <c r="VEV954" s="24"/>
      <c r="VEW954" s="24"/>
      <c r="VEX954" s="24"/>
      <c r="VEY954" s="24"/>
      <c r="VEZ954" s="24"/>
      <c r="VFA954" s="24"/>
      <c r="VFB954" s="24"/>
      <c r="VFC954" s="24"/>
      <c r="VFD954" s="24"/>
      <c r="VFE954" s="24"/>
      <c r="VFF954" s="24"/>
      <c r="VFG954" s="24"/>
      <c r="VFH954" s="24"/>
      <c r="VFI954" s="24"/>
      <c r="VFJ954" s="24"/>
      <c r="VFK954" s="24"/>
      <c r="VFL954" s="24"/>
      <c r="VFM954" s="24"/>
      <c r="VFN954" s="24"/>
      <c r="VFO954" s="24"/>
      <c r="VFP954" s="24"/>
      <c r="VFQ954" s="24"/>
      <c r="VFR954" s="24"/>
      <c r="VFS954" s="24"/>
      <c r="VFT954" s="24"/>
      <c r="VFU954" s="24"/>
      <c r="VFV954" s="24"/>
      <c r="VFW954" s="24"/>
      <c r="VFX954" s="24"/>
      <c r="VFY954" s="24"/>
      <c r="VFZ954" s="24"/>
      <c r="VGA954" s="24"/>
      <c r="VGB954" s="24"/>
      <c r="VGC954" s="24"/>
      <c r="VGD954" s="24"/>
      <c r="VGE954" s="24"/>
      <c r="VGF954" s="24"/>
      <c r="VGG954" s="24"/>
      <c r="VGH954" s="24"/>
      <c r="VGI954" s="24"/>
      <c r="VGJ954" s="24"/>
      <c r="VGK954" s="24"/>
      <c r="VGL954" s="24"/>
      <c r="VGM954" s="24"/>
      <c r="VGN954" s="24"/>
      <c r="VGO954" s="24"/>
      <c r="VGP954" s="24"/>
      <c r="VGQ954" s="24"/>
      <c r="VGR954" s="24"/>
      <c r="VGS954" s="24"/>
      <c r="VGT954" s="24"/>
      <c r="VGU954" s="24"/>
      <c r="VGV954" s="24"/>
      <c r="VGW954" s="24"/>
      <c r="VGX954" s="24"/>
      <c r="VGY954" s="24"/>
      <c r="VGZ954" s="24"/>
      <c r="VHA954" s="24"/>
      <c r="VHB954" s="24"/>
      <c r="VHC954" s="24"/>
      <c r="VHD954" s="24"/>
      <c r="VHE954" s="24"/>
      <c r="VHF954" s="24"/>
      <c r="VHG954" s="24"/>
      <c r="VHH954" s="24"/>
      <c r="VHI954" s="24"/>
      <c r="VHJ954" s="24"/>
      <c r="VHK954" s="24"/>
      <c r="VHL954" s="24"/>
      <c r="VHM954" s="24"/>
      <c r="VHN954" s="24"/>
      <c r="VHO954" s="24"/>
      <c r="VHP954" s="24"/>
      <c r="VHQ954" s="24"/>
      <c r="VHR954" s="24"/>
      <c r="VHS954" s="24"/>
      <c r="VHT954" s="24"/>
      <c r="VHU954" s="24"/>
      <c r="VHV954" s="24"/>
      <c r="VHW954" s="24"/>
      <c r="VHX954" s="24"/>
      <c r="VHY954" s="24"/>
      <c r="VHZ954" s="24"/>
      <c r="VIA954" s="24"/>
      <c r="VIB954" s="24"/>
      <c r="VIC954" s="24"/>
      <c r="VID954" s="24"/>
      <c r="VIE954" s="24"/>
      <c r="VIF954" s="24"/>
      <c r="VIG954" s="24"/>
      <c r="VIH954" s="24"/>
      <c r="VII954" s="24"/>
      <c r="VIJ954" s="24"/>
      <c r="VIK954" s="24"/>
      <c r="VIL954" s="24"/>
      <c r="VIM954" s="24"/>
      <c r="VIN954" s="24"/>
      <c r="VIO954" s="24"/>
      <c r="VIP954" s="24"/>
      <c r="VIQ954" s="24"/>
      <c r="VIR954" s="24"/>
      <c r="VIS954" s="24"/>
      <c r="VIT954" s="24"/>
      <c r="VIU954" s="24"/>
      <c r="VIV954" s="24"/>
      <c r="VIW954" s="24"/>
      <c r="VIX954" s="24"/>
      <c r="VIY954" s="24"/>
      <c r="VIZ954" s="24"/>
      <c r="VJA954" s="24"/>
      <c r="VJB954" s="24"/>
      <c r="VJC954" s="24"/>
      <c r="VJD954" s="24"/>
      <c r="VJE954" s="24"/>
      <c r="VJF954" s="24"/>
      <c r="VJG954" s="24"/>
      <c r="VJH954" s="24"/>
      <c r="VJI954" s="24"/>
      <c r="VJJ954" s="24"/>
      <c r="VJK954" s="24"/>
      <c r="VJL954" s="24"/>
      <c r="VJM954" s="24"/>
      <c r="VJN954" s="24"/>
      <c r="VJO954" s="24"/>
      <c r="VJP954" s="24"/>
      <c r="VJQ954" s="24"/>
      <c r="VJR954" s="24"/>
      <c r="VJS954" s="24"/>
      <c r="VJT954" s="24"/>
      <c r="VJU954" s="24"/>
      <c r="VJV954" s="24"/>
      <c r="VJW954" s="24"/>
      <c r="VJX954" s="24"/>
      <c r="VJY954" s="24"/>
      <c r="VJZ954" s="24"/>
      <c r="VKA954" s="24"/>
      <c r="VKB954" s="24"/>
      <c r="VKC954" s="24"/>
      <c r="VKD954" s="24"/>
      <c r="VKE954" s="24"/>
      <c r="VKF954" s="24"/>
      <c r="VKG954" s="24"/>
      <c r="VKH954" s="24"/>
      <c r="VKI954" s="24"/>
      <c r="VKJ954" s="24"/>
      <c r="VKK954" s="24"/>
      <c r="VKL954" s="24"/>
      <c r="VKM954" s="24"/>
      <c r="VKN954" s="24"/>
      <c r="VKO954" s="24"/>
      <c r="VKP954" s="24"/>
      <c r="VKQ954" s="24"/>
      <c r="VKR954" s="24"/>
      <c r="VKS954" s="24"/>
      <c r="VKT954" s="24"/>
      <c r="VKU954" s="24"/>
      <c r="VKV954" s="24"/>
      <c r="VKW954" s="24"/>
      <c r="VKX954" s="24"/>
      <c r="VKY954" s="24"/>
      <c r="VKZ954" s="24"/>
      <c r="VLA954" s="24"/>
      <c r="VLB954" s="24"/>
      <c r="VLC954" s="24"/>
      <c r="VLD954" s="24"/>
      <c r="VLE954" s="24"/>
      <c r="VLF954" s="24"/>
      <c r="VLG954" s="24"/>
      <c r="VLH954" s="24"/>
      <c r="VLI954" s="24"/>
      <c r="VLJ954" s="24"/>
      <c r="VLK954" s="24"/>
      <c r="VLL954" s="24"/>
      <c r="VLM954" s="24"/>
      <c r="VLN954" s="24"/>
      <c r="VLO954" s="24"/>
      <c r="VLP954" s="24"/>
      <c r="VLQ954" s="24"/>
      <c r="VLR954" s="24"/>
      <c r="VLS954" s="24"/>
      <c r="VLT954" s="24"/>
      <c r="VLU954" s="24"/>
      <c r="VLV954" s="24"/>
      <c r="VLW954" s="24"/>
      <c r="VLX954" s="24"/>
      <c r="VLY954" s="24"/>
      <c r="VLZ954" s="24"/>
      <c r="VMA954" s="24"/>
      <c r="VMB954" s="24"/>
      <c r="VMC954" s="24"/>
      <c r="VMD954" s="24"/>
      <c r="VME954" s="24"/>
      <c r="VMF954" s="24"/>
      <c r="VMG954" s="24"/>
      <c r="VMH954" s="24"/>
      <c r="VMI954" s="24"/>
      <c r="VMJ954" s="24"/>
      <c r="VMK954" s="24"/>
      <c r="VML954" s="24"/>
      <c r="VMM954" s="24"/>
      <c r="VMN954" s="24"/>
      <c r="VMO954" s="24"/>
      <c r="VMP954" s="24"/>
      <c r="VMQ954" s="24"/>
      <c r="VMR954" s="24"/>
      <c r="VMS954" s="24"/>
      <c r="VMT954" s="24"/>
      <c r="VMU954" s="24"/>
      <c r="VMV954" s="24"/>
      <c r="VMW954" s="24"/>
      <c r="VMX954" s="24"/>
      <c r="VMY954" s="24"/>
      <c r="VMZ954" s="24"/>
      <c r="VNA954" s="24"/>
      <c r="VNB954" s="24"/>
      <c r="VNC954" s="24"/>
      <c r="VND954" s="24"/>
      <c r="VNE954" s="24"/>
      <c r="VNF954" s="24"/>
      <c r="VNG954" s="24"/>
      <c r="VNH954" s="24"/>
      <c r="VNI954" s="24"/>
      <c r="VNJ954" s="24"/>
      <c r="VNK954" s="24"/>
      <c r="VNL954" s="24"/>
      <c r="VNM954" s="24"/>
      <c r="VNN954" s="24"/>
      <c r="VNO954" s="24"/>
      <c r="VNP954" s="24"/>
      <c r="VNQ954" s="24"/>
      <c r="VNR954" s="24"/>
      <c r="VNS954" s="24"/>
      <c r="VNT954" s="24"/>
      <c r="VNU954" s="24"/>
      <c r="VNV954" s="24"/>
      <c r="VNW954" s="24"/>
      <c r="VNX954" s="24"/>
      <c r="VNY954" s="24"/>
      <c r="VNZ954" s="24"/>
      <c r="VOA954" s="24"/>
      <c r="VOB954" s="24"/>
      <c r="VOC954" s="24"/>
      <c r="VOD954" s="24"/>
      <c r="VOE954" s="24"/>
      <c r="VOF954" s="24"/>
      <c r="VOG954" s="24"/>
      <c r="VOH954" s="24"/>
      <c r="VOI954" s="24"/>
      <c r="VOJ954" s="24"/>
      <c r="VOK954" s="24"/>
      <c r="VOL954" s="24"/>
      <c r="VOM954" s="24"/>
      <c r="VON954" s="24"/>
      <c r="VOO954" s="24"/>
      <c r="VOP954" s="24"/>
      <c r="VOQ954" s="24"/>
      <c r="VOR954" s="24"/>
      <c r="VOS954" s="24"/>
      <c r="VOT954" s="24"/>
      <c r="VOU954" s="24"/>
      <c r="VOV954" s="24"/>
      <c r="VOW954" s="24"/>
      <c r="VOX954" s="24"/>
      <c r="VOY954" s="24"/>
      <c r="VOZ954" s="24"/>
      <c r="VPA954" s="24"/>
      <c r="VPB954" s="24"/>
      <c r="VPC954" s="24"/>
      <c r="VPD954" s="24"/>
      <c r="VPE954" s="24"/>
      <c r="VPF954" s="24"/>
      <c r="VPG954" s="24"/>
      <c r="VPH954" s="24"/>
      <c r="VPI954" s="24"/>
      <c r="VPJ954" s="24"/>
      <c r="VPK954" s="24"/>
      <c r="VPL954" s="24"/>
      <c r="VPM954" s="24"/>
      <c r="VPN954" s="24"/>
      <c r="VPO954" s="24"/>
      <c r="VPP954" s="24"/>
      <c r="VPQ954" s="24"/>
      <c r="VPR954" s="24"/>
      <c r="VPS954" s="24"/>
      <c r="VPT954" s="24"/>
      <c r="VPU954" s="24"/>
      <c r="VPV954" s="24"/>
      <c r="VPW954" s="24"/>
      <c r="VPX954" s="24"/>
      <c r="VPY954" s="24"/>
      <c r="VPZ954" s="24"/>
      <c r="VQA954" s="24"/>
      <c r="VQB954" s="24"/>
      <c r="VQC954" s="24"/>
      <c r="VQD954" s="24"/>
      <c r="VQE954" s="24"/>
      <c r="VQF954" s="24"/>
      <c r="VQG954" s="24"/>
      <c r="VQH954" s="24"/>
      <c r="VQI954" s="24"/>
      <c r="VQJ954" s="24"/>
      <c r="VQK954" s="24"/>
      <c r="VQL954" s="24"/>
      <c r="VQM954" s="24"/>
      <c r="VQN954" s="24"/>
      <c r="VQO954" s="24"/>
      <c r="VQP954" s="24"/>
      <c r="VQQ954" s="24"/>
      <c r="VQR954" s="24"/>
      <c r="VQS954" s="24"/>
      <c r="VQT954" s="24"/>
      <c r="VQU954" s="24"/>
      <c r="VQV954" s="24"/>
      <c r="VQW954" s="24"/>
      <c r="VQX954" s="24"/>
      <c r="VQY954" s="24"/>
      <c r="VQZ954" s="24"/>
      <c r="VRA954" s="24"/>
      <c r="VRB954" s="24"/>
      <c r="VRC954" s="24"/>
      <c r="VRD954" s="24"/>
      <c r="VRE954" s="24"/>
      <c r="VRF954" s="24"/>
      <c r="VRG954" s="24"/>
      <c r="VRH954" s="24"/>
      <c r="VRI954" s="24"/>
      <c r="VRJ954" s="24"/>
      <c r="VRK954" s="24"/>
      <c r="VRL954" s="24"/>
      <c r="VRM954" s="24"/>
      <c r="VRN954" s="24"/>
      <c r="VRO954" s="24"/>
      <c r="VRP954" s="24"/>
      <c r="VRQ954" s="24"/>
      <c r="VRR954" s="24"/>
      <c r="VRS954" s="24"/>
      <c r="VRT954" s="24"/>
      <c r="VRU954" s="24"/>
      <c r="VRV954" s="24"/>
      <c r="VRW954" s="24"/>
      <c r="VRX954" s="24"/>
      <c r="VRY954" s="24"/>
      <c r="VRZ954" s="24"/>
      <c r="VSA954" s="24"/>
      <c r="VSB954" s="24"/>
      <c r="VSC954" s="24"/>
      <c r="VSD954" s="24"/>
      <c r="VSE954" s="24"/>
      <c r="VSF954" s="24"/>
      <c r="VSG954" s="24"/>
      <c r="VSH954" s="24"/>
      <c r="VSI954" s="24"/>
      <c r="VSJ954" s="24"/>
      <c r="VSK954" s="24"/>
      <c r="VSL954" s="24"/>
      <c r="VSM954" s="24"/>
      <c r="VSN954" s="24"/>
      <c r="VSO954" s="24"/>
      <c r="VSP954" s="24"/>
      <c r="VSQ954" s="24"/>
      <c r="VSR954" s="24"/>
      <c r="VSS954" s="24"/>
      <c r="VST954" s="24"/>
      <c r="VSU954" s="24"/>
      <c r="VSV954" s="24"/>
      <c r="VSW954" s="24"/>
      <c r="VSX954" s="24"/>
      <c r="VSY954" s="24"/>
      <c r="VSZ954" s="24"/>
      <c r="VTA954" s="24"/>
      <c r="VTB954" s="24"/>
      <c r="VTC954" s="24"/>
      <c r="VTD954" s="24"/>
      <c r="VTE954" s="24"/>
      <c r="VTF954" s="24"/>
      <c r="VTG954" s="24"/>
      <c r="VTH954" s="24"/>
      <c r="VTI954" s="24"/>
      <c r="VTJ954" s="24"/>
      <c r="VTK954" s="24"/>
      <c r="VTL954" s="24"/>
      <c r="VTM954" s="24"/>
      <c r="VTN954" s="24"/>
      <c r="VTO954" s="24"/>
      <c r="VTP954" s="24"/>
      <c r="VTQ954" s="24"/>
      <c r="VTR954" s="24"/>
      <c r="VTS954" s="24"/>
      <c r="VTT954" s="24"/>
      <c r="VTU954" s="24"/>
      <c r="VTV954" s="24"/>
      <c r="VTW954" s="24"/>
      <c r="VTX954" s="24"/>
      <c r="VTY954" s="24"/>
      <c r="VTZ954" s="24"/>
      <c r="VUA954" s="24"/>
      <c r="VUB954" s="24"/>
      <c r="VUC954" s="24"/>
      <c r="VUD954" s="24"/>
      <c r="VUE954" s="24"/>
      <c r="VUF954" s="24"/>
      <c r="VUG954" s="24"/>
      <c r="VUH954" s="24"/>
      <c r="VUI954" s="24"/>
      <c r="VUJ954" s="24"/>
      <c r="VUK954" s="24"/>
      <c r="VUL954" s="24"/>
      <c r="VUM954" s="24"/>
      <c r="VUN954" s="24"/>
      <c r="VUO954" s="24"/>
      <c r="VUP954" s="24"/>
      <c r="VUQ954" s="24"/>
      <c r="VUR954" s="24"/>
      <c r="VUS954" s="24"/>
      <c r="VUT954" s="24"/>
      <c r="VUU954" s="24"/>
      <c r="VUV954" s="24"/>
      <c r="VUW954" s="24"/>
      <c r="VUX954" s="24"/>
      <c r="VUY954" s="24"/>
      <c r="VUZ954" s="24"/>
      <c r="VVA954" s="24"/>
      <c r="VVB954" s="24"/>
      <c r="VVC954" s="24"/>
      <c r="VVD954" s="24"/>
      <c r="VVE954" s="24"/>
      <c r="VVF954" s="24"/>
      <c r="VVG954" s="24"/>
      <c r="VVH954" s="24"/>
      <c r="VVI954" s="24"/>
      <c r="VVJ954" s="24"/>
      <c r="VVK954" s="24"/>
      <c r="VVL954" s="24"/>
      <c r="VVM954" s="24"/>
      <c r="VVN954" s="24"/>
      <c r="VVO954" s="24"/>
      <c r="VVP954" s="24"/>
      <c r="VVQ954" s="24"/>
      <c r="VVR954" s="24"/>
      <c r="VVS954" s="24"/>
      <c r="VVT954" s="24"/>
      <c r="VVU954" s="24"/>
      <c r="VVV954" s="24"/>
      <c r="VVW954" s="24"/>
      <c r="VVX954" s="24"/>
      <c r="VVY954" s="24"/>
      <c r="VVZ954" s="24"/>
      <c r="VWA954" s="24"/>
      <c r="VWB954" s="24"/>
      <c r="VWC954" s="24"/>
      <c r="VWD954" s="24"/>
      <c r="VWE954" s="24"/>
      <c r="VWF954" s="24"/>
      <c r="VWG954" s="24"/>
      <c r="VWH954" s="24"/>
      <c r="VWI954" s="24"/>
      <c r="VWJ954" s="24"/>
      <c r="VWK954" s="24"/>
      <c r="VWL954" s="24"/>
      <c r="VWM954" s="24"/>
      <c r="VWN954" s="24"/>
      <c r="VWO954" s="24"/>
      <c r="VWP954" s="24"/>
      <c r="VWQ954" s="24"/>
      <c r="VWR954" s="24"/>
      <c r="VWS954" s="24"/>
      <c r="VWT954" s="24"/>
      <c r="VWU954" s="24"/>
      <c r="VWV954" s="24"/>
      <c r="VWW954" s="24"/>
      <c r="VWX954" s="24"/>
      <c r="VWY954" s="24"/>
      <c r="VWZ954" s="24"/>
      <c r="VXA954" s="24"/>
      <c r="VXB954" s="24"/>
      <c r="VXC954" s="24"/>
      <c r="VXD954" s="24"/>
      <c r="VXE954" s="24"/>
      <c r="VXF954" s="24"/>
      <c r="VXG954" s="24"/>
      <c r="VXH954" s="24"/>
      <c r="VXI954" s="24"/>
      <c r="VXJ954" s="24"/>
      <c r="VXK954" s="24"/>
      <c r="VXL954" s="24"/>
      <c r="VXM954" s="24"/>
      <c r="VXN954" s="24"/>
      <c r="VXO954" s="24"/>
      <c r="VXP954" s="24"/>
      <c r="VXQ954" s="24"/>
      <c r="VXR954" s="24"/>
      <c r="VXS954" s="24"/>
      <c r="VXT954" s="24"/>
      <c r="VXU954" s="24"/>
      <c r="VXV954" s="24"/>
      <c r="VXW954" s="24"/>
      <c r="VXX954" s="24"/>
      <c r="VXY954" s="24"/>
      <c r="VXZ954" s="24"/>
      <c r="VYA954" s="24"/>
      <c r="VYB954" s="24"/>
      <c r="VYC954" s="24"/>
      <c r="VYD954" s="24"/>
      <c r="VYE954" s="24"/>
      <c r="VYF954" s="24"/>
      <c r="VYG954" s="24"/>
      <c r="VYH954" s="24"/>
      <c r="VYI954" s="24"/>
      <c r="VYJ954" s="24"/>
      <c r="VYK954" s="24"/>
      <c r="VYL954" s="24"/>
      <c r="VYM954" s="24"/>
      <c r="VYN954" s="24"/>
      <c r="VYO954" s="24"/>
      <c r="VYP954" s="24"/>
      <c r="VYQ954" s="24"/>
      <c r="VYR954" s="24"/>
      <c r="VYS954" s="24"/>
      <c r="VYT954" s="24"/>
      <c r="VYU954" s="24"/>
      <c r="VYV954" s="24"/>
      <c r="VYW954" s="24"/>
      <c r="VYX954" s="24"/>
      <c r="VYY954" s="24"/>
      <c r="VYZ954" s="24"/>
      <c r="VZA954" s="24"/>
      <c r="VZB954" s="24"/>
      <c r="VZC954" s="24"/>
      <c r="VZD954" s="24"/>
      <c r="VZE954" s="24"/>
      <c r="VZF954" s="24"/>
      <c r="VZG954" s="24"/>
      <c r="VZH954" s="24"/>
      <c r="VZI954" s="24"/>
      <c r="VZJ954" s="24"/>
      <c r="VZK954" s="24"/>
      <c r="VZL954" s="24"/>
      <c r="VZM954" s="24"/>
      <c r="VZN954" s="24"/>
      <c r="VZO954" s="24"/>
      <c r="VZP954" s="24"/>
      <c r="VZQ954" s="24"/>
      <c r="VZR954" s="24"/>
      <c r="VZS954" s="24"/>
      <c r="VZT954" s="24"/>
      <c r="VZU954" s="24"/>
      <c r="VZV954" s="24"/>
      <c r="VZW954" s="24"/>
      <c r="VZX954" s="24"/>
      <c r="VZY954" s="24"/>
      <c r="VZZ954" s="24"/>
      <c r="WAA954" s="24"/>
      <c r="WAB954" s="24"/>
      <c r="WAC954" s="24"/>
      <c r="WAD954" s="24"/>
      <c r="WAE954" s="24"/>
      <c r="WAF954" s="24"/>
      <c r="WAG954" s="24"/>
      <c r="WAH954" s="24"/>
      <c r="WAI954" s="24"/>
      <c r="WAJ954" s="24"/>
      <c r="WAK954" s="24"/>
      <c r="WAL954" s="24"/>
      <c r="WAM954" s="24"/>
      <c r="WAN954" s="24"/>
      <c r="WAO954" s="24"/>
      <c r="WAP954" s="24"/>
      <c r="WAQ954" s="24"/>
      <c r="WAR954" s="24"/>
      <c r="WAS954" s="24"/>
      <c r="WAT954" s="24"/>
      <c r="WAU954" s="24"/>
      <c r="WAV954" s="24"/>
      <c r="WAW954" s="24"/>
      <c r="WAX954" s="24"/>
      <c r="WAY954" s="24"/>
      <c r="WAZ954" s="24"/>
      <c r="WBA954" s="24"/>
      <c r="WBB954" s="24"/>
      <c r="WBC954" s="24"/>
      <c r="WBD954" s="24"/>
      <c r="WBE954" s="24"/>
      <c r="WBF954" s="24"/>
      <c r="WBG954" s="24"/>
      <c r="WBH954" s="24"/>
      <c r="WBI954" s="24"/>
      <c r="WBJ954" s="24"/>
      <c r="WBK954" s="24"/>
      <c r="WBL954" s="24"/>
      <c r="WBM954" s="24"/>
      <c r="WBN954" s="24"/>
      <c r="WBO954" s="24"/>
      <c r="WBP954" s="24"/>
      <c r="WBQ954" s="24"/>
      <c r="WBR954" s="24"/>
      <c r="WBS954" s="24"/>
      <c r="WBT954" s="24"/>
      <c r="WBU954" s="24"/>
      <c r="WBV954" s="24"/>
      <c r="WBW954" s="24"/>
      <c r="WBX954" s="24"/>
      <c r="WBY954" s="24"/>
      <c r="WBZ954" s="24"/>
      <c r="WCA954" s="24"/>
      <c r="WCB954" s="24"/>
      <c r="WCC954" s="24"/>
      <c r="WCD954" s="24"/>
      <c r="WCE954" s="24"/>
      <c r="WCF954" s="24"/>
      <c r="WCG954" s="24"/>
      <c r="WCH954" s="24"/>
      <c r="WCI954" s="24"/>
      <c r="WCJ954" s="24"/>
      <c r="WCK954" s="24"/>
      <c r="WCL954" s="24"/>
      <c r="WCM954" s="24"/>
      <c r="WCN954" s="24"/>
      <c r="WCO954" s="24"/>
      <c r="WCP954" s="24"/>
      <c r="WCQ954" s="24"/>
      <c r="WCR954" s="24"/>
      <c r="WCS954" s="24"/>
      <c r="WCT954" s="24"/>
      <c r="WCU954" s="24"/>
      <c r="WCV954" s="24"/>
      <c r="WCW954" s="24"/>
      <c r="WCX954" s="24"/>
      <c r="WCY954" s="24"/>
      <c r="WCZ954" s="24"/>
      <c r="WDA954" s="24"/>
      <c r="WDB954" s="24"/>
      <c r="WDC954" s="24"/>
      <c r="WDD954" s="24"/>
      <c r="WDE954" s="24"/>
      <c r="WDF954" s="24"/>
      <c r="WDG954" s="24"/>
      <c r="WDH954" s="24"/>
      <c r="WDI954" s="24"/>
      <c r="WDJ954" s="24"/>
      <c r="WDK954" s="24"/>
      <c r="WDL954" s="24"/>
      <c r="WDM954" s="24"/>
      <c r="WDN954" s="24"/>
      <c r="WDO954" s="24"/>
      <c r="WDP954" s="24"/>
      <c r="WDQ954" s="24"/>
      <c r="WDR954" s="24"/>
      <c r="WDS954" s="24"/>
      <c r="WDT954" s="24"/>
      <c r="WDU954" s="24"/>
      <c r="WDV954" s="24"/>
      <c r="WDW954" s="24"/>
      <c r="WDX954" s="24"/>
      <c r="WDY954" s="24"/>
      <c r="WDZ954" s="24"/>
      <c r="WEA954" s="24"/>
      <c r="WEB954" s="24"/>
      <c r="WEC954" s="24"/>
      <c r="WED954" s="24"/>
      <c r="WEE954" s="24"/>
      <c r="WEF954" s="24"/>
      <c r="WEG954" s="24"/>
      <c r="WEH954" s="24"/>
      <c r="WEI954" s="24"/>
      <c r="WEJ954" s="24"/>
      <c r="WEK954" s="24"/>
      <c r="WEL954" s="24"/>
      <c r="WEM954" s="24"/>
      <c r="WEN954" s="24"/>
      <c r="WEO954" s="24"/>
      <c r="WEP954" s="24"/>
      <c r="WEQ954" s="24"/>
      <c r="WER954" s="24"/>
      <c r="WES954" s="24"/>
      <c r="WET954" s="24"/>
      <c r="WEU954" s="24"/>
      <c r="WEV954" s="24"/>
      <c r="WEW954" s="24"/>
      <c r="WEX954" s="24"/>
      <c r="WEY954" s="24"/>
      <c r="WEZ954" s="24"/>
      <c r="WFA954" s="24"/>
      <c r="WFB954" s="24"/>
      <c r="WFC954" s="24"/>
      <c r="WFD954" s="24"/>
      <c r="WFE954" s="24"/>
      <c r="WFF954" s="24"/>
      <c r="WFG954" s="24"/>
      <c r="WFH954" s="24"/>
      <c r="WFI954" s="24"/>
      <c r="WFJ954" s="24"/>
      <c r="WFK954" s="24"/>
      <c r="WFL954" s="24"/>
      <c r="WFM954" s="24"/>
      <c r="WFN954" s="24"/>
      <c r="WFO954" s="24"/>
      <c r="WFP954" s="24"/>
      <c r="WFQ954" s="24"/>
      <c r="WFR954" s="24"/>
      <c r="WFS954" s="24"/>
      <c r="WFT954" s="24"/>
      <c r="WFU954" s="24"/>
      <c r="WFV954" s="24"/>
      <c r="WFW954" s="24"/>
      <c r="WFX954" s="24"/>
      <c r="WFY954" s="24"/>
      <c r="WFZ954" s="24"/>
      <c r="WGA954" s="24"/>
      <c r="WGB954" s="24"/>
      <c r="WGC954" s="24"/>
      <c r="WGD954" s="24"/>
      <c r="WGE954" s="24"/>
      <c r="WGF954" s="24"/>
      <c r="WGG954" s="24"/>
      <c r="WGH954" s="24"/>
      <c r="WGI954" s="24"/>
      <c r="WGJ954" s="24"/>
      <c r="WGK954" s="24"/>
      <c r="WGL954" s="24"/>
      <c r="WGM954" s="24"/>
      <c r="WGN954" s="24"/>
      <c r="WGO954" s="24"/>
      <c r="WGP954" s="24"/>
      <c r="WGQ954" s="24"/>
      <c r="WGR954" s="24"/>
      <c r="WGS954" s="24"/>
      <c r="WGT954" s="24"/>
      <c r="WGU954" s="24"/>
      <c r="WGV954" s="24"/>
      <c r="WGW954" s="24"/>
      <c r="WGX954" s="24"/>
      <c r="WGY954" s="24"/>
      <c r="WGZ954" s="24"/>
      <c r="WHA954" s="24"/>
      <c r="WHB954" s="24"/>
      <c r="WHC954" s="24"/>
      <c r="WHD954" s="24"/>
      <c r="WHE954" s="24"/>
      <c r="WHF954" s="24"/>
      <c r="WHG954" s="24"/>
      <c r="WHH954" s="24"/>
      <c r="WHI954" s="24"/>
      <c r="WHJ954" s="24"/>
      <c r="WHK954" s="24"/>
      <c r="WHL954" s="24"/>
      <c r="WHM954" s="24"/>
      <c r="WHN954" s="24"/>
      <c r="WHO954" s="24"/>
      <c r="WHP954" s="24"/>
      <c r="WHQ954" s="24"/>
      <c r="WHR954" s="24"/>
      <c r="WHS954" s="24"/>
      <c r="WHT954" s="24"/>
      <c r="WHU954" s="24"/>
      <c r="WHV954" s="24"/>
      <c r="WHW954" s="24"/>
      <c r="WHX954" s="24"/>
      <c r="WHY954" s="24"/>
      <c r="WHZ954" s="24"/>
      <c r="WIA954" s="24"/>
      <c r="WIB954" s="24"/>
      <c r="WIC954" s="24"/>
      <c r="WID954" s="24"/>
      <c r="WIE954" s="24"/>
      <c r="WIF954" s="24"/>
      <c r="WIG954" s="24"/>
      <c r="WIH954" s="24"/>
      <c r="WII954" s="24"/>
      <c r="WIJ954" s="24"/>
      <c r="WIK954" s="24"/>
      <c r="WIL954" s="24"/>
      <c r="WIM954" s="24"/>
      <c r="WIN954" s="24"/>
      <c r="WIO954" s="24"/>
      <c r="WIP954" s="24"/>
      <c r="WIQ954" s="24"/>
      <c r="WIR954" s="24"/>
      <c r="WIS954" s="24"/>
      <c r="WIT954" s="24"/>
      <c r="WIU954" s="24"/>
      <c r="WIV954" s="24"/>
      <c r="WIW954" s="24"/>
      <c r="WIX954" s="24"/>
      <c r="WIY954" s="24"/>
      <c r="WIZ954" s="24"/>
      <c r="WJA954" s="24"/>
      <c r="WJB954" s="24"/>
      <c r="WJC954" s="24"/>
      <c r="WJD954" s="24"/>
      <c r="WJE954" s="24"/>
      <c r="WJF954" s="24"/>
      <c r="WJG954" s="24"/>
      <c r="WJH954" s="24"/>
      <c r="WJI954" s="24"/>
      <c r="WJJ954" s="24"/>
      <c r="WJK954" s="24"/>
      <c r="WJL954" s="24"/>
      <c r="WJM954" s="24"/>
      <c r="WJN954" s="24"/>
      <c r="WJO954" s="24"/>
      <c r="WJP954" s="24"/>
      <c r="WJQ954" s="24"/>
      <c r="WJR954" s="24"/>
      <c r="WJS954" s="24"/>
      <c r="WJT954" s="24"/>
      <c r="WJU954" s="24"/>
      <c r="WJV954" s="24"/>
      <c r="WJW954" s="24"/>
      <c r="WJX954" s="24"/>
      <c r="WJY954" s="24"/>
      <c r="WJZ954" s="24"/>
      <c r="WKA954" s="24"/>
      <c r="WKB954" s="24"/>
      <c r="WKC954" s="24"/>
      <c r="WKD954" s="24"/>
      <c r="WKE954" s="24"/>
      <c r="WKF954" s="24"/>
      <c r="WKG954" s="24"/>
      <c r="WKH954" s="24"/>
      <c r="WKI954" s="24"/>
      <c r="WKJ954" s="24"/>
      <c r="WKK954" s="24"/>
      <c r="WKL954" s="24"/>
      <c r="WKM954" s="24"/>
      <c r="WKN954" s="24"/>
      <c r="WKO954" s="24"/>
      <c r="WKP954" s="24"/>
      <c r="WKQ954" s="24"/>
      <c r="WKR954" s="24"/>
      <c r="WKS954" s="24"/>
      <c r="WKT954" s="24"/>
      <c r="WKU954" s="24"/>
      <c r="WKV954" s="24"/>
      <c r="WKW954" s="24"/>
      <c r="WKX954" s="24"/>
      <c r="WKY954" s="24"/>
      <c r="WKZ954" s="24"/>
      <c r="WLA954" s="24"/>
      <c r="WLB954" s="24"/>
      <c r="WLC954" s="24"/>
      <c r="WLD954" s="24"/>
      <c r="WLE954" s="24"/>
      <c r="WLF954" s="24"/>
      <c r="WLG954" s="24"/>
      <c r="WLH954" s="24"/>
      <c r="WLI954" s="24"/>
      <c r="WLJ954" s="24"/>
      <c r="WLK954" s="24"/>
      <c r="WLL954" s="24"/>
      <c r="WLM954" s="24"/>
      <c r="WLN954" s="24"/>
      <c r="WLO954" s="24"/>
      <c r="WLP954" s="24"/>
      <c r="WLQ954" s="24"/>
      <c r="WLR954" s="24"/>
      <c r="WLS954" s="24"/>
      <c r="WLT954" s="24"/>
      <c r="WLU954" s="24"/>
      <c r="WLV954" s="24"/>
      <c r="WLW954" s="24"/>
      <c r="WLX954" s="24"/>
      <c r="WLY954" s="24"/>
      <c r="WLZ954" s="24"/>
      <c r="WMA954" s="24"/>
      <c r="WMB954" s="24"/>
      <c r="WMC954" s="24"/>
      <c r="WMD954" s="24"/>
      <c r="WME954" s="24"/>
      <c r="WMF954" s="24"/>
      <c r="WMG954" s="24"/>
      <c r="WMH954" s="24"/>
      <c r="WMI954" s="24"/>
      <c r="WMJ954" s="24"/>
      <c r="WMK954" s="24"/>
      <c r="WML954" s="24"/>
      <c r="WMM954" s="24"/>
      <c r="WMN954" s="24"/>
      <c r="WMO954" s="24"/>
      <c r="WMP954" s="24"/>
      <c r="WMQ954" s="24"/>
      <c r="WMR954" s="24"/>
      <c r="WMS954" s="24"/>
      <c r="WMT954" s="24"/>
      <c r="WMU954" s="24"/>
      <c r="WMV954" s="24"/>
      <c r="WMW954" s="24"/>
      <c r="WMX954" s="24"/>
      <c r="WMY954" s="24"/>
      <c r="WMZ954" s="24"/>
      <c r="WNA954" s="24"/>
      <c r="WNB954" s="24"/>
      <c r="WNC954" s="24"/>
      <c r="WND954" s="24"/>
      <c r="WNE954" s="24"/>
      <c r="WNF954" s="24"/>
      <c r="WNG954" s="24"/>
      <c r="WNH954" s="24"/>
      <c r="WNI954" s="24"/>
      <c r="WNJ954" s="24"/>
      <c r="WNK954" s="24"/>
      <c r="WNL954" s="24"/>
      <c r="WNM954" s="24"/>
      <c r="WNN954" s="24"/>
      <c r="WNO954" s="24"/>
      <c r="WNP954" s="24"/>
      <c r="WNQ954" s="24"/>
      <c r="WNR954" s="24"/>
      <c r="WNS954" s="24"/>
      <c r="WNT954" s="24"/>
      <c r="WNU954" s="24"/>
      <c r="WNV954" s="24"/>
      <c r="WNW954" s="24"/>
      <c r="WNX954" s="24"/>
      <c r="WNY954" s="24"/>
      <c r="WNZ954" s="24"/>
      <c r="WOA954" s="24"/>
      <c r="WOB954" s="24"/>
      <c r="WOC954" s="24"/>
      <c r="WOD954" s="24"/>
      <c r="WOE954" s="24"/>
      <c r="WOF954" s="24"/>
      <c r="WOG954" s="24"/>
      <c r="WOH954" s="24"/>
      <c r="WOI954" s="24"/>
      <c r="WOJ954" s="24"/>
      <c r="WOK954" s="24"/>
      <c r="WOL954" s="24"/>
      <c r="WOM954" s="24"/>
      <c r="WON954" s="24"/>
      <c r="WOO954" s="24"/>
      <c r="WOP954" s="24"/>
      <c r="WOQ954" s="24"/>
      <c r="WOR954" s="24"/>
      <c r="WOS954" s="24"/>
      <c r="WOT954" s="24"/>
      <c r="WOU954" s="24"/>
      <c r="WOV954" s="24"/>
      <c r="WOW954" s="24"/>
      <c r="WOX954" s="24"/>
      <c r="WOY954" s="24"/>
      <c r="WOZ954" s="24"/>
      <c r="WPA954" s="24"/>
      <c r="WPB954" s="24"/>
      <c r="WPC954" s="24"/>
      <c r="WPD954" s="24"/>
      <c r="WPE954" s="24"/>
      <c r="WPF954" s="24"/>
      <c r="WPG954" s="24"/>
      <c r="WPH954" s="24"/>
      <c r="WPI954" s="24"/>
      <c r="WPJ954" s="24"/>
      <c r="WPK954" s="24"/>
      <c r="WPL954" s="24"/>
      <c r="WPM954" s="24"/>
      <c r="WPN954" s="24"/>
      <c r="WPO954" s="24"/>
      <c r="WPP954" s="24"/>
      <c r="WPQ954" s="24"/>
      <c r="WPR954" s="24"/>
      <c r="WPS954" s="24"/>
      <c r="WPT954" s="24"/>
      <c r="WPU954" s="24"/>
      <c r="WPV954" s="24"/>
      <c r="WPW954" s="24"/>
      <c r="WPX954" s="24"/>
      <c r="WPY954" s="24"/>
      <c r="WPZ954" s="24"/>
      <c r="WQA954" s="24"/>
      <c r="WQB954" s="24"/>
      <c r="WQC954" s="24"/>
      <c r="WQD954" s="24"/>
      <c r="WQE954" s="24"/>
      <c r="WQF954" s="24"/>
      <c r="WQG954" s="24"/>
      <c r="WQH954" s="24"/>
      <c r="WQI954" s="24"/>
      <c r="WQJ954" s="24"/>
      <c r="WQK954" s="24"/>
      <c r="WQL954" s="24"/>
      <c r="WQM954" s="24"/>
      <c r="WQN954" s="24"/>
      <c r="WQO954" s="24"/>
      <c r="WQP954" s="24"/>
      <c r="WQQ954" s="24"/>
      <c r="WQR954" s="24"/>
      <c r="WQS954" s="24"/>
      <c r="WQT954" s="24"/>
      <c r="WQU954" s="24"/>
      <c r="WQV954" s="24"/>
      <c r="WQW954" s="24"/>
      <c r="WQX954" s="24"/>
      <c r="WQY954" s="24"/>
      <c r="WQZ954" s="24"/>
      <c r="WRA954" s="24"/>
      <c r="WRB954" s="24"/>
      <c r="WRC954" s="24"/>
      <c r="WRD954" s="24"/>
      <c r="WRE954" s="24"/>
      <c r="WRF954" s="24"/>
      <c r="WRG954" s="24"/>
      <c r="WRH954" s="24"/>
      <c r="WRI954" s="24"/>
      <c r="WRJ954" s="24"/>
      <c r="WRK954" s="24"/>
      <c r="WRL954" s="24"/>
      <c r="WRM954" s="24"/>
      <c r="WRN954" s="24"/>
      <c r="WRO954" s="24"/>
      <c r="WRP954" s="24"/>
      <c r="WRQ954" s="24"/>
      <c r="WRR954" s="24"/>
      <c r="WRS954" s="24"/>
      <c r="WRT954" s="24"/>
      <c r="WRU954" s="24"/>
      <c r="WRV954" s="24"/>
      <c r="WRW954" s="24"/>
      <c r="WRX954" s="24"/>
      <c r="WRY954" s="24"/>
      <c r="WRZ954" s="24"/>
      <c r="WSA954" s="24"/>
      <c r="WSB954" s="24"/>
      <c r="WSC954" s="24"/>
      <c r="WSD954" s="24"/>
      <c r="WSE954" s="24"/>
      <c r="WSF954" s="24"/>
      <c r="WSG954" s="24"/>
      <c r="WSH954" s="24"/>
      <c r="WSI954" s="24"/>
      <c r="WSJ954" s="24"/>
      <c r="WSK954" s="24"/>
      <c r="WSL954" s="24"/>
      <c r="WSM954" s="24"/>
      <c r="WSN954" s="24"/>
      <c r="WSO954" s="24"/>
      <c r="WSP954" s="24"/>
      <c r="WSQ954" s="24"/>
      <c r="WSR954" s="24"/>
      <c r="WSS954" s="24"/>
      <c r="WST954" s="24"/>
      <c r="WSU954" s="24"/>
      <c r="WSV954" s="24"/>
      <c r="WSW954" s="24"/>
      <c r="WSX954" s="24"/>
      <c r="WSY954" s="24"/>
      <c r="WSZ954" s="24"/>
      <c r="WTA954" s="24"/>
      <c r="WTB954" s="24"/>
      <c r="WTC954" s="24"/>
      <c r="WTD954" s="24"/>
      <c r="WTE954" s="24"/>
      <c r="WTF954" s="24"/>
      <c r="WTG954" s="24"/>
      <c r="WTH954" s="24"/>
      <c r="WTI954" s="24"/>
      <c r="WTJ954" s="24"/>
      <c r="WTK954" s="24"/>
      <c r="WTL954" s="24"/>
      <c r="WTM954" s="24"/>
      <c r="WTN954" s="24"/>
      <c r="WTO954" s="24"/>
      <c r="WTP954" s="24"/>
      <c r="WTQ954" s="24"/>
      <c r="WTR954" s="24"/>
      <c r="WTS954" s="24"/>
      <c r="WTT954" s="24"/>
      <c r="WTU954" s="24"/>
      <c r="WTV954" s="24"/>
      <c r="WTW954" s="24"/>
      <c r="WTX954" s="24"/>
      <c r="WTY954" s="24"/>
      <c r="WTZ954" s="24"/>
      <c r="WUA954" s="24"/>
      <c r="WUB954" s="24"/>
      <c r="WUC954" s="24"/>
      <c r="WUD954" s="24"/>
      <c r="WUE954" s="24"/>
      <c r="WUF954" s="24"/>
      <c r="WUG954" s="24"/>
      <c r="WUH954" s="24"/>
      <c r="WUI954" s="24"/>
      <c r="WUJ954" s="24"/>
      <c r="WUK954" s="24"/>
      <c r="WUL954" s="24"/>
      <c r="WUM954" s="24"/>
      <c r="WUN954" s="24"/>
      <c r="WUO954" s="24"/>
      <c r="WUP954" s="24"/>
      <c r="WUQ954" s="24"/>
      <c r="WUR954" s="24"/>
      <c r="WUS954" s="24"/>
      <c r="WUT954" s="24"/>
      <c r="WUU954" s="24"/>
      <c r="WUV954" s="24"/>
      <c r="WUW954" s="24"/>
      <c r="WUX954" s="24"/>
      <c r="WUY954" s="24"/>
      <c r="WUZ954" s="24"/>
      <c r="WVA954" s="24"/>
      <c r="WVB954" s="24"/>
      <c r="WVC954" s="24"/>
      <c r="WVD954" s="24"/>
      <c r="WVE954" s="24"/>
      <c r="WVF954" s="24"/>
      <c r="WVG954" s="24"/>
      <c r="WVH954" s="24"/>
      <c r="WVI954" s="24"/>
      <c r="WVJ954" s="24"/>
      <c r="WVK954" s="24"/>
      <c r="WVL954" s="24"/>
      <c r="WVM954" s="24"/>
      <c r="WVN954" s="24"/>
      <c r="WVO954" s="24"/>
      <c r="WVP954" s="24"/>
      <c r="WVQ954" s="24"/>
      <c r="WVR954" s="24"/>
      <c r="WVS954" s="24"/>
      <c r="WVT954" s="24"/>
      <c r="WVU954" s="24"/>
      <c r="WVV954" s="24"/>
      <c r="WVW954" s="24"/>
      <c r="WVX954" s="24"/>
      <c r="WVY954" s="24"/>
      <c r="WVZ954" s="24"/>
      <c r="WWA954" s="24"/>
      <c r="WWB954" s="24"/>
      <c r="WWC954" s="24"/>
      <c r="WWD954" s="24"/>
      <c r="WWE954" s="24"/>
      <c r="WWF954" s="24"/>
      <c r="WWG954" s="24"/>
      <c r="WWH954" s="24"/>
      <c r="WWI954" s="24"/>
      <c r="WWJ954" s="24"/>
      <c r="WWK954" s="24"/>
      <c r="WWL954" s="24"/>
      <c r="WWM954" s="24"/>
      <c r="WWN954" s="24"/>
      <c r="WWO954" s="24"/>
      <c r="WWP954" s="24"/>
      <c r="WWQ954" s="24"/>
      <c r="WWR954" s="24"/>
      <c r="WWS954" s="24"/>
      <c r="WWT954" s="24"/>
      <c r="WWU954" s="24"/>
      <c r="WWV954" s="24"/>
      <c r="WWW954" s="24"/>
      <c r="WWX954" s="24"/>
      <c r="WWY954" s="24"/>
      <c r="WWZ954" s="24"/>
      <c r="WXA954" s="24"/>
      <c r="WXB954" s="24"/>
      <c r="WXC954" s="24"/>
      <c r="WXD954" s="24"/>
      <c r="WXE954" s="24"/>
      <c r="WXF954" s="24"/>
      <c r="WXG954" s="24"/>
      <c r="WXH954" s="24"/>
      <c r="WXI954" s="24"/>
      <c r="WXJ954" s="24"/>
      <c r="WXK954" s="24"/>
      <c r="WXL954" s="24"/>
      <c r="WXM954" s="24"/>
      <c r="WXN954" s="24"/>
      <c r="WXO954" s="24"/>
      <c r="WXP954" s="24"/>
      <c r="WXQ954" s="24"/>
      <c r="WXR954" s="24"/>
      <c r="WXS954" s="24"/>
      <c r="WXT954" s="24"/>
      <c r="WXU954" s="24"/>
      <c r="WXV954" s="24"/>
      <c r="WXW954" s="24"/>
      <c r="WXX954" s="24"/>
      <c r="WXY954" s="24"/>
      <c r="WXZ954" s="24"/>
      <c r="WYA954" s="24"/>
      <c r="WYB954" s="24"/>
      <c r="WYC954" s="24"/>
      <c r="WYD954" s="24"/>
      <c r="WYE954" s="24"/>
      <c r="WYF954" s="24"/>
      <c r="WYG954" s="24"/>
      <c r="WYH954" s="24"/>
      <c r="WYI954" s="24"/>
      <c r="WYJ954" s="24"/>
      <c r="WYK954" s="24"/>
      <c r="WYL954" s="24"/>
      <c r="WYM954" s="24"/>
      <c r="WYN954" s="24"/>
      <c r="WYO954" s="24"/>
      <c r="WYP954" s="24"/>
      <c r="WYQ954" s="24"/>
      <c r="WYR954" s="24"/>
      <c r="WYS954" s="24"/>
      <c r="WYT954" s="24"/>
      <c r="WYU954" s="24"/>
      <c r="WYV954" s="24"/>
      <c r="WYW954" s="24"/>
      <c r="WYX954" s="24"/>
      <c r="WYY954" s="24"/>
      <c r="WYZ954" s="24"/>
      <c r="WZA954" s="24"/>
      <c r="WZB954" s="24"/>
      <c r="WZC954" s="24"/>
      <c r="WZD954" s="24"/>
      <c r="WZE954" s="24"/>
      <c r="WZF954" s="24"/>
      <c r="WZG954" s="24"/>
      <c r="WZH954" s="24"/>
      <c r="WZI954" s="24"/>
      <c r="WZJ954" s="24"/>
      <c r="WZK954" s="24"/>
      <c r="WZL954" s="24"/>
      <c r="WZM954" s="24"/>
      <c r="WZN954" s="24"/>
      <c r="WZO954" s="24"/>
      <c r="WZP954" s="24"/>
      <c r="WZQ954" s="24"/>
      <c r="WZR954" s="24"/>
      <c r="WZS954" s="24"/>
      <c r="WZT954" s="24"/>
      <c r="WZU954" s="24"/>
      <c r="WZV954" s="24"/>
      <c r="WZW954" s="24"/>
      <c r="WZX954" s="24"/>
      <c r="WZY954" s="24"/>
      <c r="WZZ954" s="24"/>
      <c r="XAA954" s="24"/>
      <c r="XAB954" s="24"/>
      <c r="XAC954" s="24"/>
      <c r="XAD954" s="24"/>
      <c r="XAE954" s="24"/>
      <c r="XAF954" s="24"/>
      <c r="XAG954" s="24"/>
      <c r="XAH954" s="24"/>
      <c r="XAI954" s="24"/>
      <c r="XAJ954" s="24"/>
      <c r="XAK954" s="24"/>
      <c r="XAL954" s="24"/>
      <c r="XAM954" s="24"/>
      <c r="XAN954" s="24"/>
      <c r="XAO954" s="24"/>
      <c r="XAP954" s="24"/>
      <c r="XAQ954" s="24"/>
      <c r="XAR954" s="24"/>
      <c r="XAS954" s="24"/>
      <c r="XAT954" s="24"/>
      <c r="XAU954" s="24"/>
      <c r="XAV954" s="24"/>
      <c r="XAW954" s="24"/>
      <c r="XAX954" s="24"/>
      <c r="XAY954" s="24"/>
      <c r="XAZ954" s="24"/>
      <c r="XBA954" s="24"/>
      <c r="XBB954" s="24"/>
      <c r="XBC954" s="24"/>
      <c r="XBD954" s="24"/>
      <c r="XBE954" s="24"/>
      <c r="XBF954" s="24"/>
      <c r="XBG954" s="24"/>
      <c r="XBH954" s="24"/>
      <c r="XBI954" s="24"/>
      <c r="XBJ954" s="24"/>
      <c r="XBK954" s="24"/>
      <c r="XBL954" s="24"/>
      <c r="XBM954" s="24"/>
      <c r="XBN954" s="24"/>
      <c r="XBO954" s="24"/>
      <c r="XBP954" s="24"/>
      <c r="XBQ954" s="24"/>
      <c r="XBR954" s="24"/>
      <c r="XBS954" s="24"/>
      <c r="XBT954" s="24"/>
      <c r="XBU954" s="24"/>
      <c r="XBV954" s="24"/>
      <c r="XBW954" s="24"/>
      <c r="XBX954" s="24"/>
      <c r="XBY954" s="24"/>
      <c r="XBZ954" s="24"/>
      <c r="XCA954" s="24"/>
      <c r="XCB954" s="24"/>
      <c r="XCC954" s="24"/>
      <c r="XCD954" s="24"/>
      <c r="XCE954" s="24"/>
      <c r="XCF954" s="24"/>
      <c r="XCG954" s="24"/>
      <c r="XCH954" s="24"/>
      <c r="XCI954" s="24"/>
      <c r="XCJ954" s="24"/>
      <c r="XCK954" s="24"/>
      <c r="XCL954" s="24"/>
      <c r="XCM954" s="24"/>
      <c r="XCN954" s="24"/>
      <c r="XCO954" s="24"/>
      <c r="XCP954" s="24"/>
      <c r="XCQ954" s="24"/>
      <c r="XCR954" s="24"/>
      <c r="XCS954" s="24"/>
      <c r="XCT954" s="24"/>
      <c r="XCU954" s="24"/>
      <c r="XCV954" s="24"/>
      <c r="XCW954" s="24"/>
      <c r="XCX954" s="24"/>
      <c r="XCY954" s="24"/>
      <c r="XCZ954" s="24"/>
      <c r="XDA954" s="24"/>
      <c r="XDB954" s="24"/>
      <c r="XDC954" s="24"/>
      <c r="XDD954" s="24"/>
      <c r="XDE954" s="24"/>
      <c r="XDF954" s="24"/>
      <c r="XDG954" s="24"/>
      <c r="XDH954" s="24"/>
      <c r="XDI954" s="24"/>
      <c r="XDJ954" s="24"/>
      <c r="XDK954" s="24"/>
      <c r="XDL954" s="24"/>
      <c r="XDM954" s="24"/>
      <c r="XDN954" s="24"/>
      <c r="XDO954" s="24"/>
      <c r="XDP954" s="24"/>
      <c r="XDQ954" s="24"/>
      <c r="XDR954" s="24"/>
      <c r="XDS954" s="24"/>
      <c r="XDT954" s="24"/>
      <c r="XDU954" s="24"/>
      <c r="XDV954" s="24"/>
      <c r="XDW954" s="24"/>
      <c r="XDX954" s="24"/>
      <c r="XDY954" s="24"/>
      <c r="XDZ954" s="24"/>
      <c r="XEA954" s="24"/>
      <c r="XEB954" s="24"/>
      <c r="XEC954" s="24"/>
      <c r="XED954" s="24"/>
      <c r="XEE954" s="24"/>
      <c r="XEF954" s="24"/>
      <c r="XEG954" s="24"/>
      <c r="XEH954" s="24"/>
      <c r="XEI954" s="24"/>
      <c r="XEJ954" s="24"/>
      <c r="XEK954" s="24"/>
      <c r="XEL954" s="24"/>
      <c r="XEM954" s="24"/>
      <c r="XEN954" s="24"/>
      <c r="XEO954" s="24"/>
      <c r="XEP954" s="24"/>
      <c r="XEQ954" s="24"/>
      <c r="XER954" s="24"/>
      <c r="XES954" s="24"/>
      <c r="XET954" s="24"/>
      <c r="XEU954" s="24"/>
      <c r="XEV954" s="24"/>
      <c r="XEW954" s="24"/>
      <c r="XEX954" s="24"/>
      <c r="XEY954" s="24"/>
      <c r="XEZ954" s="24"/>
      <c r="XFA954" s="24"/>
      <c r="XFB954" s="24"/>
      <c r="XFC954" s="24"/>
    </row>
    <row r="955" spans="1:16383" ht="30" x14ac:dyDescent="0.25">
      <c r="A955" s="4">
        <v>46058</v>
      </c>
      <c r="B955" s="4">
        <v>46060</v>
      </c>
      <c r="C955" s="6" t="s">
        <v>1730</v>
      </c>
      <c r="D955" s="6" t="s">
        <v>2764</v>
      </c>
      <c r="E955" s="6" t="s">
        <v>1625</v>
      </c>
      <c r="F955" s="1" t="s">
        <v>1625</v>
      </c>
      <c r="G955" s="8">
        <v>30</v>
      </c>
      <c r="H955" s="8">
        <v>8</v>
      </c>
      <c r="I955" s="115">
        <f>Table223[[#This Row],[Qty]]-Table223[[#This Row],[Issue Qty]]</f>
        <v>22</v>
      </c>
      <c r="J955" s="5">
        <v>10.4</v>
      </c>
      <c r="K955" s="5">
        <f t="shared" si="48"/>
        <v>312</v>
      </c>
      <c r="L955" s="82">
        <v>0.18</v>
      </c>
      <c r="M955" s="9">
        <f t="shared" si="49"/>
        <v>56.16</v>
      </c>
      <c r="N955" s="5"/>
      <c r="O955" s="5"/>
      <c r="P955" s="5">
        <f t="shared" si="50"/>
        <v>368.15999999999997</v>
      </c>
      <c r="Q955" s="1" t="s">
        <v>536</v>
      </c>
      <c r="R955" s="1" t="s">
        <v>536</v>
      </c>
      <c r="S955" s="1" t="s">
        <v>1626</v>
      </c>
      <c r="T955" s="1" t="s">
        <v>2765</v>
      </c>
      <c r="U955" s="1">
        <v>74153390</v>
      </c>
      <c r="V955" s="2" t="s">
        <v>2766</v>
      </c>
      <c r="W955" s="21"/>
      <c r="X955" s="21"/>
      <c r="Y955" s="21">
        <v>8</v>
      </c>
      <c r="Z955" s="12" t="s">
        <v>2935</v>
      </c>
      <c r="AA955" s="2"/>
      <c r="AB955" s="23"/>
      <c r="AC955" s="1"/>
      <c r="AD955" s="27"/>
    </row>
    <row r="956" spans="1:16383" ht="30" x14ac:dyDescent="0.25">
      <c r="A956" s="4">
        <v>46058</v>
      </c>
      <c r="B956" s="4">
        <v>46060</v>
      </c>
      <c r="C956" s="6" t="s">
        <v>1730</v>
      </c>
      <c r="D956" s="6" t="s">
        <v>2767</v>
      </c>
      <c r="E956" s="6" t="s">
        <v>1627</v>
      </c>
      <c r="F956" s="1" t="s">
        <v>1627</v>
      </c>
      <c r="G956" s="8">
        <v>1</v>
      </c>
      <c r="H956" s="8">
        <v>1</v>
      </c>
      <c r="I956" s="115">
        <f>Table223[[#This Row],[Qty]]-Table223[[#This Row],[Issue Qty]]</f>
        <v>0</v>
      </c>
      <c r="J956" s="5">
        <v>620</v>
      </c>
      <c r="K956" s="5">
        <f t="shared" si="48"/>
        <v>620</v>
      </c>
      <c r="L956" s="82">
        <v>0.18</v>
      </c>
      <c r="M956" s="9">
        <f t="shared" si="49"/>
        <v>111.6</v>
      </c>
      <c r="N956" s="5"/>
      <c r="O956" s="5"/>
      <c r="P956" s="5">
        <f t="shared" si="50"/>
        <v>731.6</v>
      </c>
      <c r="Q956" s="1" t="s">
        <v>536</v>
      </c>
      <c r="R956" s="1" t="s">
        <v>536</v>
      </c>
      <c r="S956" s="1" t="s">
        <v>1626</v>
      </c>
      <c r="T956" s="1" t="s">
        <v>2765</v>
      </c>
      <c r="U956" s="1">
        <v>74153390</v>
      </c>
      <c r="V956" s="2" t="s">
        <v>2766</v>
      </c>
      <c r="W956" s="21" t="s">
        <v>268</v>
      </c>
      <c r="X956" s="21"/>
      <c r="Y956" s="21">
        <v>1</v>
      </c>
      <c r="Z956" s="12" t="s">
        <v>3194</v>
      </c>
      <c r="AA956" s="2"/>
      <c r="AB956" s="23"/>
      <c r="AC956" s="1"/>
      <c r="AD956" s="27"/>
    </row>
    <row r="957" spans="1:16383" ht="39.75" customHeight="1" x14ac:dyDescent="0.25">
      <c r="A957" s="4">
        <v>46053</v>
      </c>
      <c r="B957" s="4">
        <v>46060</v>
      </c>
      <c r="C957" s="6" t="s">
        <v>1693</v>
      </c>
      <c r="D957" s="6" t="s">
        <v>2768</v>
      </c>
      <c r="E957" s="6" t="s">
        <v>1628</v>
      </c>
      <c r="F957" s="1" t="s">
        <v>1628</v>
      </c>
      <c r="G957" s="8">
        <v>1</v>
      </c>
      <c r="H957" s="8"/>
      <c r="I957" s="115">
        <f>Table223[[#This Row],[Qty]]-Table223[[#This Row],[Issue Qty]]</f>
        <v>1</v>
      </c>
      <c r="J957" s="5">
        <v>2380</v>
      </c>
      <c r="K957" s="5">
        <f t="shared" si="48"/>
        <v>2380</v>
      </c>
      <c r="L957" s="82">
        <v>0.05</v>
      </c>
      <c r="M957" s="9">
        <f t="shared" si="49"/>
        <v>119</v>
      </c>
      <c r="N957" s="5">
        <v>120.39</v>
      </c>
      <c r="O957" s="5"/>
      <c r="P957" s="5">
        <f t="shared" si="50"/>
        <v>2619.39</v>
      </c>
      <c r="Q957" s="1" t="s">
        <v>1629</v>
      </c>
      <c r="R957" s="1" t="s">
        <v>1629</v>
      </c>
      <c r="S957" s="1" t="s">
        <v>531</v>
      </c>
      <c r="T957" s="1">
        <v>27737</v>
      </c>
      <c r="U957" s="1">
        <v>8807</v>
      </c>
      <c r="V957" s="2" t="s">
        <v>2769</v>
      </c>
      <c r="W957" s="21" t="s">
        <v>72</v>
      </c>
      <c r="X957" s="21" t="s">
        <v>262</v>
      </c>
      <c r="Y957" s="21"/>
      <c r="Z957" s="12"/>
      <c r="AA957" s="2"/>
      <c r="AB957" s="23"/>
      <c r="AC957" s="1"/>
      <c r="AD957" s="27"/>
    </row>
    <row r="958" spans="1:16383" ht="60" x14ac:dyDescent="0.25">
      <c r="A958" s="4">
        <v>46056</v>
      </c>
      <c r="B958" s="4">
        <v>46061</v>
      </c>
      <c r="C958" s="6" t="s">
        <v>1683</v>
      </c>
      <c r="D958" s="6" t="s">
        <v>2497</v>
      </c>
      <c r="E958" s="6" t="s">
        <v>1402</v>
      </c>
      <c r="F958" s="1" t="s">
        <v>1402</v>
      </c>
      <c r="G958" s="8">
        <v>1</v>
      </c>
      <c r="H958" s="8">
        <v>0</v>
      </c>
      <c r="I958" s="115">
        <f>Table223[[#This Row],[Qty]]-Table223[[#This Row],[Issue Qty]]</f>
        <v>1</v>
      </c>
      <c r="J958" s="5">
        <v>321.22000000000003</v>
      </c>
      <c r="K958" s="5">
        <f t="shared" si="48"/>
        <v>321.22000000000003</v>
      </c>
      <c r="L958" s="82">
        <v>0.18</v>
      </c>
      <c r="M958" s="9">
        <f t="shared" si="49"/>
        <v>57.819600000000001</v>
      </c>
      <c r="N958" s="5"/>
      <c r="O958" s="5"/>
      <c r="P958" s="5">
        <f t="shared" si="50"/>
        <v>379.03960000000001</v>
      </c>
      <c r="Q958" s="1" t="s">
        <v>2887</v>
      </c>
      <c r="R958" s="1" t="s">
        <v>633</v>
      </c>
      <c r="S958" s="1" t="s">
        <v>384</v>
      </c>
      <c r="T958" s="1" t="s">
        <v>2770</v>
      </c>
      <c r="U958" s="1">
        <v>85442090</v>
      </c>
      <c r="V958" s="2"/>
      <c r="W958" s="21" t="s">
        <v>268</v>
      </c>
      <c r="X958" s="21"/>
      <c r="Y958" s="21"/>
      <c r="Z958" s="12"/>
      <c r="AA958" s="2"/>
      <c r="AB958" s="23"/>
      <c r="AC958" s="1"/>
      <c r="AD958" s="27"/>
    </row>
    <row r="959" spans="1:16383" x14ac:dyDescent="0.25">
      <c r="A959" s="4">
        <v>46056</v>
      </c>
      <c r="B959" s="4">
        <v>46062</v>
      </c>
      <c r="C959" s="6" t="s">
        <v>1683</v>
      </c>
      <c r="D959" s="6" t="s">
        <v>2594</v>
      </c>
      <c r="E959" s="86" t="s">
        <v>1498</v>
      </c>
      <c r="F959" s="1" t="s">
        <v>1498</v>
      </c>
      <c r="G959" s="8">
        <v>20</v>
      </c>
      <c r="H959" s="8"/>
      <c r="I959" s="115">
        <f>Table223[[#This Row],[Qty]]-Table223[[#This Row],[Issue Qty]]</f>
        <v>20</v>
      </c>
      <c r="J959" s="5">
        <v>6.1</v>
      </c>
      <c r="K959" s="5">
        <f t="shared" si="48"/>
        <v>122</v>
      </c>
      <c r="L959" s="82"/>
      <c r="M959" s="9">
        <f t="shared" si="49"/>
        <v>0</v>
      </c>
      <c r="N959" s="5"/>
      <c r="O959" s="5"/>
      <c r="P959" s="5">
        <f t="shared" si="50"/>
        <v>122</v>
      </c>
      <c r="Q959" s="1" t="s">
        <v>2887</v>
      </c>
      <c r="R959" s="1" t="s">
        <v>633</v>
      </c>
      <c r="S959" s="1" t="s">
        <v>1503</v>
      </c>
      <c r="T959" s="1">
        <v>120525597</v>
      </c>
      <c r="U959" s="1"/>
      <c r="V959" s="2"/>
      <c r="W959" s="21" t="s">
        <v>638</v>
      </c>
      <c r="X959" s="8" t="s">
        <v>1963</v>
      </c>
      <c r="Y959" s="21">
        <v>3</v>
      </c>
      <c r="Z959" s="12" t="s">
        <v>2931</v>
      </c>
      <c r="AA959" s="2"/>
      <c r="AB959" s="23"/>
      <c r="AC959" s="1"/>
      <c r="AD959" s="27"/>
    </row>
    <row r="960" spans="1:16383" ht="30" x14ac:dyDescent="0.25">
      <c r="A960" s="4">
        <v>46056</v>
      </c>
      <c r="B960" s="4">
        <v>46062</v>
      </c>
      <c r="C960" s="6" t="s">
        <v>1683</v>
      </c>
      <c r="D960" s="6" t="s">
        <v>2771</v>
      </c>
      <c r="E960" s="86" t="s">
        <v>1630</v>
      </c>
      <c r="F960" s="1" t="s">
        <v>1630</v>
      </c>
      <c r="G960" s="8">
        <v>50</v>
      </c>
      <c r="H960" s="8">
        <v>50</v>
      </c>
      <c r="I960" s="115">
        <f>Table223[[#This Row],[Qty]]-Table223[[#This Row],[Issue Qty]]</f>
        <v>0</v>
      </c>
      <c r="J960" s="5">
        <v>30.28</v>
      </c>
      <c r="K960" s="5">
        <f t="shared" si="48"/>
        <v>1514</v>
      </c>
      <c r="L960" s="82"/>
      <c r="M960" s="9">
        <f t="shared" si="49"/>
        <v>0</v>
      </c>
      <c r="N960" s="5"/>
      <c r="O960" s="5"/>
      <c r="P960" s="5">
        <f t="shared" si="50"/>
        <v>1514</v>
      </c>
      <c r="Q960" s="1" t="s">
        <v>2887</v>
      </c>
      <c r="R960" s="1" t="s">
        <v>633</v>
      </c>
      <c r="S960" s="1" t="s">
        <v>1503</v>
      </c>
      <c r="T960" s="1">
        <v>120525597</v>
      </c>
      <c r="U960" s="1"/>
      <c r="V960" s="2"/>
      <c r="W960" s="21" t="s">
        <v>38</v>
      </c>
      <c r="X960" s="21"/>
      <c r="Y960" s="21">
        <v>50</v>
      </c>
      <c r="Z960" s="12" t="s">
        <v>3312</v>
      </c>
      <c r="AA960" s="2"/>
      <c r="AB960" s="23"/>
      <c r="AC960" s="1"/>
      <c r="AD960" s="27"/>
    </row>
    <row r="961" spans="1:30" x14ac:dyDescent="0.25">
      <c r="A961" s="4">
        <v>46056</v>
      </c>
      <c r="B961" s="4">
        <v>46062</v>
      </c>
      <c r="C961" s="6" t="s">
        <v>1683</v>
      </c>
      <c r="D961" s="6" t="s">
        <v>2590</v>
      </c>
      <c r="E961" s="86" t="s">
        <v>1494</v>
      </c>
      <c r="F961" s="1" t="s">
        <v>1494</v>
      </c>
      <c r="G961" s="8">
        <v>20</v>
      </c>
      <c r="H961" s="8">
        <v>9</v>
      </c>
      <c r="I961" s="115">
        <f>Table223[[#This Row],[Qty]]-Table223[[#This Row],[Issue Qty]]</f>
        <v>11</v>
      </c>
      <c r="J961" s="5">
        <v>10.36</v>
      </c>
      <c r="K961" s="5">
        <f t="shared" si="48"/>
        <v>207.2</v>
      </c>
      <c r="L961" s="82"/>
      <c r="M961" s="9">
        <f t="shared" si="49"/>
        <v>0</v>
      </c>
      <c r="N961" s="5"/>
      <c r="O961" s="5"/>
      <c r="P961" s="5">
        <f t="shared" si="50"/>
        <v>207.2</v>
      </c>
      <c r="Q961" s="1" t="s">
        <v>2887</v>
      </c>
      <c r="R961" s="1" t="s">
        <v>633</v>
      </c>
      <c r="S961" s="1" t="s">
        <v>1503</v>
      </c>
      <c r="T961" s="1">
        <v>120525597</v>
      </c>
      <c r="U961" s="1"/>
      <c r="V961" s="2"/>
      <c r="W961" s="21" t="s">
        <v>638</v>
      </c>
      <c r="X961" s="8" t="s">
        <v>1963</v>
      </c>
      <c r="Y961" s="21">
        <v>7</v>
      </c>
      <c r="Z961" s="12" t="s">
        <v>2887</v>
      </c>
      <c r="AA961" s="2"/>
      <c r="AB961" s="23"/>
      <c r="AC961" s="1"/>
      <c r="AD961" s="27"/>
    </row>
    <row r="962" spans="1:30" x14ac:dyDescent="0.25">
      <c r="A962" s="4">
        <v>46056</v>
      </c>
      <c r="B962" s="4">
        <v>46062</v>
      </c>
      <c r="C962" s="6" t="s">
        <v>1683</v>
      </c>
      <c r="D962" s="6" t="s">
        <v>2591</v>
      </c>
      <c r="E962" s="6" t="s">
        <v>1495</v>
      </c>
      <c r="F962" s="1" t="s">
        <v>1495</v>
      </c>
      <c r="G962" s="8">
        <v>20</v>
      </c>
      <c r="H962" s="8">
        <v>0</v>
      </c>
      <c r="I962" s="115">
        <f>Table223[[#This Row],[Qty]]-Table223[[#This Row],[Issue Qty]]</f>
        <v>20</v>
      </c>
      <c r="J962" s="5">
        <v>13.4</v>
      </c>
      <c r="K962" s="5">
        <f t="shared" si="48"/>
        <v>268</v>
      </c>
      <c r="L962" s="82"/>
      <c r="M962" s="9">
        <f t="shared" si="49"/>
        <v>0</v>
      </c>
      <c r="N962" s="5"/>
      <c r="O962" s="5"/>
      <c r="P962" s="5">
        <f t="shared" si="50"/>
        <v>268</v>
      </c>
      <c r="Q962" s="1" t="s">
        <v>2887</v>
      </c>
      <c r="R962" s="1" t="s">
        <v>633</v>
      </c>
      <c r="S962" s="1" t="s">
        <v>1503</v>
      </c>
      <c r="T962" s="1">
        <v>120525597</v>
      </c>
      <c r="U962" s="1"/>
      <c r="V962" s="2"/>
      <c r="W962" s="21" t="s">
        <v>638</v>
      </c>
      <c r="X962" s="8" t="s">
        <v>1963</v>
      </c>
      <c r="Y962" s="21"/>
      <c r="Z962" s="12"/>
      <c r="AA962" s="2"/>
      <c r="AB962" s="23"/>
      <c r="AC962" s="1"/>
      <c r="AD962" s="27"/>
    </row>
    <row r="963" spans="1:30" x14ac:dyDescent="0.25">
      <c r="A963" s="4">
        <v>46056</v>
      </c>
      <c r="B963" s="4">
        <v>46062</v>
      </c>
      <c r="C963" s="6" t="s">
        <v>1683</v>
      </c>
      <c r="D963" s="6" t="s">
        <v>2592</v>
      </c>
      <c r="E963" s="6" t="s">
        <v>1496</v>
      </c>
      <c r="F963" s="1" t="s">
        <v>1496</v>
      </c>
      <c r="G963" s="8">
        <v>50</v>
      </c>
      <c r="H963" s="8">
        <v>50</v>
      </c>
      <c r="I963" s="115">
        <f>Table223[[#This Row],[Qty]]-Table223[[#This Row],[Issue Qty]]</f>
        <v>0</v>
      </c>
      <c r="J963" s="5">
        <v>88.14</v>
      </c>
      <c r="K963" s="5">
        <f t="shared" si="48"/>
        <v>4407</v>
      </c>
      <c r="L963" s="82"/>
      <c r="M963" s="9">
        <f t="shared" si="49"/>
        <v>0</v>
      </c>
      <c r="N963" s="5"/>
      <c r="O963" s="5"/>
      <c r="P963" s="5">
        <f t="shared" si="50"/>
        <v>4407</v>
      </c>
      <c r="Q963" s="1" t="s">
        <v>2887</v>
      </c>
      <c r="R963" s="1" t="s">
        <v>633</v>
      </c>
      <c r="S963" s="1" t="s">
        <v>1503</v>
      </c>
      <c r="T963" s="1">
        <v>120525597</v>
      </c>
      <c r="U963" s="1"/>
      <c r="V963" s="2"/>
      <c r="W963" s="21"/>
      <c r="X963" s="8"/>
      <c r="Y963" s="21">
        <v>50</v>
      </c>
      <c r="Z963" s="12" t="s">
        <v>3352</v>
      </c>
      <c r="AA963" s="2"/>
      <c r="AB963" s="23"/>
      <c r="AC963" s="1"/>
      <c r="AD963" s="27"/>
    </row>
    <row r="964" spans="1:30" x14ac:dyDescent="0.25">
      <c r="A964" s="4">
        <v>46056</v>
      </c>
      <c r="B964" s="4">
        <v>46062</v>
      </c>
      <c r="C964" s="6" t="s">
        <v>1683</v>
      </c>
      <c r="D964" s="6" t="s">
        <v>2589</v>
      </c>
      <c r="E964" s="86" t="s">
        <v>1493</v>
      </c>
      <c r="F964" s="1" t="s">
        <v>1493</v>
      </c>
      <c r="G964" s="8">
        <v>20</v>
      </c>
      <c r="H964" s="8">
        <v>18</v>
      </c>
      <c r="I964" s="115">
        <f>Table223[[#This Row],[Qty]]-Table223[[#This Row],[Issue Qty]]</f>
        <v>2</v>
      </c>
      <c r="J964" s="5">
        <v>6.39</v>
      </c>
      <c r="K964" s="5">
        <f t="shared" si="48"/>
        <v>127.8</v>
      </c>
      <c r="L964" s="82"/>
      <c r="M964" s="9">
        <f t="shared" si="49"/>
        <v>0</v>
      </c>
      <c r="N964" s="5"/>
      <c r="O964" s="5"/>
      <c r="P964" s="5">
        <f t="shared" si="50"/>
        <v>127.8</v>
      </c>
      <c r="Q964" s="1" t="s">
        <v>2887</v>
      </c>
      <c r="R964" s="1" t="s">
        <v>633</v>
      </c>
      <c r="S964" s="1" t="s">
        <v>1503</v>
      </c>
      <c r="T964" s="1">
        <v>120525597</v>
      </c>
      <c r="U964" s="1"/>
      <c r="V964" s="2"/>
      <c r="W964" s="21" t="s">
        <v>638</v>
      </c>
      <c r="X964" s="8" t="s">
        <v>1963</v>
      </c>
      <c r="Y964" s="21">
        <v>6</v>
      </c>
      <c r="Z964" s="22" t="s">
        <v>2931</v>
      </c>
      <c r="AA964" s="2"/>
      <c r="AB964" s="23"/>
      <c r="AC964" s="1"/>
      <c r="AD964" s="27"/>
    </row>
    <row r="965" spans="1:30" x14ac:dyDescent="0.25">
      <c r="A965" s="4">
        <v>46056</v>
      </c>
      <c r="B965" s="4">
        <v>46062</v>
      </c>
      <c r="C965" s="6" t="s">
        <v>1683</v>
      </c>
      <c r="D965" s="6" t="s">
        <v>2195</v>
      </c>
      <c r="E965" s="178" t="s">
        <v>988</v>
      </c>
      <c r="F965" s="1" t="s">
        <v>988</v>
      </c>
      <c r="G965" s="8">
        <v>20</v>
      </c>
      <c r="H965" s="8"/>
      <c r="I965" s="115">
        <f>Table223[[#This Row],[Qty]]-Table223[[#This Row],[Issue Qty]]</f>
        <v>20</v>
      </c>
      <c r="J965" s="5">
        <v>10.050000000000001</v>
      </c>
      <c r="K965" s="5">
        <f t="shared" si="48"/>
        <v>201</v>
      </c>
      <c r="L965" s="82"/>
      <c r="M965" s="9">
        <f t="shared" si="49"/>
        <v>0</v>
      </c>
      <c r="N965" s="5"/>
      <c r="O965" s="5"/>
      <c r="P965" s="5">
        <f t="shared" si="50"/>
        <v>201</v>
      </c>
      <c r="Q965" s="1" t="s">
        <v>2887</v>
      </c>
      <c r="R965" s="1" t="s">
        <v>633</v>
      </c>
      <c r="S965" s="1" t="s">
        <v>1503</v>
      </c>
      <c r="T965" s="1">
        <v>120525597</v>
      </c>
      <c r="U965" s="1"/>
      <c r="V965" s="2"/>
      <c r="W965" s="21" t="s">
        <v>638</v>
      </c>
      <c r="X965" s="8" t="s">
        <v>1963</v>
      </c>
      <c r="Y965" s="21">
        <v>20</v>
      </c>
      <c r="Z965" s="22" t="s">
        <v>2931</v>
      </c>
      <c r="AA965" s="2"/>
      <c r="AB965" s="23"/>
      <c r="AC965" s="1"/>
      <c r="AD965" s="27"/>
    </row>
    <row r="966" spans="1:30" x14ac:dyDescent="0.25">
      <c r="A966" s="4">
        <v>46056</v>
      </c>
      <c r="B966" s="4">
        <v>46062</v>
      </c>
      <c r="C966" s="6" t="s">
        <v>1683</v>
      </c>
      <c r="D966" s="6" t="s">
        <v>2660</v>
      </c>
      <c r="E966" s="6" t="s">
        <v>1557</v>
      </c>
      <c r="F966" s="1" t="s">
        <v>1557</v>
      </c>
      <c r="G966" s="8">
        <v>10</v>
      </c>
      <c r="H966" s="8">
        <v>5</v>
      </c>
      <c r="I966" s="115">
        <f>Table223[[#This Row],[Qty]]-Table223[[#This Row],[Issue Qty]]</f>
        <v>5</v>
      </c>
      <c r="J966" s="5">
        <v>9.8800000000000008</v>
      </c>
      <c r="K966" s="5">
        <f t="shared" si="48"/>
        <v>98.800000000000011</v>
      </c>
      <c r="L966" s="82"/>
      <c r="M966" s="9">
        <f t="shared" si="49"/>
        <v>0</v>
      </c>
      <c r="N966" s="10"/>
      <c r="O966" s="10"/>
      <c r="P966" s="5">
        <f t="shared" si="50"/>
        <v>98.800000000000011</v>
      </c>
      <c r="Q966" s="1" t="s">
        <v>2887</v>
      </c>
      <c r="R966" s="1" t="s">
        <v>633</v>
      </c>
      <c r="S966" s="1" t="s">
        <v>1503</v>
      </c>
      <c r="T966" s="1">
        <v>120525597</v>
      </c>
      <c r="U966" s="1"/>
      <c r="V966" s="2"/>
      <c r="W966" s="21" t="s">
        <v>638</v>
      </c>
      <c r="X966" s="8" t="s">
        <v>1963</v>
      </c>
      <c r="Y966" s="35">
        <v>10</v>
      </c>
      <c r="Z966" s="12"/>
      <c r="AA966" s="2"/>
      <c r="AB966" s="23"/>
      <c r="AC966" s="1"/>
      <c r="AD966" s="27"/>
    </row>
    <row r="967" spans="1:30" x14ac:dyDescent="0.25">
      <c r="A967" s="4">
        <v>46056</v>
      </c>
      <c r="B967" s="4">
        <v>46062</v>
      </c>
      <c r="C967" s="6" t="s">
        <v>1683</v>
      </c>
      <c r="D967" s="6" t="s">
        <v>2588</v>
      </c>
      <c r="E967" s="6" t="s">
        <v>1492</v>
      </c>
      <c r="F967" s="1" t="s">
        <v>1492</v>
      </c>
      <c r="G967" s="8">
        <v>20</v>
      </c>
      <c r="H967" s="8">
        <v>12</v>
      </c>
      <c r="I967" s="115">
        <f>Table223[[#This Row],[Qty]]-Table223[[#This Row],[Issue Qty]]</f>
        <v>8</v>
      </c>
      <c r="J967" s="5">
        <v>10.27</v>
      </c>
      <c r="K967" s="5">
        <f t="shared" si="48"/>
        <v>205.39999999999998</v>
      </c>
      <c r="L967" s="82"/>
      <c r="M967" s="9">
        <f t="shared" si="49"/>
        <v>0</v>
      </c>
      <c r="N967" s="5"/>
      <c r="O967" s="5"/>
      <c r="P967" s="5">
        <f t="shared" si="50"/>
        <v>205.39999999999998</v>
      </c>
      <c r="Q967" s="1" t="s">
        <v>2887</v>
      </c>
      <c r="R967" s="1" t="s">
        <v>633</v>
      </c>
      <c r="S967" s="1" t="s">
        <v>1503</v>
      </c>
      <c r="T967" s="1">
        <v>120525597</v>
      </c>
      <c r="U967" s="1"/>
      <c r="V967" s="2"/>
      <c r="W967" s="21" t="s">
        <v>638</v>
      </c>
      <c r="X967" s="8" t="s">
        <v>1963</v>
      </c>
      <c r="Y967" s="21">
        <v>20</v>
      </c>
      <c r="Z967" s="12"/>
      <c r="AA967" s="2"/>
      <c r="AB967" s="23"/>
      <c r="AC967" s="1"/>
      <c r="AD967" s="27"/>
    </row>
    <row r="968" spans="1:30" ht="45" x14ac:dyDescent="0.25">
      <c r="A968" s="4">
        <v>46064</v>
      </c>
      <c r="B968" s="4">
        <v>46065</v>
      </c>
      <c r="C968" s="6" t="s">
        <v>1730</v>
      </c>
      <c r="D968" s="6"/>
      <c r="E968" s="6" t="s">
        <v>1631</v>
      </c>
      <c r="F968" s="6" t="s">
        <v>1631</v>
      </c>
      <c r="G968" s="8">
        <v>1</v>
      </c>
      <c r="H968" s="8"/>
      <c r="I968" s="115">
        <f>Table223[[#This Row],[Qty]]-Table223[[#This Row],[Issue Qty]]</f>
        <v>1</v>
      </c>
      <c r="J968" s="5">
        <v>468.58</v>
      </c>
      <c r="K968" s="5">
        <f t="shared" si="48"/>
        <v>468.58</v>
      </c>
      <c r="L968" s="82">
        <v>0.05</v>
      </c>
      <c r="M968" s="9">
        <f t="shared" si="49"/>
        <v>23.429000000000002</v>
      </c>
      <c r="N968" s="5"/>
      <c r="O968" s="5"/>
      <c r="P968" s="5">
        <f t="shared" si="50"/>
        <v>492.00900000000001</v>
      </c>
      <c r="Q968" s="1" t="s">
        <v>1408</v>
      </c>
      <c r="R968" s="1" t="s">
        <v>1408</v>
      </c>
      <c r="S968" s="1" t="s">
        <v>384</v>
      </c>
      <c r="T968" s="1" t="s">
        <v>2772</v>
      </c>
      <c r="U968" s="1">
        <v>95030030</v>
      </c>
      <c r="V968" s="2"/>
      <c r="W968" s="21" t="s">
        <v>420</v>
      </c>
      <c r="X968" s="21"/>
      <c r="Y968" s="21"/>
      <c r="Z968" s="12"/>
      <c r="AA968" s="2"/>
      <c r="AB968" s="23"/>
      <c r="AC968" s="1"/>
      <c r="AD968" s="27"/>
    </row>
    <row r="969" spans="1:30" x14ac:dyDescent="0.25">
      <c r="A969" s="4">
        <v>46063</v>
      </c>
      <c r="B969" s="4">
        <v>46069</v>
      </c>
      <c r="C969" s="6" t="s">
        <v>1730</v>
      </c>
      <c r="D969" s="6" t="s">
        <v>2581</v>
      </c>
      <c r="E969" s="6" t="s">
        <v>1486</v>
      </c>
      <c r="F969" s="6" t="s">
        <v>1486</v>
      </c>
      <c r="G969" s="8">
        <v>1</v>
      </c>
      <c r="H969" s="8">
        <v>1</v>
      </c>
      <c r="I969" s="115">
        <f>Table223[[#This Row],[Qty]]-Table223[[#This Row],[Issue Qty]]</f>
        <v>0</v>
      </c>
      <c r="J969" s="5">
        <v>6500</v>
      </c>
      <c r="K969" s="5">
        <f t="shared" si="48"/>
        <v>6500</v>
      </c>
      <c r="L969" s="82">
        <v>0.18</v>
      </c>
      <c r="M969" s="9">
        <f t="shared" si="49"/>
        <v>1170</v>
      </c>
      <c r="N969" s="5">
        <v>1770</v>
      </c>
      <c r="O969" s="5"/>
      <c r="P969" s="5">
        <f t="shared" si="50"/>
        <v>9440</v>
      </c>
      <c r="Q969" s="1" t="s">
        <v>2887</v>
      </c>
      <c r="R969" s="1" t="s">
        <v>1408</v>
      </c>
      <c r="S969" s="1" t="s">
        <v>1210</v>
      </c>
      <c r="T969" s="1" t="s">
        <v>2773</v>
      </c>
      <c r="U969" s="1"/>
      <c r="V969" s="2"/>
      <c r="W969" s="21" t="s">
        <v>3179</v>
      </c>
      <c r="X969" s="21"/>
      <c r="Y969" s="21">
        <v>1</v>
      </c>
      <c r="Z969" s="12" t="s">
        <v>1546</v>
      </c>
      <c r="AA969" s="2"/>
      <c r="AB969" s="23"/>
      <c r="AC969" s="1"/>
      <c r="AD969" s="27"/>
    </row>
    <row r="970" spans="1:30" x14ac:dyDescent="0.25">
      <c r="A970" s="4">
        <v>46063</v>
      </c>
      <c r="B970" s="4">
        <v>46069</v>
      </c>
      <c r="C970" s="6" t="s">
        <v>1730</v>
      </c>
      <c r="D970" s="6" t="s">
        <v>2583</v>
      </c>
      <c r="E970" s="6" t="s">
        <v>1487</v>
      </c>
      <c r="F970" s="6" t="s">
        <v>1487</v>
      </c>
      <c r="G970" s="8">
        <v>1</v>
      </c>
      <c r="H970" s="8">
        <v>1</v>
      </c>
      <c r="I970" s="115">
        <f>Table223[[#This Row],[Qty]]-Table223[[#This Row],[Issue Qty]]</f>
        <v>0</v>
      </c>
      <c r="J970" s="5">
        <v>2500</v>
      </c>
      <c r="K970" s="5">
        <f t="shared" si="48"/>
        <v>2500</v>
      </c>
      <c r="L970" s="82">
        <v>0.18</v>
      </c>
      <c r="M970" s="9">
        <f t="shared" si="49"/>
        <v>450</v>
      </c>
      <c r="N970" s="5"/>
      <c r="O970" s="5"/>
      <c r="P970" s="5">
        <f t="shared" si="50"/>
        <v>2950</v>
      </c>
      <c r="Q970" s="1" t="s">
        <v>2887</v>
      </c>
      <c r="R970" s="1" t="s">
        <v>1408</v>
      </c>
      <c r="S970" s="1" t="s">
        <v>1210</v>
      </c>
      <c r="T970" s="1" t="s">
        <v>2773</v>
      </c>
      <c r="U970" s="1"/>
      <c r="V970" s="2"/>
      <c r="W970" s="21" t="s">
        <v>3179</v>
      </c>
      <c r="X970" s="21"/>
      <c r="Y970" s="21">
        <v>1</v>
      </c>
      <c r="Z970" s="12" t="s">
        <v>1546</v>
      </c>
      <c r="AA970" s="2"/>
      <c r="AB970" s="23"/>
      <c r="AC970" s="1"/>
      <c r="AD970" s="27"/>
    </row>
    <row r="971" spans="1:30" x14ac:dyDescent="0.25">
      <c r="A971" s="4">
        <v>46064</v>
      </c>
      <c r="B971" s="4">
        <v>46069</v>
      </c>
      <c r="C971" s="6" t="s">
        <v>1730</v>
      </c>
      <c r="D971" s="6"/>
      <c r="E971" s="6" t="s">
        <v>1632</v>
      </c>
      <c r="F971" s="6" t="s">
        <v>1632</v>
      </c>
      <c r="G971" s="8">
        <v>2</v>
      </c>
      <c r="H971" s="8"/>
      <c r="I971" s="115">
        <f>Table223[[#This Row],[Qty]]-Table223[[#This Row],[Issue Qty]]</f>
        <v>2</v>
      </c>
      <c r="J971" s="5">
        <v>1136.1600000000001</v>
      </c>
      <c r="K971" s="5">
        <f t="shared" si="48"/>
        <v>2272.3200000000002</v>
      </c>
      <c r="L971" s="82">
        <v>0.18</v>
      </c>
      <c r="M971" s="9">
        <f t="shared" si="49"/>
        <v>409.01760000000002</v>
      </c>
      <c r="N971" s="5">
        <v>199</v>
      </c>
      <c r="O971" s="5"/>
      <c r="P971" s="5">
        <f t="shared" si="50"/>
        <v>2880.3376000000003</v>
      </c>
      <c r="Q971" s="1" t="s">
        <v>1408</v>
      </c>
      <c r="R971" s="1" t="s">
        <v>1408</v>
      </c>
      <c r="S971" s="1" t="s">
        <v>634</v>
      </c>
      <c r="T971" s="1" t="s">
        <v>2774</v>
      </c>
      <c r="U971" s="1">
        <v>84439990</v>
      </c>
      <c r="V971" s="2"/>
      <c r="W971" s="21" t="s">
        <v>1317</v>
      </c>
      <c r="X971" s="21"/>
      <c r="Y971" s="21"/>
      <c r="Z971" s="12"/>
      <c r="AA971" s="2"/>
      <c r="AB971" s="23"/>
      <c r="AC971" s="1"/>
      <c r="AD971" s="27"/>
    </row>
    <row r="972" spans="1:30" x14ac:dyDescent="0.25">
      <c r="A972" s="4">
        <v>46064</v>
      </c>
      <c r="B972" s="4">
        <v>46069</v>
      </c>
      <c r="C972" s="6" t="s">
        <v>1730</v>
      </c>
      <c r="D972" s="6"/>
      <c r="E972" s="6" t="s">
        <v>1633</v>
      </c>
      <c r="F972" s="6" t="s">
        <v>1633</v>
      </c>
      <c r="G972" s="8">
        <v>2</v>
      </c>
      <c r="H972" s="8">
        <v>1</v>
      </c>
      <c r="I972" s="115">
        <f>Table223[[#This Row],[Qty]]-Table223[[#This Row],[Issue Qty]]</f>
        <v>1</v>
      </c>
      <c r="J972" s="5">
        <v>1041.1600000000001</v>
      </c>
      <c r="K972" s="5">
        <f t="shared" si="48"/>
        <v>2082.3200000000002</v>
      </c>
      <c r="L972" s="82">
        <v>0.18</v>
      </c>
      <c r="M972" s="9">
        <f t="shared" si="49"/>
        <v>374.81760000000003</v>
      </c>
      <c r="N972" s="5"/>
      <c r="O972" s="5"/>
      <c r="P972" s="5">
        <f t="shared" si="50"/>
        <v>2457.1376</v>
      </c>
      <c r="Q972" s="1" t="s">
        <v>1408</v>
      </c>
      <c r="R972" s="1" t="s">
        <v>1408</v>
      </c>
      <c r="S972" s="1" t="s">
        <v>634</v>
      </c>
      <c r="T972" s="1" t="s">
        <v>2774</v>
      </c>
      <c r="U972" s="1">
        <v>84439990</v>
      </c>
      <c r="V972" s="2"/>
      <c r="W972" s="21" t="s">
        <v>1317</v>
      </c>
      <c r="X972" s="21"/>
      <c r="Y972" s="21">
        <v>1</v>
      </c>
      <c r="Z972" s="12" t="s">
        <v>2943</v>
      </c>
      <c r="AA972" s="2"/>
      <c r="AB972" s="23"/>
      <c r="AC972" s="1"/>
      <c r="AD972" s="27"/>
    </row>
    <row r="973" spans="1:30" x14ac:dyDescent="0.25">
      <c r="A973" s="4">
        <v>46065</v>
      </c>
      <c r="B973" s="4">
        <v>46070</v>
      </c>
      <c r="C973" s="6" t="s">
        <v>1683</v>
      </c>
      <c r="D973" s="6" t="s">
        <v>2660</v>
      </c>
      <c r="E973" s="6" t="s">
        <v>1557</v>
      </c>
      <c r="F973" s="6" t="s">
        <v>1557</v>
      </c>
      <c r="G973" s="8">
        <v>10</v>
      </c>
      <c r="H973" s="8"/>
      <c r="I973" s="115">
        <f>Table223[[#This Row],[Qty]]-Table223[[#This Row],[Issue Qty]]</f>
        <v>10</v>
      </c>
      <c r="J973" s="5">
        <v>9.8800000000000008</v>
      </c>
      <c r="K973" s="5">
        <f t="shared" si="48"/>
        <v>98.800000000000011</v>
      </c>
      <c r="L973" s="82"/>
      <c r="M973" s="9">
        <f t="shared" si="49"/>
        <v>0</v>
      </c>
      <c r="N973" s="5"/>
      <c r="O973" s="5"/>
      <c r="P973" s="5">
        <f t="shared" si="50"/>
        <v>98.800000000000011</v>
      </c>
      <c r="Q973" s="1" t="s">
        <v>2887</v>
      </c>
      <c r="R973" s="12" t="s">
        <v>1674</v>
      </c>
      <c r="S973" s="1" t="s">
        <v>1503</v>
      </c>
      <c r="T973" s="1">
        <v>120525597</v>
      </c>
      <c r="U973" s="1"/>
      <c r="V973" s="2"/>
      <c r="W973" s="21" t="s">
        <v>638</v>
      </c>
      <c r="X973" s="8" t="s">
        <v>1963</v>
      </c>
      <c r="Y973" s="21">
        <v>10</v>
      </c>
      <c r="Z973" s="12"/>
      <c r="AA973" s="2"/>
      <c r="AB973" s="23"/>
      <c r="AC973" s="1"/>
      <c r="AD973" s="27"/>
    </row>
    <row r="974" spans="1:30" x14ac:dyDescent="0.25">
      <c r="A974" s="4">
        <v>46070</v>
      </c>
      <c r="B974" s="4">
        <v>46070</v>
      </c>
      <c r="C974" s="6" t="s">
        <v>1693</v>
      </c>
      <c r="D974" s="6" t="s">
        <v>2414</v>
      </c>
      <c r="E974" s="6" t="s">
        <v>1313</v>
      </c>
      <c r="F974" s="6" t="s">
        <v>1313</v>
      </c>
      <c r="G974" s="8">
        <v>2</v>
      </c>
      <c r="H974" s="8"/>
      <c r="I974" s="115">
        <f>Table223[[#This Row],[Qty]]-Table223[[#This Row],[Issue Qty]]</f>
        <v>2</v>
      </c>
      <c r="J974" s="5">
        <v>1779.66</v>
      </c>
      <c r="K974" s="5">
        <f t="shared" si="48"/>
        <v>3559.32</v>
      </c>
      <c r="L974" s="82">
        <v>0.18</v>
      </c>
      <c r="M974" s="9">
        <f t="shared" si="49"/>
        <v>640.67759999999998</v>
      </c>
      <c r="N974" s="5"/>
      <c r="O974" s="5"/>
      <c r="P974" s="5">
        <f t="shared" si="50"/>
        <v>4199.9976000000006</v>
      </c>
      <c r="Q974" s="1" t="s">
        <v>2887</v>
      </c>
      <c r="R974" s="12" t="s">
        <v>1674</v>
      </c>
      <c r="S974" s="1" t="s">
        <v>1314</v>
      </c>
      <c r="T974" s="1" t="s">
        <v>2775</v>
      </c>
      <c r="U974" s="1">
        <v>84733099</v>
      </c>
      <c r="V974" s="2"/>
      <c r="W974" s="21" t="s">
        <v>29</v>
      </c>
      <c r="X974" s="21"/>
      <c r="Y974" s="21">
        <v>1</v>
      </c>
      <c r="Z974" s="12" t="s">
        <v>1546</v>
      </c>
      <c r="AA974" s="2"/>
      <c r="AB974" s="23"/>
      <c r="AC974" s="1"/>
      <c r="AD974" s="27"/>
    </row>
    <row r="975" spans="1:30" x14ac:dyDescent="0.25">
      <c r="A975" s="4">
        <v>46074</v>
      </c>
      <c r="B975" s="4">
        <v>46074</v>
      </c>
      <c r="C975" s="6" t="s">
        <v>1730</v>
      </c>
      <c r="D975" s="6"/>
      <c r="E975" s="6" t="s">
        <v>1642</v>
      </c>
      <c r="F975" s="6" t="s">
        <v>1642</v>
      </c>
      <c r="G975" s="8">
        <v>4</v>
      </c>
      <c r="H975" s="8"/>
      <c r="I975" s="115">
        <f>Table223[[#This Row],[Qty]]-Table223[[#This Row],[Issue Qty]]</f>
        <v>4</v>
      </c>
      <c r="J975" s="5">
        <v>425</v>
      </c>
      <c r="K975" s="5">
        <f t="shared" si="48"/>
        <v>1700</v>
      </c>
      <c r="L975" s="82">
        <v>0.18</v>
      </c>
      <c r="M975" s="9">
        <f t="shared" si="49"/>
        <v>306</v>
      </c>
      <c r="N975" s="5"/>
      <c r="O975" s="5"/>
      <c r="P975" s="5">
        <f t="shared" si="50"/>
        <v>2006</v>
      </c>
      <c r="Q975" s="1" t="s">
        <v>1408</v>
      </c>
      <c r="R975" s="1" t="s">
        <v>1408</v>
      </c>
      <c r="S975" s="1" t="s">
        <v>1645</v>
      </c>
      <c r="T975" s="1" t="s">
        <v>2776</v>
      </c>
      <c r="U975" s="1">
        <v>39189090</v>
      </c>
      <c r="V975" s="2"/>
      <c r="W975" s="21" t="s">
        <v>2777</v>
      </c>
      <c r="X975" s="21"/>
      <c r="Y975" s="21">
        <v>4</v>
      </c>
      <c r="Z975" s="12"/>
      <c r="AA975" s="2"/>
      <c r="AB975" s="23"/>
      <c r="AC975" s="1"/>
      <c r="AD975" s="27"/>
    </row>
    <row r="976" spans="1:30" x14ac:dyDescent="0.25">
      <c r="A976" s="4">
        <v>46055</v>
      </c>
      <c r="B976" s="4">
        <v>46074</v>
      </c>
      <c r="C976" s="6" t="s">
        <v>1683</v>
      </c>
      <c r="D976" s="6" t="s">
        <v>2741</v>
      </c>
      <c r="E976" s="6" t="s">
        <v>1614</v>
      </c>
      <c r="F976" s="6" t="s">
        <v>1614</v>
      </c>
      <c r="G976" s="8">
        <v>4</v>
      </c>
      <c r="H976" s="8">
        <v>4</v>
      </c>
      <c r="I976" s="115">
        <f>Table223[[#This Row],[Qty]]-Table223[[#This Row],[Issue Qty]]</f>
        <v>0</v>
      </c>
      <c r="J976" s="5">
        <v>180</v>
      </c>
      <c r="K976" s="5">
        <f t="shared" si="48"/>
        <v>720</v>
      </c>
      <c r="L976" s="82">
        <v>0.18</v>
      </c>
      <c r="M976" s="9">
        <f t="shared" si="49"/>
        <v>129.6</v>
      </c>
      <c r="N976" s="5">
        <v>0</v>
      </c>
      <c r="O976" s="5">
        <v>0</v>
      </c>
      <c r="P976" s="5">
        <f t="shared" si="50"/>
        <v>849.6</v>
      </c>
      <c r="Q976" s="1" t="s">
        <v>2887</v>
      </c>
      <c r="R976" s="12" t="s">
        <v>1674</v>
      </c>
      <c r="S976" s="1" t="s">
        <v>343</v>
      </c>
      <c r="T976" s="1" t="s">
        <v>2731</v>
      </c>
      <c r="U976" s="1">
        <v>853690</v>
      </c>
      <c r="V976" s="2"/>
      <c r="W976" s="21" t="s">
        <v>3349</v>
      </c>
      <c r="X976" s="21"/>
      <c r="Y976" s="21">
        <v>4</v>
      </c>
      <c r="Z976" s="12" t="s">
        <v>3364</v>
      </c>
      <c r="AA976" s="2"/>
      <c r="AB976" s="23"/>
      <c r="AC976" s="1"/>
      <c r="AD976" s="27"/>
    </row>
    <row r="977" spans="1:30" x14ac:dyDescent="0.25">
      <c r="A977" s="4">
        <v>46073</v>
      </c>
      <c r="B977" s="4">
        <v>46076</v>
      </c>
      <c r="C977" s="6" t="s">
        <v>1730</v>
      </c>
      <c r="D977" s="6"/>
      <c r="E977" s="6" t="s">
        <v>1643</v>
      </c>
      <c r="F977" s="1" t="s">
        <v>1643</v>
      </c>
      <c r="G977" s="8">
        <v>1</v>
      </c>
      <c r="H977" s="8"/>
      <c r="I977" s="115">
        <f>Table223[[#This Row],[Qty]]-Table223[[#This Row],[Issue Qty]]</f>
        <v>1</v>
      </c>
      <c r="J977" s="5">
        <v>1247.81</v>
      </c>
      <c r="K977" s="5">
        <f t="shared" si="48"/>
        <v>1247.81</v>
      </c>
      <c r="L977" s="82">
        <v>0.18</v>
      </c>
      <c r="M977" s="9">
        <f t="shared" si="49"/>
        <v>224.60579999999999</v>
      </c>
      <c r="N977" s="5"/>
      <c r="O977" s="5"/>
      <c r="P977" s="5">
        <f t="shared" si="50"/>
        <v>1472.4158</v>
      </c>
      <c r="Q977" s="1" t="s">
        <v>1408</v>
      </c>
      <c r="R977" s="1" t="s">
        <v>1408</v>
      </c>
      <c r="S977" s="1" t="s">
        <v>634</v>
      </c>
      <c r="T977" s="1" t="s">
        <v>2778</v>
      </c>
      <c r="U977" s="1">
        <v>84439990</v>
      </c>
      <c r="V977" s="2"/>
      <c r="W977" s="21" t="s">
        <v>1317</v>
      </c>
      <c r="X977" s="21"/>
      <c r="Y977" s="21">
        <v>1</v>
      </c>
      <c r="Z977" s="12"/>
      <c r="AA977" s="2"/>
      <c r="AB977" s="23"/>
      <c r="AC977" s="1"/>
      <c r="AD977" s="64"/>
    </row>
    <row r="978" spans="1:30" x14ac:dyDescent="0.25">
      <c r="A978" s="4">
        <v>46071</v>
      </c>
      <c r="B978" s="4">
        <v>46078</v>
      </c>
      <c r="C978" s="6" t="s">
        <v>1683</v>
      </c>
      <c r="D978" s="6" t="s">
        <v>2779</v>
      </c>
      <c r="E978" s="6" t="s">
        <v>1660</v>
      </c>
      <c r="F978" s="6" t="s">
        <v>1660</v>
      </c>
      <c r="G978" s="8">
        <v>50</v>
      </c>
      <c r="H978" s="8">
        <v>10</v>
      </c>
      <c r="I978" s="115">
        <f>Table223[[#This Row],[Qty]]-Table223[[#This Row],[Issue Qty]]</f>
        <v>40</v>
      </c>
      <c r="J978" s="5">
        <v>26.300999999999998</v>
      </c>
      <c r="K978" s="5">
        <f t="shared" si="48"/>
        <v>1315.05</v>
      </c>
      <c r="L978" s="82"/>
      <c r="M978" s="9">
        <f t="shared" si="49"/>
        <v>0</v>
      </c>
      <c r="N978" s="5"/>
      <c r="O978" s="5"/>
      <c r="P978" s="5">
        <f t="shared" si="50"/>
        <v>1315.05</v>
      </c>
      <c r="Q978" s="1" t="s">
        <v>1408</v>
      </c>
      <c r="R978" s="1" t="s">
        <v>1408</v>
      </c>
      <c r="S978" s="1" t="s">
        <v>1503</v>
      </c>
      <c r="T978" s="1"/>
      <c r="U978" s="1"/>
      <c r="V978" s="2"/>
      <c r="W978" s="21" t="s">
        <v>638</v>
      </c>
      <c r="X978" s="8" t="s">
        <v>1963</v>
      </c>
      <c r="Y978" s="21">
        <v>10</v>
      </c>
      <c r="Z978" s="12" t="s">
        <v>2931</v>
      </c>
      <c r="AA978" s="2"/>
      <c r="AB978" s="23"/>
      <c r="AC978" s="1"/>
      <c r="AD978" s="64"/>
    </row>
    <row r="979" spans="1:30" x14ac:dyDescent="0.25">
      <c r="A979" s="4">
        <v>46083</v>
      </c>
      <c r="B979" s="4">
        <v>46086</v>
      </c>
      <c r="C979" s="6" t="s">
        <v>1693</v>
      </c>
      <c r="D979" s="6" t="s">
        <v>1644</v>
      </c>
      <c r="E979" s="6" t="s">
        <v>1661</v>
      </c>
      <c r="F979" s="6" t="s">
        <v>1661</v>
      </c>
      <c r="G979" s="8">
        <v>1</v>
      </c>
      <c r="H979" s="8"/>
      <c r="I979" s="115">
        <f>Table223[[#This Row],[Qty]]-Table223[[#This Row],[Issue Qty]]</f>
        <v>1</v>
      </c>
      <c r="J979" s="5">
        <v>127.11</v>
      </c>
      <c r="K979" s="5">
        <f t="shared" si="48"/>
        <v>127.11</v>
      </c>
      <c r="L979" s="82">
        <v>0.18</v>
      </c>
      <c r="M979" s="9">
        <f t="shared" si="49"/>
        <v>22.879799999999999</v>
      </c>
      <c r="N979" s="5">
        <v>95</v>
      </c>
      <c r="O979" s="5"/>
      <c r="P979" s="5">
        <f t="shared" si="50"/>
        <v>244.9898</v>
      </c>
      <c r="Q979" s="1" t="s">
        <v>1408</v>
      </c>
      <c r="R979" s="1" t="s">
        <v>1408</v>
      </c>
      <c r="S979" s="1" t="s">
        <v>899</v>
      </c>
      <c r="T979" s="1" t="s">
        <v>2780</v>
      </c>
      <c r="U979" s="1">
        <v>85437099</v>
      </c>
      <c r="V979" s="2"/>
      <c r="W979" s="21" t="s">
        <v>638</v>
      </c>
      <c r="X979" s="21"/>
      <c r="Y979" s="21">
        <v>1</v>
      </c>
      <c r="Z979" s="12" t="s">
        <v>2781</v>
      </c>
      <c r="AA979" s="2"/>
      <c r="AB979" s="23"/>
      <c r="AC979" s="1"/>
      <c r="AD979" s="64"/>
    </row>
    <row r="980" spans="1:30" x14ac:dyDescent="0.25">
      <c r="A980" s="4">
        <v>46086</v>
      </c>
      <c r="B980" s="4">
        <v>46088</v>
      </c>
      <c r="C980" s="6" t="s">
        <v>54</v>
      </c>
      <c r="D980" s="6"/>
      <c r="E980" s="6" t="s">
        <v>1662</v>
      </c>
      <c r="F980" s="6" t="s">
        <v>1662</v>
      </c>
      <c r="G980" s="8">
        <v>2</v>
      </c>
      <c r="H980" s="8">
        <v>2</v>
      </c>
      <c r="I980" s="115">
        <f>Table223[[#This Row],[Qty]]-Table223[[#This Row],[Issue Qty]]</f>
        <v>0</v>
      </c>
      <c r="J980" s="10">
        <v>0</v>
      </c>
      <c r="K980" s="10">
        <f t="shared" si="48"/>
        <v>0</v>
      </c>
      <c r="L980" s="82"/>
      <c r="M980" s="79">
        <f t="shared" si="49"/>
        <v>0</v>
      </c>
      <c r="N980" s="10"/>
      <c r="O980" s="10"/>
      <c r="P980" s="10">
        <f t="shared" si="50"/>
        <v>0</v>
      </c>
      <c r="Q980" s="1" t="s">
        <v>2887</v>
      </c>
      <c r="R980" s="1" t="s">
        <v>633</v>
      </c>
      <c r="S980" s="1" t="s">
        <v>1519</v>
      </c>
      <c r="T980" s="1">
        <v>169</v>
      </c>
      <c r="U980" s="1"/>
      <c r="V980" s="2"/>
      <c r="W980" s="21" t="s">
        <v>48</v>
      </c>
      <c r="X980" s="21"/>
      <c r="Y980" s="21">
        <v>2</v>
      </c>
      <c r="Z980" s="12" t="s">
        <v>1368</v>
      </c>
      <c r="AA980" s="2"/>
      <c r="AB980" s="23"/>
      <c r="AC980" s="1"/>
      <c r="AD980" s="27"/>
    </row>
    <row r="981" spans="1:30" x14ac:dyDescent="0.25">
      <c r="A981" s="4">
        <v>46090</v>
      </c>
      <c r="B981" s="4">
        <v>46090</v>
      </c>
      <c r="C981" s="6" t="s">
        <v>54</v>
      </c>
      <c r="D981" s="6" t="s">
        <v>2062</v>
      </c>
      <c r="E981" s="6" t="s">
        <v>810</v>
      </c>
      <c r="F981" s="1" t="s">
        <v>810</v>
      </c>
      <c r="G981" s="8">
        <v>1</v>
      </c>
      <c r="H981" s="8">
        <v>1</v>
      </c>
      <c r="I981" s="115">
        <f>Table223[[#This Row],[Qty]]-Table223[[#This Row],[Issue Qty]]</f>
        <v>0</v>
      </c>
      <c r="J981" s="10">
        <v>3600</v>
      </c>
      <c r="K981" s="5">
        <f t="shared" si="48"/>
        <v>3600</v>
      </c>
      <c r="L981" s="82">
        <v>0.18</v>
      </c>
      <c r="M981" s="9">
        <f t="shared" si="49"/>
        <v>648</v>
      </c>
      <c r="N981" s="10"/>
      <c r="O981" s="10"/>
      <c r="P981" s="5">
        <f t="shared" si="50"/>
        <v>4248</v>
      </c>
      <c r="Q981" s="1" t="s">
        <v>606</v>
      </c>
      <c r="R981" s="1" t="s">
        <v>606</v>
      </c>
      <c r="S981" s="1" t="s">
        <v>1670</v>
      </c>
      <c r="T981" s="1" t="s">
        <v>2782</v>
      </c>
      <c r="U981" s="1"/>
      <c r="V981" s="2"/>
      <c r="W981" s="21" t="s">
        <v>156</v>
      </c>
      <c r="X981" s="21"/>
      <c r="Y981" s="21">
        <v>1</v>
      </c>
      <c r="Z981" s="12" t="s">
        <v>2949</v>
      </c>
      <c r="AA981" s="2"/>
      <c r="AB981" s="23"/>
      <c r="AC981" s="1"/>
      <c r="AD981" s="64"/>
    </row>
    <row r="982" spans="1:30" x14ac:dyDescent="0.25">
      <c r="A982" s="4">
        <v>46084</v>
      </c>
      <c r="B982" s="4">
        <v>46091</v>
      </c>
      <c r="C982" s="6" t="s">
        <v>1683</v>
      </c>
      <c r="D982" s="6" t="s">
        <v>1644</v>
      </c>
      <c r="E982" s="165" t="s">
        <v>1663</v>
      </c>
      <c r="F982" s="1" t="s">
        <v>1663</v>
      </c>
      <c r="G982" s="8">
        <v>8</v>
      </c>
      <c r="H982" s="8"/>
      <c r="I982" s="115">
        <f>Table223[[#This Row],[Qty]]-Table223[[#This Row],[Issue Qty]]</f>
        <v>8</v>
      </c>
      <c r="J982" s="5"/>
      <c r="K982" s="5">
        <f t="shared" si="48"/>
        <v>0</v>
      </c>
      <c r="L982" s="82"/>
      <c r="M982" s="9">
        <f t="shared" si="49"/>
        <v>0</v>
      </c>
      <c r="N982" s="5"/>
      <c r="O982" s="5"/>
      <c r="P982" s="5">
        <f t="shared" si="50"/>
        <v>0</v>
      </c>
      <c r="Q982" s="1" t="s">
        <v>1672</v>
      </c>
      <c r="R982" s="1" t="s">
        <v>1672</v>
      </c>
      <c r="S982" s="1" t="s">
        <v>1671</v>
      </c>
      <c r="T982" s="1" t="s">
        <v>2783</v>
      </c>
      <c r="U982" s="1"/>
      <c r="V982" s="2"/>
      <c r="W982" s="21" t="s">
        <v>398</v>
      </c>
      <c r="X982" s="21"/>
      <c r="Y982" s="21"/>
      <c r="Z982" s="12"/>
      <c r="AA982" s="2"/>
      <c r="AB982" s="23"/>
      <c r="AC982" s="1"/>
      <c r="AD982" s="27"/>
    </row>
    <row r="983" spans="1:30" ht="21" customHeight="1" x14ac:dyDescent="0.25">
      <c r="A983" s="4">
        <v>46093</v>
      </c>
      <c r="B983" s="4">
        <v>46094</v>
      </c>
      <c r="C983" s="6" t="s">
        <v>1730</v>
      </c>
      <c r="D983" s="6" t="s">
        <v>1644</v>
      </c>
      <c r="E983" s="6" t="s">
        <v>1664</v>
      </c>
      <c r="F983" s="1" t="s">
        <v>1664</v>
      </c>
      <c r="G983" s="8">
        <v>7</v>
      </c>
      <c r="H983" s="8">
        <v>7</v>
      </c>
      <c r="I983" s="115">
        <f>Table223[[#This Row],[Qty]]-Table223[[#This Row],[Issue Qty]]</f>
        <v>0</v>
      </c>
      <c r="J983" s="10">
        <v>491.01</v>
      </c>
      <c r="K983" s="5">
        <f t="shared" si="48"/>
        <v>3437.0699999999997</v>
      </c>
      <c r="L983" s="82">
        <v>0.18</v>
      </c>
      <c r="M983" s="9">
        <f t="shared" si="49"/>
        <v>618.67259999999987</v>
      </c>
      <c r="N983" s="5"/>
      <c r="O983" s="5"/>
      <c r="P983" s="5">
        <f t="shared" si="50"/>
        <v>4055.7425999999996</v>
      </c>
      <c r="Q983" s="1" t="s">
        <v>1408</v>
      </c>
      <c r="R983" s="1" t="s">
        <v>1408</v>
      </c>
      <c r="S983" s="6" t="s">
        <v>634</v>
      </c>
      <c r="T983" s="1" t="s">
        <v>2784</v>
      </c>
      <c r="U983" s="1">
        <v>84799090</v>
      </c>
      <c r="V983" s="2"/>
      <c r="W983" s="21" t="s">
        <v>398</v>
      </c>
      <c r="X983" s="21"/>
      <c r="Y983" s="21">
        <v>7</v>
      </c>
      <c r="Z983" s="12" t="s">
        <v>3164</v>
      </c>
      <c r="AA983" s="2"/>
      <c r="AB983" s="23"/>
      <c r="AC983" s="1"/>
      <c r="AD983" s="64"/>
    </row>
    <row r="984" spans="1:30" x14ac:dyDescent="0.25">
      <c r="A984" s="4">
        <v>46093</v>
      </c>
      <c r="B984" s="4">
        <v>46094</v>
      </c>
      <c r="C984" s="6" t="s">
        <v>1730</v>
      </c>
      <c r="D984" s="6" t="s">
        <v>1644</v>
      </c>
      <c r="E984" s="6" t="s">
        <v>1665</v>
      </c>
      <c r="F984" s="1" t="s">
        <v>1665</v>
      </c>
      <c r="G984" s="8">
        <v>6</v>
      </c>
      <c r="H984" s="8"/>
      <c r="I984" s="115">
        <f>Table223[[#This Row],[Qty]]-Table223[[#This Row],[Issue Qty]]</f>
        <v>6</v>
      </c>
      <c r="J984" s="10">
        <v>26.37</v>
      </c>
      <c r="K984" s="5">
        <f t="shared" si="48"/>
        <v>158.22</v>
      </c>
      <c r="L984" s="82">
        <v>0.18</v>
      </c>
      <c r="M984" s="9">
        <f t="shared" si="49"/>
        <v>28.479599999999998</v>
      </c>
      <c r="N984" s="5"/>
      <c r="O984" s="5"/>
      <c r="P984" s="5">
        <f t="shared" si="50"/>
        <v>186.6996</v>
      </c>
      <c r="Q984" s="1" t="s">
        <v>1408</v>
      </c>
      <c r="R984" s="1" t="s">
        <v>1408</v>
      </c>
      <c r="S984" s="6" t="s">
        <v>634</v>
      </c>
      <c r="T984" s="1" t="s">
        <v>2784</v>
      </c>
      <c r="U984" s="1">
        <v>84799090</v>
      </c>
      <c r="V984" s="2"/>
      <c r="W984" s="21" t="s">
        <v>944</v>
      </c>
      <c r="X984" s="21"/>
      <c r="Y984" s="21"/>
      <c r="Z984" s="12"/>
      <c r="AA984" s="2"/>
      <c r="AB984" s="23"/>
      <c r="AC984" s="1"/>
      <c r="AD984" s="27"/>
    </row>
    <row r="985" spans="1:30" x14ac:dyDescent="0.25">
      <c r="A985" s="4">
        <v>46093</v>
      </c>
      <c r="B985" s="4">
        <v>46094</v>
      </c>
      <c r="C985" s="6" t="s">
        <v>1730</v>
      </c>
      <c r="D985" s="6" t="s">
        <v>1644</v>
      </c>
      <c r="E985" s="6" t="s">
        <v>1666</v>
      </c>
      <c r="F985" s="1" t="s">
        <v>1666</v>
      </c>
      <c r="G985" s="8">
        <v>6</v>
      </c>
      <c r="H985" s="8"/>
      <c r="I985" s="115">
        <f>Table223[[#This Row],[Qty]]-Table223[[#This Row],[Issue Qty]]</f>
        <v>6</v>
      </c>
      <c r="J985" s="10">
        <v>199.15</v>
      </c>
      <c r="K985" s="5">
        <f t="shared" si="48"/>
        <v>1194.9000000000001</v>
      </c>
      <c r="L985" s="82">
        <v>0.18</v>
      </c>
      <c r="M985" s="9">
        <f t="shared" si="49"/>
        <v>215.08200000000002</v>
      </c>
      <c r="N985" s="5">
        <v>258</v>
      </c>
      <c r="O985" s="5"/>
      <c r="P985" s="5">
        <f t="shared" si="50"/>
        <v>1667.9820000000002</v>
      </c>
      <c r="Q985" s="1" t="s">
        <v>1408</v>
      </c>
      <c r="R985" s="1" t="s">
        <v>1408</v>
      </c>
      <c r="S985" s="6" t="s">
        <v>634</v>
      </c>
      <c r="T985" s="1" t="s">
        <v>2784</v>
      </c>
      <c r="U985" s="1">
        <v>84799090</v>
      </c>
      <c r="V985" s="2"/>
      <c r="W985" s="21" t="s">
        <v>944</v>
      </c>
      <c r="X985" s="21"/>
      <c r="Y985" s="21"/>
      <c r="Z985" s="12"/>
      <c r="AA985" s="2"/>
      <c r="AB985" s="23"/>
      <c r="AC985" s="1"/>
      <c r="AD985" s="27"/>
    </row>
    <row r="986" spans="1:30" ht="33.75" customHeight="1" x14ac:dyDescent="0.25">
      <c r="A986" s="4" t="s">
        <v>1644</v>
      </c>
      <c r="B986" s="4">
        <v>46101</v>
      </c>
      <c r="C986" s="112" t="s">
        <v>1695</v>
      </c>
      <c r="D986" s="6" t="s">
        <v>2785</v>
      </c>
      <c r="E986" s="6" t="s">
        <v>1036</v>
      </c>
      <c r="F986" s="1" t="s">
        <v>1036</v>
      </c>
      <c r="G986" s="8">
        <v>2</v>
      </c>
      <c r="H986" s="8">
        <v>1</v>
      </c>
      <c r="I986" s="115">
        <f>Table223[[#This Row],[Qty]]-Table223[[#This Row],[Issue Qty]]</f>
        <v>1</v>
      </c>
      <c r="J986" s="10">
        <v>0</v>
      </c>
      <c r="K986" s="5">
        <f t="shared" si="48"/>
        <v>0</v>
      </c>
      <c r="L986" s="82">
        <v>0</v>
      </c>
      <c r="M986" s="9">
        <f t="shared" si="49"/>
        <v>0</v>
      </c>
      <c r="N986" s="5"/>
      <c r="O986" s="5"/>
      <c r="P986" s="5">
        <f t="shared" si="50"/>
        <v>0</v>
      </c>
      <c r="Q986" s="1" t="s">
        <v>1408</v>
      </c>
      <c r="R986" s="1" t="s">
        <v>1408</v>
      </c>
      <c r="S986" s="1"/>
      <c r="T986" s="1" t="s">
        <v>1644</v>
      </c>
      <c r="U986" s="1" t="s">
        <v>1644</v>
      </c>
      <c r="V986" s="2"/>
      <c r="W986" s="21" t="s">
        <v>1624</v>
      </c>
      <c r="X986" s="21"/>
      <c r="Y986" s="21">
        <v>1</v>
      </c>
      <c r="Z986" s="12"/>
      <c r="AA986" s="2" t="s">
        <v>2786</v>
      </c>
      <c r="AB986" s="23"/>
      <c r="AC986" s="1"/>
      <c r="AD986" s="27" t="s">
        <v>2787</v>
      </c>
    </row>
    <row r="987" spans="1:30" x14ac:dyDescent="0.25">
      <c r="A987" s="4">
        <v>46108</v>
      </c>
      <c r="B987" s="4">
        <v>46108</v>
      </c>
      <c r="C987" s="112" t="s">
        <v>1693</v>
      </c>
      <c r="D987" s="6" t="s">
        <v>2785</v>
      </c>
      <c r="E987" s="86" t="s">
        <v>1584</v>
      </c>
      <c r="F987" s="6" t="s">
        <v>1584</v>
      </c>
      <c r="G987" s="8">
        <v>2</v>
      </c>
      <c r="H987" s="8">
        <v>2</v>
      </c>
      <c r="I987" s="115">
        <f>Table223[[#This Row],[Qty]]-Table223[[#This Row],[Issue Qty]]</f>
        <v>0</v>
      </c>
      <c r="J987" s="10">
        <v>26500</v>
      </c>
      <c r="K987" s="5">
        <f t="shared" si="48"/>
        <v>53000</v>
      </c>
      <c r="L987" s="82">
        <v>0.05</v>
      </c>
      <c r="M987" s="9">
        <f t="shared" si="49"/>
        <v>2650</v>
      </c>
      <c r="N987" s="10"/>
      <c r="O987" s="10"/>
      <c r="P987" s="5">
        <f t="shared" si="50"/>
        <v>55650</v>
      </c>
      <c r="Q987" s="1" t="s">
        <v>1673</v>
      </c>
      <c r="R987" s="1" t="s">
        <v>1673</v>
      </c>
      <c r="S987" s="1" t="s">
        <v>444</v>
      </c>
      <c r="T987" s="1" t="s">
        <v>2788</v>
      </c>
      <c r="U987" s="1">
        <v>88073000</v>
      </c>
      <c r="V987" s="2"/>
      <c r="W987" s="21"/>
      <c r="X987" s="21"/>
      <c r="Y987" s="21">
        <v>2</v>
      </c>
      <c r="Z987" s="12" t="s">
        <v>2942</v>
      </c>
      <c r="AA987" s="2"/>
      <c r="AB987" s="23"/>
      <c r="AC987" s="1"/>
      <c r="AD987" s="64"/>
    </row>
    <row r="988" spans="1:30" x14ac:dyDescent="0.25">
      <c r="A988" s="4">
        <v>46104</v>
      </c>
      <c r="B988" s="4">
        <v>46104</v>
      </c>
      <c r="C988" s="112" t="s">
        <v>54</v>
      </c>
      <c r="D988" s="6" t="s">
        <v>2604</v>
      </c>
      <c r="E988" s="86" t="s">
        <v>1507</v>
      </c>
      <c r="F988" s="1" t="s">
        <v>1507</v>
      </c>
      <c r="G988" s="8">
        <v>1</v>
      </c>
      <c r="H988" s="8">
        <v>1</v>
      </c>
      <c r="I988" s="115">
        <f>Table223[[#This Row],[Qty]]-Table223[[#This Row],[Issue Qty]]</f>
        <v>0</v>
      </c>
      <c r="J988" s="10">
        <v>4561.2</v>
      </c>
      <c r="K988" s="5">
        <f t="shared" si="48"/>
        <v>4561.2</v>
      </c>
      <c r="L988" s="82">
        <v>0.18</v>
      </c>
      <c r="M988" s="9">
        <f t="shared" si="49"/>
        <v>821.01599999999996</v>
      </c>
      <c r="N988" s="5"/>
      <c r="O988" s="5"/>
      <c r="P988" s="5">
        <f t="shared" si="50"/>
        <v>5382.2159999999994</v>
      </c>
      <c r="Q988" s="1" t="s">
        <v>1673</v>
      </c>
      <c r="R988" s="1" t="s">
        <v>1673</v>
      </c>
      <c r="S988" s="1" t="s">
        <v>358</v>
      </c>
      <c r="T988" s="1" t="s">
        <v>2789</v>
      </c>
      <c r="U988" s="1">
        <v>39269099</v>
      </c>
      <c r="V988" s="2"/>
      <c r="W988" s="21" t="s">
        <v>3353</v>
      </c>
      <c r="X988" s="21"/>
      <c r="Y988" s="21">
        <v>1</v>
      </c>
      <c r="Z988" s="12" t="s">
        <v>3014</v>
      </c>
      <c r="AA988" s="2"/>
      <c r="AB988" s="23"/>
      <c r="AC988" s="1"/>
      <c r="AD988" s="64"/>
    </row>
    <row r="989" spans="1:30" x14ac:dyDescent="0.25">
      <c r="A989" s="4">
        <v>46104</v>
      </c>
      <c r="B989" s="4">
        <v>46104</v>
      </c>
      <c r="C989" s="112" t="s">
        <v>54</v>
      </c>
      <c r="D989" s="188" t="s">
        <v>2603</v>
      </c>
      <c r="E989" s="86" t="s">
        <v>1506</v>
      </c>
      <c r="F989" s="1" t="s">
        <v>1506</v>
      </c>
      <c r="G989" s="8">
        <v>1</v>
      </c>
      <c r="H989" s="8">
        <v>1</v>
      </c>
      <c r="I989" s="115">
        <f>Table223[[#This Row],[Qty]]-Table223[[#This Row],[Issue Qty]]</f>
        <v>0</v>
      </c>
      <c r="J989" s="187">
        <v>2935.8</v>
      </c>
      <c r="K989" s="5">
        <f t="shared" si="48"/>
        <v>2935.8</v>
      </c>
      <c r="L989" s="82">
        <v>0.18</v>
      </c>
      <c r="M989" s="9">
        <f t="shared" si="49"/>
        <v>528.44399999999996</v>
      </c>
      <c r="N989" s="5"/>
      <c r="O989" s="5"/>
      <c r="P989" s="5">
        <f t="shared" si="50"/>
        <v>3464.2440000000001</v>
      </c>
      <c r="Q989" s="1" t="s">
        <v>1673</v>
      </c>
      <c r="R989" s="1" t="s">
        <v>1673</v>
      </c>
      <c r="S989" s="1" t="s">
        <v>358</v>
      </c>
      <c r="T989" s="1" t="s">
        <v>2789</v>
      </c>
      <c r="U989" s="1">
        <v>39269099</v>
      </c>
      <c r="V989" s="2"/>
      <c r="W989" s="21" t="s">
        <v>3353</v>
      </c>
      <c r="X989" s="21"/>
      <c r="Y989" s="21">
        <v>1</v>
      </c>
      <c r="Z989" s="12" t="s">
        <v>3014</v>
      </c>
      <c r="AA989" s="2"/>
      <c r="AB989" s="65"/>
      <c r="AC989" s="1"/>
      <c r="AD989" s="27"/>
    </row>
    <row r="990" spans="1:30" x14ac:dyDescent="0.25">
      <c r="A990" s="4">
        <v>46106</v>
      </c>
      <c r="B990" s="4">
        <v>46107</v>
      </c>
      <c r="C990" s="112" t="s">
        <v>1683</v>
      </c>
      <c r="D990" s="6" t="s">
        <v>2791</v>
      </c>
      <c r="E990" s="6" t="s">
        <v>1667</v>
      </c>
      <c r="F990" s="1" t="s">
        <v>1667</v>
      </c>
      <c r="G990" s="8">
        <v>6</v>
      </c>
      <c r="H990" s="8"/>
      <c r="I990" s="115">
        <f>Table223[[#This Row],[Qty]]-Table223[[#This Row],[Issue Qty]]</f>
        <v>6</v>
      </c>
      <c r="J990" s="10">
        <v>8900</v>
      </c>
      <c r="K990" s="5">
        <f t="shared" si="48"/>
        <v>53400</v>
      </c>
      <c r="L990" s="82">
        <v>0.05</v>
      </c>
      <c r="M990" s="9">
        <f t="shared" si="49"/>
        <v>2670</v>
      </c>
      <c r="N990" s="5"/>
      <c r="O990" s="5"/>
      <c r="P990" s="5">
        <f t="shared" si="50"/>
        <v>56070</v>
      </c>
      <c r="Q990" s="1" t="s">
        <v>2887</v>
      </c>
      <c r="R990" s="12" t="s">
        <v>1674</v>
      </c>
      <c r="S990" s="1" t="s">
        <v>1420</v>
      </c>
      <c r="T990" s="1" t="s">
        <v>2792</v>
      </c>
      <c r="U990" s="1">
        <v>88073020</v>
      </c>
      <c r="V990" s="2"/>
      <c r="W990" s="21" t="s">
        <v>573</v>
      </c>
      <c r="X990" s="21" t="s">
        <v>2793</v>
      </c>
      <c r="Y990" s="21"/>
      <c r="Z990" s="12"/>
      <c r="AA990" s="2"/>
      <c r="AB990" s="23"/>
      <c r="AC990" s="1"/>
      <c r="AD990" s="64"/>
    </row>
    <row r="991" spans="1:30" x14ac:dyDescent="0.25">
      <c r="A991" s="4">
        <v>46106</v>
      </c>
      <c r="B991" s="4">
        <v>46107</v>
      </c>
      <c r="C991" s="112" t="s">
        <v>54</v>
      </c>
      <c r="D991" s="6" t="s">
        <v>2794</v>
      </c>
      <c r="E991" s="6" t="s">
        <v>1668</v>
      </c>
      <c r="F991" s="1" t="s">
        <v>1668</v>
      </c>
      <c r="G991" s="8">
        <v>6</v>
      </c>
      <c r="H991" s="8"/>
      <c r="I991" s="115">
        <f>Table223[[#This Row],[Qty]]-Table223[[#This Row],[Issue Qty]]</f>
        <v>6</v>
      </c>
      <c r="J991" s="10">
        <v>12500</v>
      </c>
      <c r="K991" s="5">
        <f t="shared" si="48"/>
        <v>75000</v>
      </c>
      <c r="L991" s="82">
        <v>0.05</v>
      </c>
      <c r="M991" s="9">
        <f t="shared" si="49"/>
        <v>3750</v>
      </c>
      <c r="N991" s="5"/>
      <c r="O991" s="5"/>
      <c r="P991" s="5">
        <f t="shared" si="50"/>
        <v>78750</v>
      </c>
      <c r="Q991" s="1" t="s">
        <v>2887</v>
      </c>
      <c r="R991" s="12" t="s">
        <v>1674</v>
      </c>
      <c r="S991" s="1" t="s">
        <v>1420</v>
      </c>
      <c r="T991" s="1" t="s">
        <v>2792</v>
      </c>
      <c r="U991" s="1">
        <v>88073020</v>
      </c>
      <c r="V991" s="2"/>
      <c r="W991" s="21" t="s">
        <v>126</v>
      </c>
      <c r="X991" s="21"/>
      <c r="Y991" s="21"/>
      <c r="Z991" s="12"/>
      <c r="AA991" s="2"/>
      <c r="AB991" s="23"/>
      <c r="AC991" s="1"/>
      <c r="AD991" s="27"/>
    </row>
    <row r="992" spans="1:30" x14ac:dyDescent="0.25">
      <c r="A992" s="4">
        <v>46106</v>
      </c>
      <c r="B992" s="4">
        <v>46107</v>
      </c>
      <c r="C992" s="112" t="s">
        <v>1693</v>
      </c>
      <c r="D992" s="6" t="s">
        <v>1741</v>
      </c>
      <c r="E992" s="154" t="s">
        <v>165</v>
      </c>
      <c r="F992" s="1" t="s">
        <v>165</v>
      </c>
      <c r="G992" s="8">
        <v>6</v>
      </c>
      <c r="H992" s="8">
        <v>6</v>
      </c>
      <c r="I992" s="115">
        <f>Table223[[#This Row],[Qty]]-Table223[[#This Row],[Issue Qty]]</f>
        <v>0</v>
      </c>
      <c r="J992" s="10">
        <v>2500</v>
      </c>
      <c r="K992" s="5">
        <f t="shared" si="48"/>
        <v>15000</v>
      </c>
      <c r="L992" s="82">
        <v>0.05</v>
      </c>
      <c r="M992" s="9">
        <f t="shared" si="49"/>
        <v>750</v>
      </c>
      <c r="N992" s="5"/>
      <c r="O992" s="5"/>
      <c r="P992" s="5">
        <f t="shared" si="50"/>
        <v>15750</v>
      </c>
      <c r="Q992" s="1" t="s">
        <v>2887</v>
      </c>
      <c r="R992" s="12" t="s">
        <v>1674</v>
      </c>
      <c r="S992" s="1" t="s">
        <v>1420</v>
      </c>
      <c r="T992" s="1" t="s">
        <v>2792</v>
      </c>
      <c r="U992" s="1">
        <v>88073020</v>
      </c>
      <c r="V992" s="2"/>
      <c r="W992" s="21" t="s">
        <v>25</v>
      </c>
      <c r="X992" s="21"/>
      <c r="Y992" s="21">
        <v>6</v>
      </c>
      <c r="Z992" s="12" t="s">
        <v>3359</v>
      </c>
      <c r="AA992" s="2"/>
      <c r="AB992" s="23"/>
      <c r="AC992" s="1"/>
      <c r="AD992" s="27"/>
    </row>
    <row r="993" spans="1:30" x14ac:dyDescent="0.25">
      <c r="A993" s="4">
        <v>46105</v>
      </c>
      <c r="B993" s="4">
        <v>46107</v>
      </c>
      <c r="C993" s="112" t="s">
        <v>1688</v>
      </c>
      <c r="D993" s="6" t="s">
        <v>2795</v>
      </c>
      <c r="E993" s="6" t="s">
        <v>1669</v>
      </c>
      <c r="F993" s="1" t="s">
        <v>1669</v>
      </c>
      <c r="G993" s="8">
        <v>3</v>
      </c>
      <c r="H993" s="73"/>
      <c r="I993" s="73">
        <f>Table223[[#This Row],[Qty]]-Table223[[#This Row],[Issue Qty]]</f>
        <v>3</v>
      </c>
      <c r="J993" s="66">
        <v>13034.65</v>
      </c>
      <c r="K993" s="67">
        <f t="shared" si="48"/>
        <v>39103.949999999997</v>
      </c>
      <c r="L993" s="82">
        <v>0.18</v>
      </c>
      <c r="M993" s="68">
        <f t="shared" si="49"/>
        <v>7038.7109999999993</v>
      </c>
      <c r="N993" s="67"/>
      <c r="O993" s="67">
        <v>0.34</v>
      </c>
      <c r="P993" s="5">
        <f t="shared" si="50"/>
        <v>46143.000999999989</v>
      </c>
      <c r="Q993" s="1" t="s">
        <v>2887</v>
      </c>
      <c r="R993" s="12" t="s">
        <v>1674</v>
      </c>
      <c r="S993" s="1" t="s">
        <v>312</v>
      </c>
      <c r="T993" s="1" t="s">
        <v>2796</v>
      </c>
      <c r="U993" s="1">
        <v>85177100</v>
      </c>
      <c r="V993" s="2"/>
      <c r="W993" s="21" t="s">
        <v>327</v>
      </c>
      <c r="X993" s="21"/>
      <c r="Y993" s="21"/>
      <c r="Z993" s="12" t="s">
        <v>2790</v>
      </c>
      <c r="AA993" s="2"/>
      <c r="AB993" s="23"/>
      <c r="AC993" s="1"/>
      <c r="AD993" s="64"/>
    </row>
    <row r="994" spans="1:30" x14ac:dyDescent="0.25">
      <c r="A994" s="4"/>
      <c r="B994" s="4">
        <v>46119</v>
      </c>
      <c r="C994" s="112" t="s">
        <v>54</v>
      </c>
      <c r="D994" s="6" t="s">
        <v>1644</v>
      </c>
      <c r="E994" s="170" t="s">
        <v>2797</v>
      </c>
      <c r="F994" s="6" t="s">
        <v>2797</v>
      </c>
      <c r="G994" s="69">
        <v>1</v>
      </c>
      <c r="H994" s="69">
        <v>1</v>
      </c>
      <c r="I994" s="69">
        <f>Table223[[#This Row],[Qty]]-Table223[[#This Row],[Issue Qty]]</f>
        <v>0</v>
      </c>
      <c r="J994" s="48">
        <v>0</v>
      </c>
      <c r="K994" s="67">
        <f t="shared" si="48"/>
        <v>0</v>
      </c>
      <c r="L994" s="82"/>
      <c r="M994" s="68">
        <f t="shared" si="49"/>
        <v>0</v>
      </c>
      <c r="N994" s="48"/>
      <c r="O994" s="48"/>
      <c r="P994" s="5">
        <f t="shared" si="50"/>
        <v>0</v>
      </c>
      <c r="Q994" s="1" t="s">
        <v>2887</v>
      </c>
      <c r="R994" s="70" t="s">
        <v>1674</v>
      </c>
      <c r="S994" s="1" t="s">
        <v>764</v>
      </c>
      <c r="T994" s="1"/>
      <c r="U994" s="1"/>
      <c r="V994" s="2"/>
      <c r="W994" s="21" t="s">
        <v>268</v>
      </c>
      <c r="X994" s="21"/>
      <c r="Y994" s="21">
        <v>1</v>
      </c>
      <c r="Z994" s="12" t="s">
        <v>2790</v>
      </c>
      <c r="AA994" s="2" t="s">
        <v>2798</v>
      </c>
      <c r="AB994" s="6"/>
      <c r="AC994" s="1"/>
      <c r="AD994" s="27"/>
    </row>
    <row r="995" spans="1:30" x14ac:dyDescent="0.25">
      <c r="A995" s="4"/>
      <c r="B995" s="4">
        <v>46119</v>
      </c>
      <c r="C995" s="112" t="s">
        <v>54</v>
      </c>
      <c r="D995" s="6" t="s">
        <v>1644</v>
      </c>
      <c r="E995" s="170" t="s">
        <v>2799</v>
      </c>
      <c r="F995" s="6" t="s">
        <v>2799</v>
      </c>
      <c r="G995" s="69">
        <v>1</v>
      </c>
      <c r="H995" s="69">
        <v>1</v>
      </c>
      <c r="I995" s="69">
        <f>Table223[[#This Row],[Qty]]-Table223[[#This Row],[Issue Qty]]</f>
        <v>0</v>
      </c>
      <c r="J995" s="48">
        <v>0</v>
      </c>
      <c r="K995" s="67">
        <f t="shared" si="48"/>
        <v>0</v>
      </c>
      <c r="L995" s="82"/>
      <c r="M995" s="68">
        <f t="shared" si="49"/>
        <v>0</v>
      </c>
      <c r="N995" s="48"/>
      <c r="O995" s="48"/>
      <c r="P995" s="5">
        <f t="shared" si="50"/>
        <v>0</v>
      </c>
      <c r="Q995" s="1" t="s">
        <v>2887</v>
      </c>
      <c r="R995" s="70" t="s">
        <v>1674</v>
      </c>
      <c r="S995" s="1" t="s">
        <v>764</v>
      </c>
      <c r="T995" s="1"/>
      <c r="U995" s="1"/>
      <c r="V995" s="2"/>
      <c r="W995" s="21" t="s">
        <v>268</v>
      </c>
      <c r="X995" s="21"/>
      <c r="Y995" s="21">
        <v>1</v>
      </c>
      <c r="Z995" s="12" t="s">
        <v>2790</v>
      </c>
      <c r="AA995" s="2" t="s">
        <v>2798</v>
      </c>
      <c r="AB995" s="6"/>
      <c r="AC995" s="1"/>
      <c r="AD995" s="27"/>
    </row>
    <row r="996" spans="1:30" x14ac:dyDescent="0.25">
      <c r="A996" s="4"/>
      <c r="B996" s="4">
        <v>46119</v>
      </c>
      <c r="C996" s="112" t="s">
        <v>54</v>
      </c>
      <c r="D996" s="6" t="s">
        <v>1644</v>
      </c>
      <c r="E996" s="170" t="s">
        <v>2800</v>
      </c>
      <c r="F996" s="6" t="s">
        <v>2800</v>
      </c>
      <c r="G996" s="69">
        <v>1</v>
      </c>
      <c r="H996" s="69">
        <v>1</v>
      </c>
      <c r="I996" s="69">
        <f>Table223[[#This Row],[Qty]]-Table223[[#This Row],[Issue Qty]]</f>
        <v>0</v>
      </c>
      <c r="J996" s="48">
        <v>0</v>
      </c>
      <c r="K996" s="67">
        <f t="shared" si="48"/>
        <v>0</v>
      </c>
      <c r="L996" s="82"/>
      <c r="M996" s="68">
        <f t="shared" si="49"/>
        <v>0</v>
      </c>
      <c r="N996" s="48"/>
      <c r="O996" s="48"/>
      <c r="P996" s="5">
        <f t="shared" si="50"/>
        <v>0</v>
      </c>
      <c r="Q996" s="1" t="s">
        <v>2887</v>
      </c>
      <c r="R996" s="70" t="s">
        <v>1674</v>
      </c>
      <c r="S996" s="1" t="s">
        <v>764</v>
      </c>
      <c r="T996" s="1"/>
      <c r="U996" s="1"/>
      <c r="V996" s="2"/>
      <c r="W996" s="21" t="s">
        <v>268</v>
      </c>
      <c r="X996" s="21"/>
      <c r="Y996" s="21">
        <v>1</v>
      </c>
      <c r="Z996" s="12" t="s">
        <v>2790</v>
      </c>
      <c r="AA996" s="2" t="s">
        <v>2798</v>
      </c>
      <c r="AB996" s="6"/>
      <c r="AC996" s="1"/>
      <c r="AD996" s="27"/>
    </row>
    <row r="997" spans="1:30" ht="15" customHeight="1" x14ac:dyDescent="0.25">
      <c r="A997" s="4"/>
      <c r="B997" s="4">
        <v>46119</v>
      </c>
      <c r="C997" s="112" t="s">
        <v>1730</v>
      </c>
      <c r="D997" s="6" t="s">
        <v>1644</v>
      </c>
      <c r="E997" s="170" t="s">
        <v>2801</v>
      </c>
      <c r="F997" s="6" t="s">
        <v>2801</v>
      </c>
      <c r="G997" s="69">
        <v>1</v>
      </c>
      <c r="H997" s="69">
        <v>1</v>
      </c>
      <c r="I997" s="69">
        <f>Table223[[#This Row],[Qty]]-Table223[[#This Row],[Issue Qty]]</f>
        <v>0</v>
      </c>
      <c r="J997" s="48">
        <v>0</v>
      </c>
      <c r="K997" s="67">
        <f t="shared" si="48"/>
        <v>0</v>
      </c>
      <c r="L997" s="82"/>
      <c r="M997" s="68">
        <f t="shared" si="49"/>
        <v>0</v>
      </c>
      <c r="N997" s="48"/>
      <c r="O997" s="48"/>
      <c r="P997" s="5">
        <f t="shared" si="50"/>
        <v>0</v>
      </c>
      <c r="Q997" s="1" t="s">
        <v>2887</v>
      </c>
      <c r="R997" s="70" t="s">
        <v>1674</v>
      </c>
      <c r="S997" s="1" t="s">
        <v>764</v>
      </c>
      <c r="T997" s="1"/>
      <c r="U997" s="1"/>
      <c r="V997" s="2"/>
      <c r="W997" s="21" t="s">
        <v>268</v>
      </c>
      <c r="X997" s="21"/>
      <c r="Y997" s="21">
        <v>1</v>
      </c>
      <c r="Z997" s="12" t="s">
        <v>2790</v>
      </c>
      <c r="AA997" s="2" t="s">
        <v>2798</v>
      </c>
      <c r="AB997" s="6"/>
      <c r="AC997" s="1"/>
      <c r="AD997" s="27"/>
    </row>
    <row r="998" spans="1:30" ht="15" customHeight="1" x14ac:dyDescent="0.25">
      <c r="A998" s="4"/>
      <c r="B998" s="4">
        <v>46119</v>
      </c>
      <c r="C998" s="112" t="s">
        <v>54</v>
      </c>
      <c r="D998" s="6" t="s">
        <v>1644</v>
      </c>
      <c r="E998" s="170" t="s">
        <v>2802</v>
      </c>
      <c r="F998" s="6" t="s">
        <v>2802</v>
      </c>
      <c r="G998" s="69">
        <v>1</v>
      </c>
      <c r="H998" s="69">
        <v>1</v>
      </c>
      <c r="I998" s="69">
        <f>Table223[[#This Row],[Qty]]-Table223[[#This Row],[Issue Qty]]</f>
        <v>0</v>
      </c>
      <c r="J998" s="48">
        <v>0</v>
      </c>
      <c r="K998" s="67">
        <f t="shared" si="48"/>
        <v>0</v>
      </c>
      <c r="L998" s="82"/>
      <c r="M998" s="68">
        <f t="shared" si="49"/>
        <v>0</v>
      </c>
      <c r="N998" s="48"/>
      <c r="O998" s="48"/>
      <c r="P998" s="5">
        <f t="shared" si="50"/>
        <v>0</v>
      </c>
      <c r="Q998" s="1" t="s">
        <v>2887</v>
      </c>
      <c r="R998" s="70" t="s">
        <v>1674</v>
      </c>
      <c r="S998" s="1" t="s">
        <v>764</v>
      </c>
      <c r="T998" s="1"/>
      <c r="U998" s="1"/>
      <c r="V998" s="2"/>
      <c r="W998" s="21" t="s">
        <v>268</v>
      </c>
      <c r="X998" s="21"/>
      <c r="Y998" s="21">
        <v>1</v>
      </c>
      <c r="Z998" s="12" t="s">
        <v>2790</v>
      </c>
      <c r="AA998" s="2" t="s">
        <v>2798</v>
      </c>
      <c r="AB998" s="6"/>
      <c r="AC998" s="1"/>
      <c r="AD998" s="27"/>
    </row>
    <row r="999" spans="1:30" ht="15" customHeight="1" x14ac:dyDescent="0.25">
      <c r="A999" s="4"/>
      <c r="B999" s="4">
        <v>46119</v>
      </c>
      <c r="C999" s="112" t="s">
        <v>54</v>
      </c>
      <c r="D999" s="6" t="s">
        <v>1644</v>
      </c>
      <c r="E999" s="170" t="s">
        <v>2803</v>
      </c>
      <c r="F999" s="6" t="s">
        <v>2803</v>
      </c>
      <c r="G999" s="69">
        <v>1</v>
      </c>
      <c r="H999" s="69">
        <v>1</v>
      </c>
      <c r="I999" s="69">
        <f>Table223[[#This Row],[Qty]]-Table223[[#This Row],[Issue Qty]]</f>
        <v>0</v>
      </c>
      <c r="J999" s="48">
        <v>0</v>
      </c>
      <c r="K999" s="67">
        <f t="shared" si="48"/>
        <v>0</v>
      </c>
      <c r="L999" s="82"/>
      <c r="M999" s="68">
        <f t="shared" si="49"/>
        <v>0</v>
      </c>
      <c r="N999" s="48"/>
      <c r="O999" s="48"/>
      <c r="P999" s="5">
        <f t="shared" si="50"/>
        <v>0</v>
      </c>
      <c r="Q999" s="1" t="s">
        <v>2887</v>
      </c>
      <c r="R999" s="70" t="s">
        <v>1674</v>
      </c>
      <c r="S999" s="1" t="s">
        <v>764</v>
      </c>
      <c r="T999" s="1"/>
      <c r="U999" s="1"/>
      <c r="V999" s="2"/>
      <c r="W999" s="21" t="s">
        <v>268</v>
      </c>
      <c r="X999" s="21"/>
      <c r="Y999" s="21">
        <v>1</v>
      </c>
      <c r="Z999" s="12" t="s">
        <v>2790</v>
      </c>
      <c r="AA999" s="2" t="s">
        <v>2798</v>
      </c>
      <c r="AB999" s="6"/>
      <c r="AC999" s="1"/>
      <c r="AD999" s="27"/>
    </row>
    <row r="1000" spans="1:30" ht="30" x14ac:dyDescent="0.25">
      <c r="A1000" s="4">
        <v>46116</v>
      </c>
      <c r="B1000" s="4">
        <v>46120</v>
      </c>
      <c r="C1000" s="112" t="s">
        <v>1683</v>
      </c>
      <c r="D1000" s="6" t="s">
        <v>2804</v>
      </c>
      <c r="E1000" s="6" t="s">
        <v>2805</v>
      </c>
      <c r="F1000" s="6" t="s">
        <v>2805</v>
      </c>
      <c r="G1000" s="69">
        <v>50</v>
      </c>
      <c r="H1000" s="69">
        <v>50</v>
      </c>
      <c r="I1000" s="69">
        <f>Table223[[#This Row],[Qty]]-Table223[[#This Row],[Issue Qty]]</f>
        <v>0</v>
      </c>
      <c r="J1000" s="48">
        <v>6700</v>
      </c>
      <c r="K1000" s="67">
        <f t="shared" si="48"/>
        <v>335000</v>
      </c>
      <c r="L1000" s="82">
        <v>0.18</v>
      </c>
      <c r="M1000" s="68">
        <f t="shared" si="49"/>
        <v>60300</v>
      </c>
      <c r="N1000" s="48"/>
      <c r="O1000" s="48"/>
      <c r="P1000" s="5">
        <f t="shared" si="50"/>
        <v>395300</v>
      </c>
      <c r="Q1000" s="12" t="s">
        <v>2844</v>
      </c>
      <c r="R1000" s="12" t="s">
        <v>2844</v>
      </c>
      <c r="S1000" s="12" t="s">
        <v>792</v>
      </c>
      <c r="T1000" s="1" t="s">
        <v>3193</v>
      </c>
      <c r="U1000" s="1">
        <v>850760</v>
      </c>
      <c r="V1000" s="2"/>
      <c r="W1000" s="21"/>
      <c r="X1000" s="21"/>
      <c r="Y1000" s="21">
        <v>50</v>
      </c>
      <c r="Z1000" s="12" t="s">
        <v>1673</v>
      </c>
      <c r="AA1000" s="2"/>
      <c r="AB1000" s="6"/>
      <c r="AC1000" s="1"/>
      <c r="AD1000" s="27"/>
    </row>
    <row r="1001" spans="1:30" x14ac:dyDescent="0.25">
      <c r="A1001" s="4">
        <v>46115</v>
      </c>
      <c r="B1001" s="4">
        <v>46116</v>
      </c>
      <c r="C1001" s="112" t="s">
        <v>1730</v>
      </c>
      <c r="D1001" s="6" t="s">
        <v>2924</v>
      </c>
      <c r="E1001" s="6" t="s">
        <v>2925</v>
      </c>
      <c r="F1001" s="6" t="s">
        <v>2925</v>
      </c>
      <c r="G1001" s="69">
        <v>200</v>
      </c>
      <c r="H1001" s="69">
        <v>100</v>
      </c>
      <c r="I1001" s="162">
        <f>Table223[[#This Row],[Qty]]-Table223[[#This Row],[Issue Qty]]</f>
        <v>100</v>
      </c>
      <c r="J1001" s="67">
        <v>5</v>
      </c>
      <c r="K1001" s="67">
        <f t="shared" si="48"/>
        <v>1000</v>
      </c>
      <c r="L1001" s="82">
        <v>0.18</v>
      </c>
      <c r="M1001" s="68">
        <f t="shared" si="49"/>
        <v>180</v>
      </c>
      <c r="N1001" s="48"/>
      <c r="O1001" s="5"/>
      <c r="P1001" s="5">
        <f t="shared" si="50"/>
        <v>1180</v>
      </c>
      <c r="Q1001" s="1" t="s">
        <v>2887</v>
      </c>
      <c r="R1001" s="12" t="s">
        <v>1674</v>
      </c>
      <c r="S1001" s="1" t="s">
        <v>2926</v>
      </c>
      <c r="T1001" s="1" t="s">
        <v>2927</v>
      </c>
      <c r="U1001" s="1">
        <v>7223</v>
      </c>
      <c r="V1001" s="21"/>
      <c r="W1001" s="21" t="s">
        <v>650</v>
      </c>
      <c r="X1001" s="21" t="s">
        <v>2928</v>
      </c>
      <c r="Y1001" s="12"/>
      <c r="Z1001" s="12"/>
      <c r="AA1001" s="6"/>
      <c r="AB1001" s="1"/>
      <c r="AC1001" s="27"/>
    </row>
    <row r="1002" spans="1:30" ht="30" x14ac:dyDescent="0.25">
      <c r="A1002" s="4">
        <v>46121</v>
      </c>
      <c r="B1002" s="4">
        <v>46121</v>
      </c>
      <c r="C1002" s="112" t="s">
        <v>1693</v>
      </c>
      <c r="D1002" s="6" t="s">
        <v>2806</v>
      </c>
      <c r="E1002" s="6" t="s">
        <v>2807</v>
      </c>
      <c r="F1002" s="6" t="s">
        <v>2807</v>
      </c>
      <c r="G1002" s="69">
        <v>25</v>
      </c>
      <c r="H1002" s="69"/>
      <c r="I1002" s="69">
        <f>Table223[[#This Row],[Qty]]-Table223[[#This Row],[Issue Qty]]</f>
        <v>25</v>
      </c>
      <c r="J1002" s="48">
        <v>2.66</v>
      </c>
      <c r="K1002" s="67">
        <f t="shared" si="48"/>
        <v>66.5</v>
      </c>
      <c r="L1002" s="82"/>
      <c r="M1002" s="68">
        <f t="shared" si="49"/>
        <v>0</v>
      </c>
      <c r="N1002" s="48"/>
      <c r="O1002" s="48"/>
      <c r="P1002" s="5">
        <f t="shared" si="50"/>
        <v>66.5</v>
      </c>
      <c r="Q1002" s="1" t="s">
        <v>2887</v>
      </c>
      <c r="R1002" s="1" t="s">
        <v>1674</v>
      </c>
      <c r="S1002" s="1" t="s">
        <v>2875</v>
      </c>
      <c r="T1002" s="167">
        <v>262700409</v>
      </c>
      <c r="U1002" s="167">
        <v>8532</v>
      </c>
      <c r="V1002" s="2"/>
      <c r="W1002" s="21" t="s">
        <v>2808</v>
      </c>
      <c r="X1002" s="21" t="s">
        <v>2809</v>
      </c>
      <c r="Y1002" s="21"/>
      <c r="Z1002" s="12"/>
      <c r="AA1002" s="2"/>
      <c r="AB1002" s="6"/>
      <c r="AC1002" s="1"/>
      <c r="AD1002" s="27"/>
    </row>
    <row r="1003" spans="1:30" x14ac:dyDescent="0.25">
      <c r="A1003" s="4">
        <v>46121</v>
      </c>
      <c r="B1003" s="4">
        <v>46121</v>
      </c>
      <c r="C1003" s="112" t="s">
        <v>1693</v>
      </c>
      <c r="D1003" s="6" t="s">
        <v>2810</v>
      </c>
      <c r="E1003" s="6" t="s">
        <v>2811</v>
      </c>
      <c r="F1003" s="6" t="s">
        <v>2811</v>
      </c>
      <c r="G1003" s="69">
        <v>8</v>
      </c>
      <c r="H1003" s="69"/>
      <c r="I1003" s="69">
        <f>Table223[[#This Row],[Qty]]-Table223[[#This Row],[Issue Qty]]</f>
        <v>8</v>
      </c>
      <c r="J1003" s="48">
        <v>23.1</v>
      </c>
      <c r="K1003" s="67">
        <f t="shared" si="48"/>
        <v>184.8</v>
      </c>
      <c r="L1003" s="82"/>
      <c r="M1003" s="68">
        <f t="shared" si="49"/>
        <v>0</v>
      </c>
      <c r="N1003" s="48">
        <v>118</v>
      </c>
      <c r="O1003" s="48"/>
      <c r="P1003" s="5">
        <f t="shared" si="50"/>
        <v>302.8</v>
      </c>
      <c r="Q1003" s="1" t="s">
        <v>2887</v>
      </c>
      <c r="R1003" s="1" t="s">
        <v>1674</v>
      </c>
      <c r="S1003" s="1" t="s">
        <v>2875</v>
      </c>
      <c r="T1003" s="167">
        <v>262700409</v>
      </c>
      <c r="U1003" s="166">
        <v>85423100</v>
      </c>
      <c r="V1003" s="2"/>
      <c r="W1003" s="21" t="s">
        <v>2808</v>
      </c>
      <c r="X1003" s="21" t="s">
        <v>2809</v>
      </c>
      <c r="Y1003" s="21"/>
      <c r="Z1003" s="12"/>
      <c r="AA1003" s="2"/>
      <c r="AB1003" s="6"/>
      <c r="AC1003" s="1"/>
      <c r="AD1003" s="27"/>
    </row>
    <row r="1004" spans="1:30" ht="30" x14ac:dyDescent="0.25">
      <c r="A1004" s="4">
        <v>46121</v>
      </c>
      <c r="B1004" s="4">
        <v>46121</v>
      </c>
      <c r="C1004" s="112" t="s">
        <v>1730</v>
      </c>
      <c r="D1004" s="6" t="s">
        <v>1644</v>
      </c>
      <c r="E1004" s="6" t="s">
        <v>2812</v>
      </c>
      <c r="F1004" s="6" t="s">
        <v>2812</v>
      </c>
      <c r="G1004" s="69">
        <v>3</v>
      </c>
      <c r="H1004" s="69">
        <v>3</v>
      </c>
      <c r="I1004" s="69">
        <f>Table223[[#This Row],[Qty]]-Table223[[#This Row],[Issue Qty]]</f>
        <v>0</v>
      </c>
      <c r="J1004" s="48">
        <v>4000</v>
      </c>
      <c r="K1004" s="67">
        <f t="shared" si="48"/>
        <v>12000</v>
      </c>
      <c r="L1004" s="82">
        <v>0.18</v>
      </c>
      <c r="M1004" s="68">
        <f t="shared" si="49"/>
        <v>2160</v>
      </c>
      <c r="N1004" s="48">
        <v>600</v>
      </c>
      <c r="O1004" s="48"/>
      <c r="P1004" s="5">
        <f t="shared" si="50"/>
        <v>14760</v>
      </c>
      <c r="Q1004" s="70" t="s">
        <v>1408</v>
      </c>
      <c r="R1004" s="70" t="s">
        <v>1408</v>
      </c>
      <c r="S1004" s="1" t="s">
        <v>3333</v>
      </c>
      <c r="T1004" s="1"/>
      <c r="U1004" s="1"/>
      <c r="V1004" s="2"/>
      <c r="W1004" s="21"/>
      <c r="X1004" s="21"/>
      <c r="Y1004" s="21">
        <v>3</v>
      </c>
      <c r="Z1004" s="12"/>
      <c r="AA1004" s="2" t="s">
        <v>2813</v>
      </c>
      <c r="AB1004" s="6"/>
      <c r="AC1004" s="1"/>
      <c r="AD1004" s="27"/>
    </row>
    <row r="1005" spans="1:30" ht="15" customHeight="1" x14ac:dyDescent="0.25">
      <c r="A1005" s="4">
        <v>46140</v>
      </c>
      <c r="B1005" s="4">
        <v>46122</v>
      </c>
      <c r="C1005" s="112" t="s">
        <v>1695</v>
      </c>
      <c r="D1005" s="6" t="s">
        <v>3019</v>
      </c>
      <c r="E1005" s="86" t="s">
        <v>2971</v>
      </c>
      <c r="F1005" s="6" t="s">
        <v>2971</v>
      </c>
      <c r="G1005" s="69">
        <v>1</v>
      </c>
      <c r="H1005" s="69">
        <v>1</v>
      </c>
      <c r="I1005" s="69">
        <f>Table223[[#This Row],[Qty]]-Table223[[#This Row],[Issue Qty]]</f>
        <v>0</v>
      </c>
      <c r="J1005" s="81">
        <v>838982.2</v>
      </c>
      <c r="K1005" s="66">
        <f t="shared" si="48"/>
        <v>838982.2</v>
      </c>
      <c r="L1005" s="82">
        <v>0.18</v>
      </c>
      <c r="M1005" s="83">
        <f t="shared" si="49"/>
        <v>151016.79599999997</v>
      </c>
      <c r="N1005" s="81"/>
      <c r="O1005" s="81"/>
      <c r="P1005" s="10">
        <f t="shared" si="50"/>
        <v>989998.99599999993</v>
      </c>
      <c r="Q1005" s="70" t="s">
        <v>1673</v>
      </c>
      <c r="R1005" s="1" t="s">
        <v>1673</v>
      </c>
      <c r="S1005" s="1" t="s">
        <v>2972</v>
      </c>
      <c r="T1005" s="1" t="s">
        <v>2973</v>
      </c>
      <c r="U1005" s="1">
        <v>85258900</v>
      </c>
      <c r="V1005" s="2"/>
      <c r="W1005" s="21" t="s">
        <v>638</v>
      </c>
      <c r="X1005" s="21"/>
      <c r="Y1005" s="21">
        <v>1</v>
      </c>
      <c r="Z1005" s="12" t="s">
        <v>1673</v>
      </c>
      <c r="AA1005" s="2"/>
      <c r="AB1005" s="6"/>
      <c r="AC1005" s="1"/>
      <c r="AD1005" s="27"/>
    </row>
    <row r="1006" spans="1:30" ht="15" customHeight="1" x14ac:dyDescent="0.25">
      <c r="A1006" s="4">
        <v>46120</v>
      </c>
      <c r="B1006" s="4">
        <v>46122</v>
      </c>
      <c r="C1006" s="112" t="s">
        <v>1693</v>
      </c>
      <c r="D1006" s="6" t="s">
        <v>2814</v>
      </c>
      <c r="E1006" s="6" t="s">
        <v>2815</v>
      </c>
      <c r="F1006" s="6" t="s">
        <v>2815</v>
      </c>
      <c r="G1006" s="69">
        <v>20</v>
      </c>
      <c r="H1006" s="69"/>
      <c r="I1006" s="69">
        <f>Table223[[#This Row],[Qty]]-Table223[[#This Row],[Issue Qty]]</f>
        <v>20</v>
      </c>
      <c r="J1006" s="48">
        <v>1.56</v>
      </c>
      <c r="K1006" s="5">
        <f t="shared" si="48"/>
        <v>31.200000000000003</v>
      </c>
      <c r="L1006" s="82">
        <v>0.18</v>
      </c>
      <c r="M1006" s="9">
        <f t="shared" si="49"/>
        <v>5.6160000000000005</v>
      </c>
      <c r="N1006" s="71"/>
      <c r="O1006" s="72"/>
      <c r="P1006" s="5">
        <f t="shared" si="50"/>
        <v>36.816000000000003</v>
      </c>
      <c r="Q1006" s="1" t="s">
        <v>2887</v>
      </c>
      <c r="R1006" s="70" t="s">
        <v>2816</v>
      </c>
      <c r="S1006" s="1" t="s">
        <v>2817</v>
      </c>
      <c r="T1006" s="1" t="s">
        <v>2818</v>
      </c>
      <c r="U1006" s="1">
        <v>85414100</v>
      </c>
      <c r="V1006" s="2"/>
      <c r="W1006" s="21" t="s">
        <v>2808</v>
      </c>
      <c r="X1006" s="21" t="s">
        <v>2809</v>
      </c>
      <c r="Y1006" s="21"/>
      <c r="Z1006" s="12"/>
      <c r="AA1006" s="2"/>
      <c r="AB1006" s="6"/>
      <c r="AC1006" s="27"/>
      <c r="AD1006" s="27"/>
    </row>
    <row r="1007" spans="1:30" ht="15" customHeight="1" x14ac:dyDescent="0.25">
      <c r="A1007" s="4">
        <v>46120</v>
      </c>
      <c r="B1007" s="4">
        <v>46122</v>
      </c>
      <c r="C1007" s="112" t="s">
        <v>1693</v>
      </c>
      <c r="D1007" s="6" t="s">
        <v>2819</v>
      </c>
      <c r="E1007" s="6" t="s">
        <v>2820</v>
      </c>
      <c r="F1007" s="6" t="s">
        <v>2820</v>
      </c>
      <c r="G1007" s="69">
        <v>7</v>
      </c>
      <c r="H1007" s="69"/>
      <c r="I1007" s="69">
        <f>Table223[[#This Row],[Qty]]-Table223[[#This Row],[Issue Qty]]</f>
        <v>7</v>
      </c>
      <c r="J1007" s="48">
        <v>2.46</v>
      </c>
      <c r="K1007" s="5">
        <f t="shared" si="48"/>
        <v>17.22</v>
      </c>
      <c r="L1007" s="82">
        <v>0.18</v>
      </c>
      <c r="M1007" s="9">
        <f t="shared" si="49"/>
        <v>3.0995999999999997</v>
      </c>
      <c r="N1007" s="71">
        <v>53</v>
      </c>
      <c r="O1007" s="71">
        <v>-0.24</v>
      </c>
      <c r="P1007" s="5">
        <f t="shared" si="50"/>
        <v>73.079599999999999</v>
      </c>
      <c r="Q1007" s="1" t="s">
        <v>2887</v>
      </c>
      <c r="R1007" s="70" t="s">
        <v>2816</v>
      </c>
      <c r="S1007" s="1" t="s">
        <v>2817</v>
      </c>
      <c r="T1007" s="1" t="s">
        <v>2818</v>
      </c>
      <c r="U1007" s="1">
        <v>85411000</v>
      </c>
      <c r="V1007" s="2"/>
      <c r="W1007" s="21" t="s">
        <v>2808</v>
      </c>
      <c r="X1007" s="21" t="s">
        <v>2809</v>
      </c>
      <c r="Y1007" s="21"/>
      <c r="Z1007" s="12"/>
      <c r="AA1007" s="2"/>
      <c r="AB1007" s="6"/>
      <c r="AC1007" s="27"/>
      <c r="AD1007" s="27"/>
    </row>
    <row r="1008" spans="1:30" ht="30" x14ac:dyDescent="0.25">
      <c r="A1008" s="4">
        <v>46121</v>
      </c>
      <c r="B1008" s="4">
        <v>46122</v>
      </c>
      <c r="C1008" s="112" t="s">
        <v>1693</v>
      </c>
      <c r="D1008" s="6" t="s">
        <v>2821</v>
      </c>
      <c r="E1008" s="6" t="s">
        <v>2822</v>
      </c>
      <c r="F1008" s="6" t="s">
        <v>2822</v>
      </c>
      <c r="G1008" s="69">
        <v>50</v>
      </c>
      <c r="H1008" s="69"/>
      <c r="I1008" s="69">
        <f>Table223[[#This Row],[Qty]]-Table223[[#This Row],[Issue Qty]]</f>
        <v>50</v>
      </c>
      <c r="J1008" s="48">
        <v>0.48</v>
      </c>
      <c r="K1008" s="67">
        <f t="shared" si="48"/>
        <v>24</v>
      </c>
      <c r="L1008" s="82">
        <v>0.18</v>
      </c>
      <c r="M1008" s="68">
        <f t="shared" si="49"/>
        <v>4.32</v>
      </c>
      <c r="N1008" s="48"/>
      <c r="O1008" s="48"/>
      <c r="P1008" s="5">
        <f t="shared" si="50"/>
        <v>28.32</v>
      </c>
      <c r="Q1008" s="1" t="s">
        <v>2887</v>
      </c>
      <c r="R1008" s="70" t="s">
        <v>2816</v>
      </c>
      <c r="S1008" s="1" t="s">
        <v>634</v>
      </c>
      <c r="T1008" s="1" t="s">
        <v>2929</v>
      </c>
      <c r="U1008" s="1">
        <v>85322990</v>
      </c>
      <c r="V1008" s="2"/>
      <c r="W1008" s="21" t="s">
        <v>2808</v>
      </c>
      <c r="X1008" s="21" t="s">
        <v>2809</v>
      </c>
      <c r="Y1008" s="21"/>
      <c r="Z1008" s="12"/>
      <c r="AA1008" s="2"/>
      <c r="AB1008" s="6"/>
      <c r="AC1008" s="1"/>
      <c r="AD1008" s="27"/>
    </row>
    <row r="1009" spans="1:30" ht="45" x14ac:dyDescent="0.25">
      <c r="A1009" s="4">
        <v>46121</v>
      </c>
      <c r="B1009" s="4">
        <v>46122</v>
      </c>
      <c r="C1009" s="112" t="s">
        <v>1693</v>
      </c>
      <c r="D1009" s="6" t="s">
        <v>2823</v>
      </c>
      <c r="E1009" s="6" t="s">
        <v>2824</v>
      </c>
      <c r="F1009" s="6" t="s">
        <v>2824</v>
      </c>
      <c r="G1009" s="69">
        <v>18</v>
      </c>
      <c r="H1009" s="69"/>
      <c r="I1009" s="69">
        <f>Table223[[#This Row],[Qty]]-Table223[[#This Row],[Issue Qty]]</f>
        <v>18</v>
      </c>
      <c r="J1009" s="48">
        <v>0.51</v>
      </c>
      <c r="K1009" s="67">
        <f t="shared" ref="K1009:K1046" si="51">G1009*J1009</f>
        <v>9.18</v>
      </c>
      <c r="L1009" s="82">
        <v>0.18</v>
      </c>
      <c r="M1009" s="68">
        <f t="shared" ref="M1009:M1046" si="52">K1009*L1009</f>
        <v>1.6523999999999999</v>
      </c>
      <c r="N1009" s="48"/>
      <c r="O1009" s="48"/>
      <c r="P1009" s="5">
        <f t="shared" ref="P1009:P1046" si="53">K1009+M1009+N1009+O1009</f>
        <v>10.8324</v>
      </c>
      <c r="Q1009" s="1" t="s">
        <v>2887</v>
      </c>
      <c r="R1009" s="70" t="s">
        <v>2816</v>
      </c>
      <c r="S1009" s="1" t="s">
        <v>634</v>
      </c>
      <c r="T1009" s="1" t="s">
        <v>2929</v>
      </c>
      <c r="U1009" s="1">
        <v>85322990</v>
      </c>
      <c r="V1009" s="2"/>
      <c r="W1009" s="21" t="s">
        <v>2808</v>
      </c>
      <c r="X1009" s="21" t="s">
        <v>2809</v>
      </c>
      <c r="Y1009" s="21"/>
      <c r="Z1009" s="12"/>
      <c r="AA1009" s="2"/>
      <c r="AB1009" s="6"/>
      <c r="AC1009" s="1"/>
      <c r="AD1009" s="27"/>
    </row>
    <row r="1010" spans="1:30" ht="45" x14ac:dyDescent="0.25">
      <c r="A1010" s="4">
        <v>46121</v>
      </c>
      <c r="B1010" s="4">
        <v>46122</v>
      </c>
      <c r="C1010" s="112" t="s">
        <v>1693</v>
      </c>
      <c r="D1010" s="6" t="s">
        <v>2825</v>
      </c>
      <c r="E1010" s="6" t="s">
        <v>2826</v>
      </c>
      <c r="F1010" s="6" t="s">
        <v>2826</v>
      </c>
      <c r="G1010" s="69">
        <v>9</v>
      </c>
      <c r="H1010" s="69"/>
      <c r="I1010" s="69">
        <f>Table223[[#This Row],[Qty]]-Table223[[#This Row],[Issue Qty]]</f>
        <v>9</v>
      </c>
      <c r="J1010" s="48">
        <v>1.32</v>
      </c>
      <c r="K1010" s="67">
        <f t="shared" si="51"/>
        <v>11.88</v>
      </c>
      <c r="L1010" s="82">
        <v>0.18</v>
      </c>
      <c r="M1010" s="68">
        <f t="shared" si="52"/>
        <v>2.1383999999999999</v>
      </c>
      <c r="N1010" s="48"/>
      <c r="O1010" s="48"/>
      <c r="P1010" s="5">
        <f t="shared" si="53"/>
        <v>14.0184</v>
      </c>
      <c r="Q1010" s="1" t="s">
        <v>2887</v>
      </c>
      <c r="R1010" s="70" t="s">
        <v>2816</v>
      </c>
      <c r="S1010" s="1" t="s">
        <v>634</v>
      </c>
      <c r="T1010" s="1" t="s">
        <v>2929</v>
      </c>
      <c r="U1010" s="1">
        <v>85322990</v>
      </c>
      <c r="V1010" s="2"/>
      <c r="W1010" s="21" t="s">
        <v>2808</v>
      </c>
      <c r="X1010" s="21" t="s">
        <v>2809</v>
      </c>
      <c r="Y1010" s="21"/>
      <c r="Z1010" s="12"/>
      <c r="AA1010" s="2"/>
      <c r="AB1010" s="6"/>
      <c r="AC1010" s="1"/>
      <c r="AD1010" s="27"/>
    </row>
    <row r="1011" spans="1:30" ht="30" x14ac:dyDescent="0.25">
      <c r="A1011" s="4">
        <v>46121</v>
      </c>
      <c r="B1011" s="4">
        <v>46122</v>
      </c>
      <c r="C1011" s="112" t="s">
        <v>1693</v>
      </c>
      <c r="D1011" s="6" t="s">
        <v>2827</v>
      </c>
      <c r="E1011" s="6" t="s">
        <v>2828</v>
      </c>
      <c r="F1011" s="6" t="s">
        <v>2828</v>
      </c>
      <c r="G1011" s="69">
        <v>30</v>
      </c>
      <c r="H1011" s="69"/>
      <c r="I1011" s="69">
        <f>Table223[[#This Row],[Qty]]-Table223[[#This Row],[Issue Qty]]</f>
        <v>30</v>
      </c>
      <c r="J1011" s="48">
        <v>0.3</v>
      </c>
      <c r="K1011" s="67">
        <f t="shared" si="51"/>
        <v>9</v>
      </c>
      <c r="L1011" s="82">
        <v>0.18</v>
      </c>
      <c r="M1011" s="68">
        <f t="shared" si="52"/>
        <v>1.6199999999999999</v>
      </c>
      <c r="N1011" s="48"/>
      <c r="O1011" s="48"/>
      <c r="P1011" s="5">
        <f t="shared" si="53"/>
        <v>10.62</v>
      </c>
      <c r="Q1011" s="1" t="s">
        <v>2887</v>
      </c>
      <c r="R1011" s="70" t="s">
        <v>2816</v>
      </c>
      <c r="S1011" s="1" t="s">
        <v>634</v>
      </c>
      <c r="T1011" s="1" t="s">
        <v>2929</v>
      </c>
      <c r="U1011" s="1">
        <v>85322990</v>
      </c>
      <c r="V1011" s="2"/>
      <c r="W1011" s="21" t="s">
        <v>2808</v>
      </c>
      <c r="X1011" s="21" t="s">
        <v>2809</v>
      </c>
      <c r="Y1011" s="21"/>
      <c r="Z1011" s="12"/>
      <c r="AA1011" s="2"/>
      <c r="AB1011" s="6"/>
      <c r="AC1011" s="1"/>
      <c r="AD1011" s="27"/>
    </row>
    <row r="1012" spans="1:30" ht="30" x14ac:dyDescent="0.25">
      <c r="A1012" s="4">
        <v>46121</v>
      </c>
      <c r="B1012" s="4">
        <v>46122</v>
      </c>
      <c r="C1012" s="112" t="s">
        <v>1693</v>
      </c>
      <c r="D1012" s="6" t="s">
        <v>2829</v>
      </c>
      <c r="E1012" s="6" t="s">
        <v>2830</v>
      </c>
      <c r="F1012" s="6" t="s">
        <v>2830</v>
      </c>
      <c r="G1012" s="69">
        <v>11</v>
      </c>
      <c r="H1012" s="69"/>
      <c r="I1012" s="69">
        <f>Table223[[#This Row],[Qty]]-Table223[[#This Row],[Issue Qty]]</f>
        <v>11</v>
      </c>
      <c r="J1012" s="48">
        <v>1.1499999999999999</v>
      </c>
      <c r="K1012" s="67">
        <f t="shared" si="51"/>
        <v>12.649999999999999</v>
      </c>
      <c r="L1012" s="82">
        <v>0.18</v>
      </c>
      <c r="M1012" s="68">
        <f t="shared" si="52"/>
        <v>2.2769999999999997</v>
      </c>
      <c r="N1012" s="48"/>
      <c r="O1012" s="48"/>
      <c r="P1012" s="5">
        <f t="shared" si="53"/>
        <v>14.926999999999998</v>
      </c>
      <c r="Q1012" s="1" t="s">
        <v>2887</v>
      </c>
      <c r="R1012" s="70" t="s">
        <v>2816</v>
      </c>
      <c r="S1012" s="1" t="s">
        <v>634</v>
      </c>
      <c r="T1012" s="1" t="s">
        <v>2929</v>
      </c>
      <c r="U1012" s="1">
        <v>85322990</v>
      </c>
      <c r="V1012" s="2"/>
      <c r="W1012" s="21" t="s">
        <v>2808</v>
      </c>
      <c r="X1012" s="21" t="s">
        <v>2809</v>
      </c>
      <c r="Y1012" s="21"/>
      <c r="Z1012" s="12"/>
      <c r="AA1012" s="2"/>
      <c r="AB1012" s="6"/>
      <c r="AC1012" s="1"/>
      <c r="AD1012" s="27"/>
    </row>
    <row r="1013" spans="1:30" ht="45" x14ac:dyDescent="0.25">
      <c r="A1013" s="4">
        <v>46121</v>
      </c>
      <c r="B1013" s="4">
        <v>46122</v>
      </c>
      <c r="C1013" s="112" t="s">
        <v>1693</v>
      </c>
      <c r="D1013" s="6" t="s">
        <v>2831</v>
      </c>
      <c r="E1013" s="6" t="s">
        <v>2832</v>
      </c>
      <c r="F1013" s="6" t="s">
        <v>2832</v>
      </c>
      <c r="G1013" s="69">
        <v>85</v>
      </c>
      <c r="H1013" s="69"/>
      <c r="I1013" s="69">
        <f>Table223[[#This Row],[Qty]]-Table223[[#This Row],[Issue Qty]]</f>
        <v>85</v>
      </c>
      <c r="J1013" s="48">
        <v>0.11</v>
      </c>
      <c r="K1013" s="67">
        <f t="shared" si="51"/>
        <v>9.35</v>
      </c>
      <c r="L1013" s="82">
        <v>0.18</v>
      </c>
      <c r="M1013" s="68">
        <f t="shared" si="52"/>
        <v>1.6829999999999998</v>
      </c>
      <c r="N1013" s="48"/>
      <c r="O1013" s="48"/>
      <c r="P1013" s="5">
        <f t="shared" si="53"/>
        <v>11.032999999999999</v>
      </c>
      <c r="Q1013" s="1" t="s">
        <v>2887</v>
      </c>
      <c r="R1013" s="70" t="s">
        <v>2816</v>
      </c>
      <c r="S1013" s="1" t="s">
        <v>634</v>
      </c>
      <c r="T1013" s="1" t="s">
        <v>2929</v>
      </c>
      <c r="U1013" s="1">
        <v>85322990</v>
      </c>
      <c r="V1013" s="2"/>
      <c r="W1013" s="21" t="s">
        <v>2808</v>
      </c>
      <c r="X1013" s="21" t="s">
        <v>2809</v>
      </c>
      <c r="Y1013" s="21"/>
      <c r="Z1013" s="12"/>
      <c r="AA1013" s="2"/>
      <c r="AB1013" s="6"/>
      <c r="AC1013" s="1"/>
      <c r="AD1013" s="27"/>
    </row>
    <row r="1014" spans="1:30" ht="30" x14ac:dyDescent="0.25">
      <c r="A1014" s="4">
        <v>46121</v>
      </c>
      <c r="B1014" s="4">
        <v>46122</v>
      </c>
      <c r="C1014" s="112" t="s">
        <v>1693</v>
      </c>
      <c r="D1014" s="6" t="s">
        <v>2833</v>
      </c>
      <c r="E1014" s="6" t="s">
        <v>2834</v>
      </c>
      <c r="F1014" s="6" t="s">
        <v>2834</v>
      </c>
      <c r="G1014" s="69">
        <v>12</v>
      </c>
      <c r="H1014" s="69"/>
      <c r="I1014" s="69">
        <f>Table223[[#This Row],[Qty]]-Table223[[#This Row],[Issue Qty]]</f>
        <v>12</v>
      </c>
      <c r="J1014" s="48">
        <v>1.1399999999999999</v>
      </c>
      <c r="K1014" s="67">
        <f t="shared" si="51"/>
        <v>13.68</v>
      </c>
      <c r="L1014" s="82">
        <v>0.18</v>
      </c>
      <c r="M1014" s="68">
        <f t="shared" si="52"/>
        <v>2.4623999999999997</v>
      </c>
      <c r="N1014" s="48"/>
      <c r="O1014" s="48"/>
      <c r="P1014" s="5">
        <f t="shared" si="53"/>
        <v>16.142399999999999</v>
      </c>
      <c r="Q1014" s="1" t="s">
        <v>2887</v>
      </c>
      <c r="R1014" s="70" t="s">
        <v>2816</v>
      </c>
      <c r="S1014" s="1" t="s">
        <v>634</v>
      </c>
      <c r="T1014" s="1" t="s">
        <v>2929</v>
      </c>
      <c r="U1014" s="1">
        <v>85322990</v>
      </c>
      <c r="V1014" s="2"/>
      <c r="W1014" s="21" t="s">
        <v>2808</v>
      </c>
      <c r="X1014" s="21" t="s">
        <v>2809</v>
      </c>
      <c r="Y1014" s="21"/>
      <c r="Z1014" s="12"/>
      <c r="AA1014" s="2"/>
      <c r="AB1014" s="6"/>
      <c r="AC1014" s="1"/>
      <c r="AD1014" s="27"/>
    </row>
    <row r="1015" spans="1:30" x14ac:dyDescent="0.25">
      <c r="A1015" s="4">
        <v>46121</v>
      </c>
      <c r="B1015" s="4">
        <v>46122</v>
      </c>
      <c r="C1015" s="112" t="s">
        <v>1693</v>
      </c>
      <c r="D1015" s="6" t="s">
        <v>2835</v>
      </c>
      <c r="E1015" s="6" t="s">
        <v>2836</v>
      </c>
      <c r="F1015" s="6" t="s">
        <v>2836</v>
      </c>
      <c r="G1015" s="69">
        <v>40</v>
      </c>
      <c r="H1015" s="69"/>
      <c r="I1015" s="69">
        <f>Table223[[#This Row],[Qty]]-Table223[[#This Row],[Issue Qty]]</f>
        <v>40</v>
      </c>
      <c r="J1015" s="48">
        <v>0.25</v>
      </c>
      <c r="K1015" s="67">
        <f t="shared" si="51"/>
        <v>10</v>
      </c>
      <c r="L1015" s="82">
        <v>0.18</v>
      </c>
      <c r="M1015" s="68">
        <f t="shared" si="52"/>
        <v>1.7999999999999998</v>
      </c>
      <c r="N1015" s="48"/>
      <c r="O1015" s="48"/>
      <c r="P1015" s="5">
        <f t="shared" si="53"/>
        <v>11.8</v>
      </c>
      <c r="Q1015" s="1" t="s">
        <v>2887</v>
      </c>
      <c r="R1015" s="70" t="s">
        <v>2816</v>
      </c>
      <c r="S1015" s="1" t="s">
        <v>634</v>
      </c>
      <c r="T1015" s="1" t="s">
        <v>2929</v>
      </c>
      <c r="U1015" s="1">
        <v>85322990</v>
      </c>
      <c r="V1015" s="2"/>
      <c r="W1015" s="21" t="s">
        <v>2808</v>
      </c>
      <c r="X1015" s="21" t="s">
        <v>2809</v>
      </c>
      <c r="Y1015" s="21"/>
      <c r="Z1015" s="12"/>
      <c r="AA1015" s="2"/>
      <c r="AB1015" s="6"/>
      <c r="AC1015" s="1"/>
      <c r="AD1015" s="27"/>
    </row>
    <row r="1016" spans="1:30" ht="30" x14ac:dyDescent="0.25">
      <c r="A1016" s="4">
        <v>46121</v>
      </c>
      <c r="B1016" s="4">
        <v>46122</v>
      </c>
      <c r="C1016" s="112" t="s">
        <v>1693</v>
      </c>
      <c r="D1016" s="6" t="s">
        <v>2837</v>
      </c>
      <c r="E1016" s="6" t="s">
        <v>2838</v>
      </c>
      <c r="F1016" s="6" t="s">
        <v>2839</v>
      </c>
      <c r="G1016" s="69">
        <v>50</v>
      </c>
      <c r="H1016" s="69"/>
      <c r="I1016" s="69">
        <f>Table223[[#This Row],[Qty]]-Table223[[#This Row],[Issue Qty]]</f>
        <v>50</v>
      </c>
      <c r="J1016" s="48">
        <v>0.2</v>
      </c>
      <c r="K1016" s="67">
        <f t="shared" si="51"/>
        <v>10</v>
      </c>
      <c r="L1016" s="82">
        <v>0.18</v>
      </c>
      <c r="M1016" s="68">
        <f t="shared" si="52"/>
        <v>1.7999999999999998</v>
      </c>
      <c r="N1016" s="48"/>
      <c r="O1016" s="48"/>
      <c r="P1016" s="5">
        <f t="shared" si="53"/>
        <v>11.8</v>
      </c>
      <c r="Q1016" s="1" t="s">
        <v>2887</v>
      </c>
      <c r="R1016" s="70" t="s">
        <v>2816</v>
      </c>
      <c r="S1016" s="1" t="s">
        <v>634</v>
      </c>
      <c r="T1016" s="1" t="s">
        <v>2929</v>
      </c>
      <c r="U1016" s="1">
        <v>85322990</v>
      </c>
      <c r="V1016" s="2"/>
      <c r="W1016" s="21" t="s">
        <v>2808</v>
      </c>
      <c r="X1016" s="21" t="s">
        <v>2809</v>
      </c>
      <c r="Y1016" s="21"/>
      <c r="Z1016" s="12"/>
      <c r="AA1016" s="2"/>
      <c r="AB1016" s="6"/>
      <c r="AC1016" s="1"/>
      <c r="AD1016" s="27"/>
    </row>
    <row r="1017" spans="1:30" ht="45" x14ac:dyDescent="0.25">
      <c r="A1017" s="4">
        <v>46121</v>
      </c>
      <c r="B1017" s="4">
        <v>46122</v>
      </c>
      <c r="C1017" s="112" t="s">
        <v>1693</v>
      </c>
      <c r="D1017" s="6" t="s">
        <v>2840</v>
      </c>
      <c r="E1017" s="6" t="s">
        <v>2841</v>
      </c>
      <c r="F1017" s="6" t="s">
        <v>2841</v>
      </c>
      <c r="G1017" s="69">
        <v>32</v>
      </c>
      <c r="H1017" s="69"/>
      <c r="I1017" s="69">
        <f>Table223[[#This Row],[Qty]]-Table223[[#This Row],[Issue Qty]]</f>
        <v>32</v>
      </c>
      <c r="J1017" s="48">
        <v>0.34</v>
      </c>
      <c r="K1017" s="67">
        <f t="shared" si="51"/>
        <v>10.88</v>
      </c>
      <c r="L1017" s="82">
        <v>0.18</v>
      </c>
      <c r="M1017" s="68">
        <f t="shared" si="52"/>
        <v>1.9584000000000001</v>
      </c>
      <c r="N1017" s="48">
        <v>49</v>
      </c>
      <c r="O1017" s="48"/>
      <c r="P1017" s="5">
        <f t="shared" si="53"/>
        <v>61.8384</v>
      </c>
      <c r="Q1017" s="1" t="s">
        <v>2887</v>
      </c>
      <c r="R1017" s="70" t="s">
        <v>2816</v>
      </c>
      <c r="S1017" s="1" t="s">
        <v>634</v>
      </c>
      <c r="T1017" s="1" t="s">
        <v>2929</v>
      </c>
      <c r="U1017" s="1">
        <v>85322990</v>
      </c>
      <c r="V1017" s="2"/>
      <c r="W1017" s="21" t="s">
        <v>2808</v>
      </c>
      <c r="X1017" s="21" t="s">
        <v>2809</v>
      </c>
      <c r="Y1017" s="21"/>
      <c r="Z1017" s="12"/>
      <c r="AA1017" s="2"/>
      <c r="AB1017" s="6"/>
      <c r="AC1017" s="1"/>
      <c r="AD1017" s="27"/>
    </row>
    <row r="1018" spans="1:30" x14ac:dyDescent="0.25">
      <c r="A1018" s="4">
        <v>46112</v>
      </c>
      <c r="B1018" s="4">
        <v>46125</v>
      </c>
      <c r="C1018" s="112" t="s">
        <v>54</v>
      </c>
      <c r="D1018" s="6" t="s">
        <v>2842</v>
      </c>
      <c r="E1018" s="6" t="s">
        <v>2843</v>
      </c>
      <c r="F1018" s="6" t="s">
        <v>2843</v>
      </c>
      <c r="G1018" s="69">
        <v>5</v>
      </c>
      <c r="H1018" s="69">
        <v>5</v>
      </c>
      <c r="I1018" s="69">
        <f>Table223[[#This Row],[Qty]]-Table223[[#This Row],[Issue Qty]]</f>
        <v>0</v>
      </c>
      <c r="J1018" s="48">
        <v>1515625</v>
      </c>
      <c r="K1018" s="67">
        <f t="shared" si="51"/>
        <v>7578125</v>
      </c>
      <c r="L1018" s="82">
        <v>0.05</v>
      </c>
      <c r="M1018" s="68">
        <f t="shared" si="52"/>
        <v>378906.25</v>
      </c>
      <c r="N1018" s="48"/>
      <c r="O1018" s="48"/>
      <c r="P1018" s="5">
        <f t="shared" si="53"/>
        <v>7957031.25</v>
      </c>
      <c r="Q1018" s="70" t="s">
        <v>2844</v>
      </c>
      <c r="R1018" s="70" t="s">
        <v>2844</v>
      </c>
      <c r="S1018" s="1" t="s">
        <v>2845</v>
      </c>
      <c r="T1018" s="1" t="s">
        <v>2846</v>
      </c>
      <c r="U1018" s="1">
        <v>88069900</v>
      </c>
      <c r="V1018" s="2"/>
      <c r="W1018" s="21" t="s">
        <v>2995</v>
      </c>
      <c r="X1018" s="21"/>
      <c r="Y1018" s="21">
        <v>5</v>
      </c>
      <c r="Z1018" s="12"/>
      <c r="AA1018" s="2"/>
      <c r="AB1018" s="6"/>
      <c r="AC1018" s="1"/>
      <c r="AD1018" s="27"/>
    </row>
    <row r="1019" spans="1:30" x14ac:dyDescent="0.25">
      <c r="A1019" s="4">
        <v>46111</v>
      </c>
      <c r="B1019" s="4">
        <v>46141</v>
      </c>
      <c r="C1019" s="112" t="s">
        <v>54</v>
      </c>
      <c r="D1019" s="6" t="s">
        <v>2847</v>
      </c>
      <c r="E1019" s="6" t="s">
        <v>2848</v>
      </c>
      <c r="F1019" s="6" t="s">
        <v>2848</v>
      </c>
      <c r="G1019" s="69">
        <v>5</v>
      </c>
      <c r="H1019" s="69">
        <v>5</v>
      </c>
      <c r="I1019" s="69">
        <f>Table223[[#This Row],[Qty]]-Table223[[#This Row],[Issue Qty]]</f>
        <v>0</v>
      </c>
      <c r="J1019" s="48">
        <v>595000</v>
      </c>
      <c r="K1019" s="67">
        <f t="shared" si="51"/>
        <v>2975000</v>
      </c>
      <c r="L1019" s="82">
        <v>0.05</v>
      </c>
      <c r="M1019" s="68">
        <f t="shared" si="52"/>
        <v>148750</v>
      </c>
      <c r="N1019" s="48"/>
      <c r="O1019" s="48"/>
      <c r="P1019" s="5">
        <f t="shared" si="53"/>
        <v>3123750</v>
      </c>
      <c r="Q1019" s="70" t="s">
        <v>2844</v>
      </c>
      <c r="R1019" s="70" t="s">
        <v>2844</v>
      </c>
      <c r="S1019" s="1" t="s">
        <v>2845</v>
      </c>
      <c r="T1019" s="1" t="s">
        <v>2849</v>
      </c>
      <c r="U1019" s="1">
        <v>88069300</v>
      </c>
      <c r="V1019" s="2"/>
      <c r="W1019" s="21" t="s">
        <v>2995</v>
      </c>
      <c r="X1019" s="21"/>
      <c r="Y1019" s="21">
        <v>5</v>
      </c>
      <c r="Z1019" s="12"/>
      <c r="AA1019" s="2"/>
      <c r="AB1019" s="6"/>
      <c r="AC1019" s="1"/>
      <c r="AD1019" s="27"/>
    </row>
    <row r="1020" spans="1:30" x14ac:dyDescent="0.25">
      <c r="A1020" s="4">
        <v>46112</v>
      </c>
      <c r="B1020" s="4"/>
      <c r="C1020" s="112" t="s">
        <v>1693</v>
      </c>
      <c r="D1020" s="6" t="s">
        <v>1892</v>
      </c>
      <c r="E1020" s="6" t="s">
        <v>501</v>
      </c>
      <c r="F1020" s="6" t="s">
        <v>501</v>
      </c>
      <c r="G1020" s="69">
        <v>50</v>
      </c>
      <c r="H1020" s="69"/>
      <c r="I1020" s="69">
        <f>Table223[[#This Row],[Qty]]-Table223[[#This Row],[Issue Qty]]</f>
        <v>50</v>
      </c>
      <c r="J1020" s="48">
        <v>35350</v>
      </c>
      <c r="K1020" s="67">
        <f t="shared" si="51"/>
        <v>1767500</v>
      </c>
      <c r="L1020" s="82">
        <v>0.05</v>
      </c>
      <c r="M1020" s="68">
        <f t="shared" si="52"/>
        <v>88375</v>
      </c>
      <c r="N1020" s="48"/>
      <c r="O1020" s="48"/>
      <c r="P1020" s="5">
        <f t="shared" si="53"/>
        <v>1855875</v>
      </c>
      <c r="Q1020" s="70" t="s">
        <v>2844</v>
      </c>
      <c r="R1020" s="70" t="s">
        <v>2844</v>
      </c>
      <c r="S1020" s="1" t="s">
        <v>2845</v>
      </c>
      <c r="T1020" s="1" t="s">
        <v>2850</v>
      </c>
      <c r="U1020" s="1">
        <v>88073000</v>
      </c>
      <c r="V1020" s="2"/>
      <c r="W1020" s="21" t="s">
        <v>3192</v>
      </c>
      <c r="X1020" s="21"/>
      <c r="Y1020" s="21"/>
      <c r="Z1020" s="12"/>
      <c r="AA1020" s="2"/>
      <c r="AB1020" s="6"/>
      <c r="AC1020" s="1"/>
      <c r="AD1020" s="27"/>
    </row>
    <row r="1021" spans="1:30" ht="45" x14ac:dyDescent="0.25">
      <c r="A1021" s="4">
        <v>46112</v>
      </c>
      <c r="B1021" s="4"/>
      <c r="C1021" s="112" t="s">
        <v>1688</v>
      </c>
      <c r="D1021" s="6" t="s">
        <v>2851</v>
      </c>
      <c r="E1021" s="6" t="s">
        <v>2852</v>
      </c>
      <c r="F1021" s="6" t="s">
        <v>2852</v>
      </c>
      <c r="G1021" s="69">
        <v>50</v>
      </c>
      <c r="H1021" s="69"/>
      <c r="I1021" s="69">
        <f>Table223[[#This Row],[Qty]]-Table223[[#This Row],[Issue Qty]]</f>
        <v>50</v>
      </c>
      <c r="J1021" s="48">
        <v>4030</v>
      </c>
      <c r="K1021" s="67">
        <f t="shared" si="51"/>
        <v>201500</v>
      </c>
      <c r="L1021" s="82">
        <v>0.18</v>
      </c>
      <c r="M1021" s="68">
        <f t="shared" si="52"/>
        <v>36270</v>
      </c>
      <c r="N1021" s="48"/>
      <c r="O1021" s="48"/>
      <c r="P1021" s="5">
        <f t="shared" si="53"/>
        <v>237770</v>
      </c>
      <c r="Q1021" s="70" t="s">
        <v>2844</v>
      </c>
      <c r="R1021" s="70" t="s">
        <v>2844</v>
      </c>
      <c r="S1021" s="1" t="s">
        <v>2845</v>
      </c>
      <c r="T1021" s="1" t="s">
        <v>2853</v>
      </c>
      <c r="U1021" s="1">
        <v>85269200</v>
      </c>
      <c r="V1021" s="2"/>
      <c r="W1021" s="21" t="s">
        <v>3192</v>
      </c>
      <c r="X1021" s="21"/>
      <c r="Y1021" s="21"/>
      <c r="Z1021" s="12"/>
      <c r="AA1021" s="2"/>
      <c r="AB1021" s="6"/>
      <c r="AC1021" s="1"/>
      <c r="AD1021" s="27"/>
    </row>
    <row r="1022" spans="1:30" ht="30" x14ac:dyDescent="0.25">
      <c r="A1022" s="4">
        <v>46112</v>
      </c>
      <c r="B1022" s="4"/>
      <c r="C1022" s="112" t="s">
        <v>1693</v>
      </c>
      <c r="D1022" s="6" t="s">
        <v>1754</v>
      </c>
      <c r="E1022" s="6" t="s">
        <v>198</v>
      </c>
      <c r="F1022" s="6" t="s">
        <v>198</v>
      </c>
      <c r="G1022" s="69">
        <v>50</v>
      </c>
      <c r="H1022" s="69"/>
      <c r="I1022" s="69">
        <f>Table223[[#This Row],[Qty]]-Table223[[#This Row],[Issue Qty]]</f>
        <v>50</v>
      </c>
      <c r="J1022" s="48">
        <v>1467</v>
      </c>
      <c r="K1022" s="67">
        <f t="shared" si="51"/>
        <v>73350</v>
      </c>
      <c r="L1022" s="82">
        <v>0.18</v>
      </c>
      <c r="M1022" s="68">
        <f t="shared" si="52"/>
        <v>13203</v>
      </c>
      <c r="N1022" s="71"/>
      <c r="O1022" s="71"/>
      <c r="P1022" s="5">
        <f t="shared" si="53"/>
        <v>86553</v>
      </c>
      <c r="Q1022" s="70" t="s">
        <v>2844</v>
      </c>
      <c r="R1022" s="70" t="s">
        <v>2844</v>
      </c>
      <c r="S1022" s="1" t="s">
        <v>2845</v>
      </c>
      <c r="T1022" s="1" t="s">
        <v>2853</v>
      </c>
      <c r="U1022" s="1">
        <v>85176290</v>
      </c>
      <c r="V1022" s="2"/>
      <c r="W1022" s="21" t="s">
        <v>3192</v>
      </c>
      <c r="X1022" s="21"/>
      <c r="Y1022" s="21"/>
      <c r="Z1022" s="12"/>
      <c r="AA1022" s="2"/>
      <c r="AB1022" s="6"/>
      <c r="AC1022" s="1"/>
      <c r="AD1022" s="27"/>
    </row>
    <row r="1023" spans="1:30" x14ac:dyDescent="0.25">
      <c r="A1023" s="4">
        <v>46112</v>
      </c>
      <c r="B1023" s="4"/>
      <c r="C1023" s="112" t="s">
        <v>1693</v>
      </c>
      <c r="D1023" s="6" t="s">
        <v>1828</v>
      </c>
      <c r="E1023" s="6" t="s">
        <v>354</v>
      </c>
      <c r="F1023" s="6" t="s">
        <v>354</v>
      </c>
      <c r="G1023" s="69">
        <v>50</v>
      </c>
      <c r="H1023" s="69"/>
      <c r="I1023" s="69">
        <f>Table223[[#This Row],[Qty]]-Table223[[#This Row],[Issue Qty]]</f>
        <v>50</v>
      </c>
      <c r="J1023" s="48">
        <v>5480</v>
      </c>
      <c r="K1023" s="67">
        <f t="shared" si="51"/>
        <v>274000</v>
      </c>
      <c r="L1023" s="82">
        <v>0.18</v>
      </c>
      <c r="M1023" s="68">
        <f t="shared" si="52"/>
        <v>49320</v>
      </c>
      <c r="N1023" s="71"/>
      <c r="O1023" s="71"/>
      <c r="P1023" s="5">
        <f t="shared" si="53"/>
        <v>323320</v>
      </c>
      <c r="Q1023" s="70" t="s">
        <v>2844</v>
      </c>
      <c r="R1023" s="70" t="s">
        <v>2844</v>
      </c>
      <c r="S1023" s="1" t="s">
        <v>2845</v>
      </c>
      <c r="T1023" s="1" t="s">
        <v>2853</v>
      </c>
      <c r="U1023" s="1">
        <v>85437099</v>
      </c>
      <c r="V1023" s="2"/>
      <c r="W1023" s="21" t="s">
        <v>3192</v>
      </c>
      <c r="X1023" s="21"/>
      <c r="Y1023" s="21"/>
      <c r="Z1023" s="12"/>
      <c r="AA1023" s="2"/>
      <c r="AB1023" s="6"/>
      <c r="AC1023" s="1"/>
      <c r="AD1023" s="27"/>
    </row>
    <row r="1024" spans="1:30" x14ac:dyDescent="0.25">
      <c r="A1024" s="4">
        <v>46112</v>
      </c>
      <c r="B1024" s="4"/>
      <c r="C1024" s="112" t="s">
        <v>1693</v>
      </c>
      <c r="D1024" s="6" t="s">
        <v>2854</v>
      </c>
      <c r="E1024" s="6" t="s">
        <v>2855</v>
      </c>
      <c r="F1024" s="6" t="s">
        <v>2855</v>
      </c>
      <c r="G1024" s="69">
        <v>50</v>
      </c>
      <c r="H1024" s="69"/>
      <c r="I1024" s="69">
        <f>Table223[[#This Row],[Qty]]-Table223[[#This Row],[Issue Qty]]</f>
        <v>50</v>
      </c>
      <c r="J1024" s="48">
        <v>504</v>
      </c>
      <c r="K1024" s="67">
        <f t="shared" si="51"/>
        <v>25200</v>
      </c>
      <c r="L1024" s="82">
        <v>0.18</v>
      </c>
      <c r="M1024" s="68">
        <f t="shared" si="52"/>
        <v>4536</v>
      </c>
      <c r="N1024" s="71"/>
      <c r="O1024" s="71"/>
      <c r="P1024" s="5">
        <f t="shared" si="53"/>
        <v>29736</v>
      </c>
      <c r="Q1024" s="70" t="s">
        <v>2844</v>
      </c>
      <c r="R1024" s="70" t="s">
        <v>2844</v>
      </c>
      <c r="S1024" s="1" t="s">
        <v>2845</v>
      </c>
      <c r="T1024" s="1" t="s">
        <v>2853</v>
      </c>
      <c r="U1024" s="1">
        <v>85365090</v>
      </c>
      <c r="V1024" s="2"/>
      <c r="W1024" s="21" t="s">
        <v>3192</v>
      </c>
      <c r="X1024" s="21"/>
      <c r="Y1024" s="21"/>
      <c r="Z1024" s="12"/>
      <c r="AA1024" s="2"/>
      <c r="AB1024" s="6"/>
      <c r="AC1024" s="1"/>
      <c r="AD1024" s="27"/>
    </row>
    <row r="1025" spans="1:30" ht="30" x14ac:dyDescent="0.25">
      <c r="A1025" s="4">
        <v>46112</v>
      </c>
      <c r="B1025" s="4"/>
      <c r="C1025" s="112" t="s">
        <v>1683</v>
      </c>
      <c r="D1025" s="6" t="s">
        <v>2856</v>
      </c>
      <c r="E1025" s="6" t="s">
        <v>2857</v>
      </c>
      <c r="F1025" s="6" t="s">
        <v>2857</v>
      </c>
      <c r="G1025" s="69">
        <v>50</v>
      </c>
      <c r="H1025" s="69"/>
      <c r="I1025" s="69">
        <f>Table223[[#This Row],[Qty]]-Table223[[#This Row],[Issue Qty]]</f>
        <v>50</v>
      </c>
      <c r="J1025" s="48">
        <v>1544</v>
      </c>
      <c r="K1025" s="67">
        <f t="shared" si="51"/>
        <v>77200</v>
      </c>
      <c r="L1025" s="82">
        <v>0.18</v>
      </c>
      <c r="M1025" s="68">
        <f t="shared" si="52"/>
        <v>13896</v>
      </c>
      <c r="N1025" s="71"/>
      <c r="O1025" s="48"/>
      <c r="P1025" s="5">
        <f t="shared" si="53"/>
        <v>91096</v>
      </c>
      <c r="Q1025" s="70" t="s">
        <v>2844</v>
      </c>
      <c r="R1025" s="70" t="s">
        <v>2844</v>
      </c>
      <c r="S1025" s="1" t="s">
        <v>2845</v>
      </c>
      <c r="T1025" s="1" t="s">
        <v>2853</v>
      </c>
      <c r="U1025" s="1">
        <v>88079000</v>
      </c>
      <c r="V1025" s="2"/>
      <c r="W1025" s="21" t="s">
        <v>3192</v>
      </c>
      <c r="X1025" s="21"/>
      <c r="Y1025" s="21"/>
      <c r="Z1025" s="12"/>
      <c r="AA1025" s="2"/>
      <c r="AB1025" s="6"/>
      <c r="AC1025" s="1"/>
      <c r="AD1025" s="27"/>
    </row>
    <row r="1026" spans="1:30" ht="21" customHeight="1" x14ac:dyDescent="0.25">
      <c r="A1026" s="4">
        <v>46112</v>
      </c>
      <c r="B1026" s="4"/>
      <c r="C1026" s="112" t="s">
        <v>1693</v>
      </c>
      <c r="D1026" s="6" t="s">
        <v>1741</v>
      </c>
      <c r="E1026" s="6" t="s">
        <v>165</v>
      </c>
      <c r="F1026" s="6" t="s">
        <v>165</v>
      </c>
      <c r="G1026" s="69">
        <v>50</v>
      </c>
      <c r="H1026" s="115"/>
      <c r="I1026" s="115">
        <f>Table223[[#This Row],[Qty]]-Table223[[#This Row],[Issue Qty]]</f>
        <v>50</v>
      </c>
      <c r="J1026" s="48">
        <v>3037</v>
      </c>
      <c r="K1026" s="67">
        <f t="shared" si="51"/>
        <v>151850</v>
      </c>
      <c r="L1026" s="82">
        <v>0.18</v>
      </c>
      <c r="M1026" s="68">
        <f t="shared" si="52"/>
        <v>27333</v>
      </c>
      <c r="N1026" s="71"/>
      <c r="O1026" s="71"/>
      <c r="P1026" s="5">
        <f t="shared" si="53"/>
        <v>179183</v>
      </c>
      <c r="Q1026" s="70" t="s">
        <v>2844</v>
      </c>
      <c r="R1026" s="70" t="s">
        <v>2844</v>
      </c>
      <c r="S1026" s="1" t="s">
        <v>2845</v>
      </c>
      <c r="T1026" s="1" t="s">
        <v>2853</v>
      </c>
      <c r="U1026" s="1">
        <v>853810</v>
      </c>
      <c r="V1026" s="2"/>
      <c r="W1026" s="21" t="s">
        <v>3192</v>
      </c>
      <c r="X1026" s="21"/>
      <c r="Y1026" s="21"/>
      <c r="Z1026" s="12"/>
      <c r="AA1026" s="2"/>
      <c r="AB1026" s="6"/>
      <c r="AC1026" s="1"/>
      <c r="AD1026" s="27"/>
    </row>
    <row r="1027" spans="1:30" x14ac:dyDescent="0.25">
      <c r="A1027" s="4">
        <v>46112</v>
      </c>
      <c r="B1027" s="4"/>
      <c r="C1027" s="112" t="s">
        <v>1730</v>
      </c>
      <c r="D1027" s="6" t="s">
        <v>2858</v>
      </c>
      <c r="E1027" s="6" t="s">
        <v>2859</v>
      </c>
      <c r="F1027" s="6" t="s">
        <v>2859</v>
      </c>
      <c r="G1027" s="69">
        <v>50</v>
      </c>
      <c r="H1027" s="69"/>
      <c r="I1027" s="69">
        <f>Table223[[#This Row],[Qty]]-Table223[[#This Row],[Issue Qty]]</f>
        <v>50</v>
      </c>
      <c r="J1027" s="48">
        <v>1240</v>
      </c>
      <c r="K1027" s="67">
        <f t="shared" si="51"/>
        <v>62000</v>
      </c>
      <c r="L1027" s="82">
        <v>0.18</v>
      </c>
      <c r="M1027" s="68">
        <f t="shared" si="52"/>
        <v>11160</v>
      </c>
      <c r="N1027" s="71"/>
      <c r="O1027" s="71"/>
      <c r="P1027" s="5">
        <f t="shared" si="53"/>
        <v>73160</v>
      </c>
      <c r="Q1027" s="70" t="s">
        <v>2844</v>
      </c>
      <c r="R1027" s="70" t="s">
        <v>2844</v>
      </c>
      <c r="S1027" s="1" t="s">
        <v>2845</v>
      </c>
      <c r="T1027" s="1" t="s">
        <v>2853</v>
      </c>
      <c r="U1027" s="1">
        <v>998719</v>
      </c>
      <c r="V1027" s="2"/>
      <c r="W1027" s="21" t="s">
        <v>3192</v>
      </c>
      <c r="X1027" s="21"/>
      <c r="Y1027" s="21"/>
      <c r="Z1027" s="12"/>
      <c r="AA1027" s="2"/>
      <c r="AB1027" s="6"/>
      <c r="AC1027" s="1"/>
      <c r="AD1027" s="27"/>
    </row>
    <row r="1028" spans="1:30" ht="30" x14ac:dyDescent="0.25">
      <c r="A1028" s="4">
        <v>46112</v>
      </c>
      <c r="B1028" s="4"/>
      <c r="C1028" s="112" t="s">
        <v>1693</v>
      </c>
      <c r="D1028" s="6" t="s">
        <v>1754</v>
      </c>
      <c r="E1028" s="6" t="s">
        <v>198</v>
      </c>
      <c r="F1028" s="6" t="s">
        <v>198</v>
      </c>
      <c r="G1028" s="69">
        <v>5</v>
      </c>
      <c r="H1028" s="69"/>
      <c r="I1028" s="69">
        <f>Table223[[#This Row],[Qty]]-Table223[[#This Row],[Issue Qty]]</f>
        <v>5</v>
      </c>
      <c r="J1028" s="48">
        <v>1483</v>
      </c>
      <c r="K1028" s="67">
        <f t="shared" si="51"/>
        <v>7415</v>
      </c>
      <c r="L1028" s="82">
        <v>0.18</v>
      </c>
      <c r="M1028" s="68">
        <f t="shared" si="52"/>
        <v>1334.7</v>
      </c>
      <c r="N1028" s="71"/>
      <c r="O1028" s="71"/>
      <c r="P1028" s="5">
        <f t="shared" si="53"/>
        <v>8749.7000000000007</v>
      </c>
      <c r="Q1028" s="70" t="s">
        <v>2844</v>
      </c>
      <c r="R1028" s="70" t="s">
        <v>2844</v>
      </c>
      <c r="S1028" s="1" t="s">
        <v>2845</v>
      </c>
      <c r="T1028" s="1" t="s">
        <v>2853</v>
      </c>
      <c r="U1028" s="1">
        <v>85176290</v>
      </c>
      <c r="V1028" s="2"/>
      <c r="W1028" s="21" t="s">
        <v>3192</v>
      </c>
      <c r="X1028" s="21"/>
      <c r="Y1028" s="21"/>
      <c r="Z1028" s="12"/>
      <c r="AA1028" s="2"/>
      <c r="AB1028" s="6"/>
      <c r="AC1028" s="1"/>
      <c r="AD1028" s="27"/>
    </row>
    <row r="1029" spans="1:30" x14ac:dyDescent="0.25">
      <c r="A1029" s="4">
        <v>46112</v>
      </c>
      <c r="B1029" s="4"/>
      <c r="C1029" s="112" t="s">
        <v>1693</v>
      </c>
      <c r="D1029" s="6" t="s">
        <v>2860</v>
      </c>
      <c r="E1029" s="6" t="s">
        <v>2861</v>
      </c>
      <c r="F1029" s="6" t="s">
        <v>2861</v>
      </c>
      <c r="G1029" s="69">
        <v>5</v>
      </c>
      <c r="H1029" s="69"/>
      <c r="I1029" s="69">
        <f>Table223[[#This Row],[Qty]]-Table223[[#This Row],[Issue Qty]]</f>
        <v>5</v>
      </c>
      <c r="J1029" s="48">
        <v>130</v>
      </c>
      <c r="K1029" s="67">
        <f t="shared" si="51"/>
        <v>650</v>
      </c>
      <c r="L1029" s="82">
        <v>0.18</v>
      </c>
      <c r="M1029" s="68">
        <f t="shared" si="52"/>
        <v>117</v>
      </c>
      <c r="N1029" s="71"/>
      <c r="O1029" s="71"/>
      <c r="P1029" s="5">
        <f t="shared" si="53"/>
        <v>767</v>
      </c>
      <c r="Q1029" s="70" t="s">
        <v>2844</v>
      </c>
      <c r="R1029" s="70" t="s">
        <v>2844</v>
      </c>
      <c r="S1029" s="1" t="s">
        <v>2845</v>
      </c>
      <c r="T1029" s="1" t="s">
        <v>2853</v>
      </c>
      <c r="U1029" s="1">
        <v>85176290</v>
      </c>
      <c r="V1029" s="2"/>
      <c r="W1029" s="21" t="s">
        <v>3192</v>
      </c>
      <c r="X1029" s="21"/>
      <c r="Y1029" s="21"/>
      <c r="Z1029" s="12"/>
      <c r="AA1029" s="2"/>
      <c r="AB1029" s="6"/>
      <c r="AC1029" s="1"/>
      <c r="AD1029" s="27"/>
    </row>
    <row r="1030" spans="1:30" x14ac:dyDescent="0.25">
      <c r="A1030" s="4">
        <v>46112</v>
      </c>
      <c r="B1030" s="4"/>
      <c r="C1030" s="112" t="s">
        <v>1683</v>
      </c>
      <c r="D1030" s="6" t="s">
        <v>2862</v>
      </c>
      <c r="E1030" s="6" t="s">
        <v>2863</v>
      </c>
      <c r="F1030" s="6" t="s">
        <v>2863</v>
      </c>
      <c r="G1030" s="69">
        <v>5</v>
      </c>
      <c r="H1030" s="69"/>
      <c r="I1030" s="69">
        <f>Table223[[#This Row],[Qty]]-Table223[[#This Row],[Issue Qty]]</f>
        <v>5</v>
      </c>
      <c r="J1030" s="48">
        <v>287</v>
      </c>
      <c r="K1030" s="67">
        <f t="shared" si="51"/>
        <v>1435</v>
      </c>
      <c r="L1030" s="82">
        <v>0.18</v>
      </c>
      <c r="M1030" s="68">
        <f t="shared" si="52"/>
        <v>258.3</v>
      </c>
      <c r="N1030" s="71"/>
      <c r="O1030" s="71"/>
      <c r="P1030" s="5">
        <f t="shared" si="53"/>
        <v>1693.3</v>
      </c>
      <c r="Q1030" s="70" t="s">
        <v>2844</v>
      </c>
      <c r="R1030" s="70" t="s">
        <v>2844</v>
      </c>
      <c r="S1030" s="1" t="s">
        <v>2845</v>
      </c>
      <c r="T1030" s="1" t="s">
        <v>2853</v>
      </c>
      <c r="U1030" s="1">
        <v>85044040</v>
      </c>
      <c r="V1030" s="2"/>
      <c r="W1030" s="21" t="s">
        <v>3192</v>
      </c>
      <c r="X1030" s="21"/>
      <c r="Y1030" s="21"/>
      <c r="Z1030" s="12"/>
      <c r="AA1030" s="2"/>
      <c r="AB1030" s="6"/>
      <c r="AC1030" s="1"/>
      <c r="AD1030" s="27"/>
    </row>
    <row r="1031" spans="1:30" x14ac:dyDescent="0.25">
      <c r="A1031" s="4">
        <v>46112</v>
      </c>
      <c r="B1031" s="4"/>
      <c r="C1031" s="112" t="s">
        <v>1693</v>
      </c>
      <c r="D1031" s="6" t="s">
        <v>1892</v>
      </c>
      <c r="E1031" s="6" t="s">
        <v>501</v>
      </c>
      <c r="F1031" s="6" t="s">
        <v>501</v>
      </c>
      <c r="G1031" s="69">
        <v>5</v>
      </c>
      <c r="H1031" s="69"/>
      <c r="I1031" s="69">
        <f>Table223[[#This Row],[Qty]]-Table223[[#This Row],[Issue Qty]]</f>
        <v>5</v>
      </c>
      <c r="J1031" s="48">
        <v>35715</v>
      </c>
      <c r="K1031" s="67">
        <f t="shared" si="51"/>
        <v>178575</v>
      </c>
      <c r="L1031" s="82">
        <v>0.18</v>
      </c>
      <c r="M1031" s="68">
        <f t="shared" si="52"/>
        <v>32143.5</v>
      </c>
      <c r="N1031" s="71"/>
      <c r="O1031" s="71"/>
      <c r="P1031" s="5">
        <f t="shared" si="53"/>
        <v>210718.5</v>
      </c>
      <c r="Q1031" s="70" t="s">
        <v>2844</v>
      </c>
      <c r="R1031" s="70" t="s">
        <v>2844</v>
      </c>
      <c r="S1031" s="1" t="s">
        <v>2845</v>
      </c>
      <c r="T1031" s="1" t="s">
        <v>2853</v>
      </c>
      <c r="U1031" s="1">
        <v>85437099</v>
      </c>
      <c r="V1031" s="2"/>
      <c r="W1031" s="21" t="s">
        <v>3192</v>
      </c>
      <c r="X1031" s="21"/>
      <c r="Y1031" s="21"/>
      <c r="Z1031" s="12"/>
      <c r="AA1031" s="2"/>
      <c r="AB1031" s="6"/>
      <c r="AC1031" s="1"/>
      <c r="AD1031" s="27"/>
    </row>
    <row r="1032" spans="1:30" ht="30" x14ac:dyDescent="0.25">
      <c r="A1032" s="4">
        <v>46112</v>
      </c>
      <c r="B1032" s="4"/>
      <c r="C1032" s="112" t="s">
        <v>1683</v>
      </c>
      <c r="D1032" s="6" t="s">
        <v>2864</v>
      </c>
      <c r="E1032" s="6" t="s">
        <v>2865</v>
      </c>
      <c r="F1032" s="6" t="s">
        <v>2865</v>
      </c>
      <c r="G1032" s="69">
        <v>25</v>
      </c>
      <c r="H1032" s="69"/>
      <c r="I1032" s="69">
        <f>Table223[[#This Row],[Qty]]-Table223[[#This Row],[Issue Qty]]</f>
        <v>25</v>
      </c>
      <c r="J1032" s="48">
        <v>11476</v>
      </c>
      <c r="K1032" s="67">
        <f t="shared" si="51"/>
        <v>286900</v>
      </c>
      <c r="L1032" s="82">
        <v>0.18</v>
      </c>
      <c r="M1032" s="68">
        <f t="shared" si="52"/>
        <v>51642</v>
      </c>
      <c r="N1032" s="71"/>
      <c r="O1032" s="71"/>
      <c r="P1032" s="5">
        <f t="shared" si="53"/>
        <v>338542</v>
      </c>
      <c r="Q1032" s="70" t="s">
        <v>2844</v>
      </c>
      <c r="R1032" s="70" t="s">
        <v>2844</v>
      </c>
      <c r="S1032" s="1" t="s">
        <v>2845</v>
      </c>
      <c r="T1032" s="1" t="s">
        <v>2853</v>
      </c>
      <c r="U1032" s="1">
        <v>85044030</v>
      </c>
      <c r="V1032" s="2"/>
      <c r="W1032" s="21" t="s">
        <v>3192</v>
      </c>
      <c r="X1032" s="21"/>
      <c r="Y1032" s="21"/>
      <c r="Z1032" s="12"/>
      <c r="AA1032" s="2"/>
      <c r="AB1032" s="6"/>
      <c r="AC1032" s="1"/>
      <c r="AD1032" s="27"/>
    </row>
    <row r="1033" spans="1:30" x14ac:dyDescent="0.25">
      <c r="A1033" s="4">
        <v>46112</v>
      </c>
      <c r="B1033" s="4"/>
      <c r="C1033" s="112" t="s">
        <v>1730</v>
      </c>
      <c r="D1033" s="6" t="s">
        <v>2866</v>
      </c>
      <c r="E1033" s="6" t="s">
        <v>2867</v>
      </c>
      <c r="F1033" s="6" t="s">
        <v>2867</v>
      </c>
      <c r="G1033" s="69">
        <v>10</v>
      </c>
      <c r="H1033" s="69"/>
      <c r="I1033" s="69">
        <f>Table223[[#This Row],[Qty]]-Table223[[#This Row],[Issue Qty]]</f>
        <v>10</v>
      </c>
      <c r="J1033" s="48">
        <v>281500</v>
      </c>
      <c r="K1033" s="67">
        <f t="shared" si="51"/>
        <v>2815000</v>
      </c>
      <c r="L1033" s="82">
        <v>0.18</v>
      </c>
      <c r="M1033" s="68">
        <f t="shared" si="52"/>
        <v>506700</v>
      </c>
      <c r="N1033" s="71"/>
      <c r="O1033" s="71"/>
      <c r="P1033" s="5">
        <f t="shared" si="53"/>
        <v>3321700</v>
      </c>
      <c r="Q1033" s="70" t="s">
        <v>2844</v>
      </c>
      <c r="R1033" s="70" t="s">
        <v>2844</v>
      </c>
      <c r="S1033" s="1" t="s">
        <v>2845</v>
      </c>
      <c r="T1033" s="1" t="s">
        <v>2853</v>
      </c>
      <c r="U1033" s="1">
        <v>85176290</v>
      </c>
      <c r="V1033" s="2"/>
      <c r="W1033" s="21" t="s">
        <v>3192</v>
      </c>
      <c r="X1033" s="21"/>
      <c r="Y1033" s="21"/>
      <c r="Z1033" s="12"/>
      <c r="AA1033" s="2"/>
      <c r="AB1033" s="6"/>
      <c r="AC1033" s="1"/>
      <c r="AD1033" s="27"/>
    </row>
    <row r="1034" spans="1:30" x14ac:dyDescent="0.25">
      <c r="A1034" s="4">
        <v>46112</v>
      </c>
      <c r="B1034" s="4"/>
      <c r="C1034" s="112" t="s">
        <v>1693</v>
      </c>
      <c r="D1034" s="6" t="s">
        <v>2868</v>
      </c>
      <c r="E1034" s="6" t="s">
        <v>2869</v>
      </c>
      <c r="F1034" s="6" t="s">
        <v>2869</v>
      </c>
      <c r="G1034" s="69">
        <v>10</v>
      </c>
      <c r="H1034" s="69"/>
      <c r="I1034" s="69">
        <f>Table223[[#This Row],[Qty]]-Table223[[#This Row],[Issue Qty]]</f>
        <v>10</v>
      </c>
      <c r="J1034" s="48">
        <v>15969</v>
      </c>
      <c r="K1034" s="67">
        <f t="shared" si="51"/>
        <v>159690</v>
      </c>
      <c r="L1034" s="82">
        <v>0.18</v>
      </c>
      <c r="M1034" s="68">
        <f t="shared" si="52"/>
        <v>28744.2</v>
      </c>
      <c r="N1034" s="71"/>
      <c r="O1034" s="71"/>
      <c r="P1034" s="5">
        <f t="shared" si="53"/>
        <v>188434.2</v>
      </c>
      <c r="Q1034" s="70" t="s">
        <v>2844</v>
      </c>
      <c r="R1034" s="70" t="s">
        <v>2844</v>
      </c>
      <c r="S1034" s="1" t="s">
        <v>2845</v>
      </c>
      <c r="T1034" s="1" t="s">
        <v>2853</v>
      </c>
      <c r="U1034" s="1">
        <v>88079000</v>
      </c>
      <c r="V1034" s="2"/>
      <c r="W1034" s="21" t="s">
        <v>3192</v>
      </c>
      <c r="X1034" s="21"/>
      <c r="Y1034" s="21"/>
      <c r="Z1034" s="12"/>
      <c r="AA1034" s="2"/>
      <c r="AB1034" s="6"/>
      <c r="AC1034" s="1"/>
      <c r="AD1034" s="27"/>
    </row>
    <row r="1035" spans="1:30" ht="15" customHeight="1" x14ac:dyDescent="0.25">
      <c r="A1035" s="4">
        <v>46125</v>
      </c>
      <c r="B1035" s="4">
        <v>46125</v>
      </c>
      <c r="C1035" s="112" t="s">
        <v>1730</v>
      </c>
      <c r="D1035" s="6" t="s">
        <v>1644</v>
      </c>
      <c r="E1035" s="6" t="s">
        <v>2870</v>
      </c>
      <c r="F1035" s="6" t="s">
        <v>2870</v>
      </c>
      <c r="G1035" s="69">
        <v>12</v>
      </c>
      <c r="H1035" s="69">
        <v>12</v>
      </c>
      <c r="I1035" s="69">
        <f>Table223[[#This Row],[Qty]]-Table223[[#This Row],[Issue Qty]]</f>
        <v>0</v>
      </c>
      <c r="J1035" s="48">
        <v>425</v>
      </c>
      <c r="K1035" s="5">
        <f t="shared" si="51"/>
        <v>5100</v>
      </c>
      <c r="L1035" s="82">
        <v>0.18</v>
      </c>
      <c r="M1035" s="9">
        <f t="shared" si="52"/>
        <v>918</v>
      </c>
      <c r="N1035" s="72"/>
      <c r="O1035" s="72"/>
      <c r="P1035" s="5">
        <f t="shared" si="53"/>
        <v>6018</v>
      </c>
      <c r="Q1035" s="70" t="s">
        <v>1408</v>
      </c>
      <c r="R1035" s="70" t="s">
        <v>1408</v>
      </c>
      <c r="S1035" s="1" t="s">
        <v>1645</v>
      </c>
      <c r="T1035" s="1" t="s">
        <v>2871</v>
      </c>
      <c r="U1035" s="1">
        <v>39189090</v>
      </c>
      <c r="V1035" s="2"/>
      <c r="W1035" s="21" t="s">
        <v>3181</v>
      </c>
      <c r="X1035" s="21"/>
      <c r="Y1035" s="21" t="s">
        <v>2872</v>
      </c>
      <c r="Z1035" s="12" t="s">
        <v>474</v>
      </c>
      <c r="AA1035" s="2"/>
      <c r="AB1035" s="6"/>
      <c r="AC1035" s="27"/>
      <c r="AD1035" s="27"/>
    </row>
    <row r="1036" spans="1:30" ht="15" customHeight="1" x14ac:dyDescent="0.25">
      <c r="A1036" s="4">
        <v>46120</v>
      </c>
      <c r="B1036" s="4">
        <v>46125</v>
      </c>
      <c r="C1036" s="112" t="s">
        <v>1693</v>
      </c>
      <c r="D1036" s="6" t="s">
        <v>2873</v>
      </c>
      <c r="E1036" s="6" t="s">
        <v>2874</v>
      </c>
      <c r="F1036" s="6" t="s">
        <v>2874</v>
      </c>
      <c r="G1036" s="69">
        <v>25</v>
      </c>
      <c r="H1036" s="69"/>
      <c r="I1036" s="69">
        <f>Table223[[#This Row],[Qty]]-Table223[[#This Row],[Issue Qty]]</f>
        <v>25</v>
      </c>
      <c r="J1036" s="48">
        <v>3.7</v>
      </c>
      <c r="K1036" s="5">
        <f t="shared" si="51"/>
        <v>92.5</v>
      </c>
      <c r="L1036" s="82"/>
      <c r="M1036" s="9">
        <f t="shared" si="52"/>
        <v>0</v>
      </c>
      <c r="N1036" s="71">
        <v>76.7</v>
      </c>
      <c r="O1036" s="72"/>
      <c r="P1036" s="5">
        <f t="shared" si="53"/>
        <v>169.2</v>
      </c>
      <c r="Q1036" s="1" t="s">
        <v>2887</v>
      </c>
      <c r="R1036" s="70" t="s">
        <v>2816</v>
      </c>
      <c r="S1036" s="1" t="s">
        <v>2875</v>
      </c>
      <c r="T1036" s="1">
        <v>262700471</v>
      </c>
      <c r="U1036" s="1">
        <v>85322990</v>
      </c>
      <c r="V1036" s="2"/>
      <c r="W1036" s="21" t="s">
        <v>2808</v>
      </c>
      <c r="X1036" s="21" t="s">
        <v>2809</v>
      </c>
      <c r="Y1036" s="21"/>
      <c r="Z1036" s="12"/>
      <c r="AA1036" s="2"/>
      <c r="AB1036" s="6"/>
      <c r="AC1036" s="27"/>
      <c r="AD1036" s="27"/>
    </row>
    <row r="1037" spans="1:30" ht="15" customHeight="1" x14ac:dyDescent="0.25">
      <c r="A1037" s="4">
        <v>46120</v>
      </c>
      <c r="B1037" s="4">
        <v>46125</v>
      </c>
      <c r="C1037" s="112" t="s">
        <v>1693</v>
      </c>
      <c r="D1037" s="6" t="s">
        <v>2876</v>
      </c>
      <c r="E1037" s="6" t="s">
        <v>2877</v>
      </c>
      <c r="F1037" s="6" t="s">
        <v>2877</v>
      </c>
      <c r="G1037" s="69">
        <v>10</v>
      </c>
      <c r="H1037" s="69"/>
      <c r="I1037" s="69">
        <f>Table223[[#This Row],[Qty]]-Table223[[#This Row],[Issue Qty]]</f>
        <v>10</v>
      </c>
      <c r="J1037" s="48">
        <v>1.68</v>
      </c>
      <c r="K1037" s="5">
        <f t="shared" si="51"/>
        <v>16.8</v>
      </c>
      <c r="L1037" s="82"/>
      <c r="M1037" s="9">
        <f t="shared" si="52"/>
        <v>0</v>
      </c>
      <c r="N1037" s="71"/>
      <c r="O1037" s="72"/>
      <c r="P1037" s="5">
        <f t="shared" si="53"/>
        <v>16.8</v>
      </c>
      <c r="Q1037" s="1" t="s">
        <v>2887</v>
      </c>
      <c r="R1037" s="70" t="s">
        <v>2816</v>
      </c>
      <c r="S1037" s="1" t="s">
        <v>1503</v>
      </c>
      <c r="T1037" s="1">
        <v>123796847</v>
      </c>
      <c r="U1037" s="1"/>
      <c r="V1037" s="2"/>
      <c r="W1037" s="21" t="s">
        <v>2808</v>
      </c>
      <c r="X1037" s="21" t="s">
        <v>2809</v>
      </c>
      <c r="Y1037" s="21"/>
      <c r="Z1037" s="12"/>
      <c r="AA1037" s="2"/>
      <c r="AB1037" s="6"/>
      <c r="AC1037" s="27"/>
      <c r="AD1037" s="27"/>
    </row>
    <row r="1038" spans="1:30" ht="15" customHeight="1" x14ac:dyDescent="0.25">
      <c r="A1038" s="4">
        <v>46120</v>
      </c>
      <c r="B1038" s="4">
        <v>46125</v>
      </c>
      <c r="C1038" s="112" t="s">
        <v>1693</v>
      </c>
      <c r="D1038" s="6" t="s">
        <v>2878</v>
      </c>
      <c r="E1038" s="6" t="s">
        <v>2879</v>
      </c>
      <c r="F1038" s="6" t="s">
        <v>2879</v>
      </c>
      <c r="G1038" s="69">
        <v>10</v>
      </c>
      <c r="H1038" s="69"/>
      <c r="I1038" s="69">
        <f>Table223[[#This Row],[Qty]]-Table223[[#This Row],[Issue Qty]]</f>
        <v>10</v>
      </c>
      <c r="J1038" s="48">
        <v>84.8</v>
      </c>
      <c r="K1038" s="5">
        <f t="shared" si="51"/>
        <v>848</v>
      </c>
      <c r="L1038" s="82"/>
      <c r="M1038" s="9">
        <f t="shared" si="52"/>
        <v>0</v>
      </c>
      <c r="N1038" s="71"/>
      <c r="O1038" s="72"/>
      <c r="P1038" s="5">
        <f t="shared" si="53"/>
        <v>848</v>
      </c>
      <c r="Q1038" s="1" t="s">
        <v>2887</v>
      </c>
      <c r="R1038" s="70" t="s">
        <v>2816</v>
      </c>
      <c r="S1038" s="1" t="s">
        <v>1503</v>
      </c>
      <c r="T1038" s="1">
        <v>123796847</v>
      </c>
      <c r="U1038" s="1"/>
      <c r="V1038" s="2"/>
      <c r="W1038" s="21" t="s">
        <v>2808</v>
      </c>
      <c r="X1038" s="21" t="s">
        <v>2809</v>
      </c>
      <c r="Y1038" s="21"/>
      <c r="Z1038" s="12"/>
      <c r="AA1038" s="2"/>
      <c r="AB1038" s="6"/>
      <c r="AC1038" s="27"/>
      <c r="AD1038" s="27"/>
    </row>
    <row r="1039" spans="1:30" ht="15" customHeight="1" x14ac:dyDescent="0.25">
      <c r="A1039" s="4">
        <v>46120</v>
      </c>
      <c r="B1039" s="4">
        <v>46125</v>
      </c>
      <c r="C1039" s="112" t="s">
        <v>1693</v>
      </c>
      <c r="D1039" s="6" t="s">
        <v>2880</v>
      </c>
      <c r="E1039" s="6" t="s">
        <v>2881</v>
      </c>
      <c r="F1039" s="6" t="s">
        <v>2881</v>
      </c>
      <c r="G1039" s="69">
        <v>10</v>
      </c>
      <c r="H1039" s="69"/>
      <c r="I1039" s="69">
        <f>Table223[[#This Row],[Qty]]-Table223[[#This Row],[Issue Qty]]</f>
        <v>10</v>
      </c>
      <c r="J1039" s="48">
        <v>143.97</v>
      </c>
      <c r="K1039" s="5">
        <f t="shared" si="51"/>
        <v>1439.7</v>
      </c>
      <c r="L1039" s="82"/>
      <c r="M1039" s="9">
        <f t="shared" si="52"/>
        <v>0</v>
      </c>
      <c r="N1039" s="71"/>
      <c r="O1039" s="72"/>
      <c r="P1039" s="5">
        <f t="shared" si="53"/>
        <v>1439.7</v>
      </c>
      <c r="Q1039" s="1" t="s">
        <v>2887</v>
      </c>
      <c r="R1039" s="70" t="s">
        <v>2816</v>
      </c>
      <c r="S1039" s="1" t="s">
        <v>1503</v>
      </c>
      <c r="T1039" s="1">
        <v>123796847</v>
      </c>
      <c r="U1039" s="1"/>
      <c r="V1039" s="2"/>
      <c r="W1039" s="21" t="s">
        <v>2808</v>
      </c>
      <c r="X1039" s="21" t="s">
        <v>2809</v>
      </c>
      <c r="Y1039" s="21"/>
      <c r="Z1039" s="12"/>
      <c r="AA1039" s="2"/>
      <c r="AB1039" s="6"/>
      <c r="AC1039" s="27"/>
      <c r="AD1039" s="27"/>
    </row>
    <row r="1040" spans="1:30" ht="15" customHeight="1" x14ac:dyDescent="0.25">
      <c r="A1040" s="4">
        <v>46120</v>
      </c>
      <c r="B1040" s="4">
        <v>46125</v>
      </c>
      <c r="C1040" s="112" t="s">
        <v>1693</v>
      </c>
      <c r="D1040" s="6" t="s">
        <v>2882</v>
      </c>
      <c r="E1040" s="6" t="s">
        <v>2883</v>
      </c>
      <c r="F1040" s="6" t="s">
        <v>2883</v>
      </c>
      <c r="G1040" s="69">
        <v>5</v>
      </c>
      <c r="H1040" s="69"/>
      <c r="I1040" s="69">
        <f>Table223[[#This Row],[Qty]]-Table223[[#This Row],[Issue Qty]]</f>
        <v>5</v>
      </c>
      <c r="J1040" s="48">
        <v>60.57</v>
      </c>
      <c r="K1040" s="5">
        <f t="shared" si="51"/>
        <v>302.85000000000002</v>
      </c>
      <c r="L1040" s="82"/>
      <c r="M1040" s="9">
        <f t="shared" si="52"/>
        <v>0</v>
      </c>
      <c r="N1040" s="71"/>
      <c r="O1040" s="72"/>
      <c r="P1040" s="5">
        <f t="shared" si="53"/>
        <v>302.85000000000002</v>
      </c>
      <c r="Q1040" s="1" t="s">
        <v>2887</v>
      </c>
      <c r="R1040" s="70" t="s">
        <v>2816</v>
      </c>
      <c r="S1040" s="1" t="s">
        <v>1503</v>
      </c>
      <c r="T1040" s="1">
        <v>123796847</v>
      </c>
      <c r="U1040" s="1"/>
      <c r="V1040" s="2"/>
      <c r="W1040" s="21" t="s">
        <v>2808</v>
      </c>
      <c r="X1040" s="21" t="s">
        <v>2809</v>
      </c>
      <c r="Y1040" s="21"/>
      <c r="Z1040" s="12"/>
      <c r="AA1040" s="2"/>
      <c r="AB1040" s="6"/>
      <c r="AC1040" s="27"/>
      <c r="AD1040" s="27"/>
    </row>
    <row r="1041" spans="1:30" ht="15" customHeight="1" x14ac:dyDescent="0.25">
      <c r="A1041" s="4">
        <v>46120</v>
      </c>
      <c r="B1041" s="4">
        <v>46125</v>
      </c>
      <c r="C1041" s="112" t="s">
        <v>1693</v>
      </c>
      <c r="D1041" s="6" t="s">
        <v>2884</v>
      </c>
      <c r="E1041" s="6" t="s">
        <v>2885</v>
      </c>
      <c r="F1041" s="6" t="s">
        <v>2885</v>
      </c>
      <c r="G1041" s="69">
        <v>10</v>
      </c>
      <c r="H1041" s="69"/>
      <c r="I1041" s="69">
        <f>Table223[[#This Row],[Qty]]-Table223[[#This Row],[Issue Qty]]</f>
        <v>10</v>
      </c>
      <c r="J1041" s="48">
        <v>0.37</v>
      </c>
      <c r="K1041" s="5">
        <f t="shared" si="51"/>
        <v>3.7</v>
      </c>
      <c r="L1041" s="82"/>
      <c r="M1041" s="9">
        <f t="shared" si="52"/>
        <v>0</v>
      </c>
      <c r="N1041" s="71"/>
      <c r="O1041" s="72"/>
      <c r="P1041" s="5">
        <f t="shared" si="53"/>
        <v>3.7</v>
      </c>
      <c r="Q1041" s="1" t="s">
        <v>2887</v>
      </c>
      <c r="R1041" s="70" t="s">
        <v>2816</v>
      </c>
      <c r="S1041" s="1" t="s">
        <v>1503</v>
      </c>
      <c r="T1041" s="1">
        <v>123796847</v>
      </c>
      <c r="U1041" s="1"/>
      <c r="V1041" s="2"/>
      <c r="W1041" s="21" t="s">
        <v>2808</v>
      </c>
      <c r="X1041" s="21" t="s">
        <v>2809</v>
      </c>
      <c r="Y1041" s="21"/>
      <c r="Z1041" s="12"/>
      <c r="AA1041" s="2"/>
      <c r="AB1041" s="6"/>
      <c r="AC1041" s="27"/>
      <c r="AD1041" s="27"/>
    </row>
    <row r="1042" spans="1:30" ht="15" customHeight="1" x14ac:dyDescent="0.25">
      <c r="A1042" s="4">
        <v>46125</v>
      </c>
      <c r="B1042" s="4">
        <v>46125</v>
      </c>
      <c r="C1042" s="112" t="s">
        <v>54</v>
      </c>
      <c r="D1042" s="6" t="s">
        <v>2604</v>
      </c>
      <c r="E1042" s="89" t="s">
        <v>1507</v>
      </c>
      <c r="F1042" s="80" t="s">
        <v>1507</v>
      </c>
      <c r="G1042" s="69">
        <v>1</v>
      </c>
      <c r="H1042" s="69">
        <v>1</v>
      </c>
      <c r="I1042" s="69">
        <f>Table223[[#This Row],[Qty]]-Table223[[#This Row],[Issue Qty]]</f>
        <v>0</v>
      </c>
      <c r="J1042" s="48">
        <v>4669.8</v>
      </c>
      <c r="K1042" s="5">
        <f t="shared" si="51"/>
        <v>4669.8</v>
      </c>
      <c r="L1042" s="82">
        <v>0.18</v>
      </c>
      <c r="M1042" s="9">
        <f t="shared" si="52"/>
        <v>840.56399999999996</v>
      </c>
      <c r="N1042" s="71"/>
      <c r="O1042" s="72"/>
      <c r="P1042" s="5">
        <f t="shared" si="53"/>
        <v>5510.3640000000005</v>
      </c>
      <c r="Q1042" s="1" t="s">
        <v>2887</v>
      </c>
      <c r="R1042" s="70" t="s">
        <v>2816</v>
      </c>
      <c r="S1042" s="1" t="s">
        <v>358</v>
      </c>
      <c r="T1042" s="1" t="s">
        <v>2886</v>
      </c>
      <c r="U1042" s="1">
        <v>39269099</v>
      </c>
      <c r="V1042" s="2"/>
      <c r="W1042" s="21" t="s">
        <v>3349</v>
      </c>
      <c r="X1042" s="21"/>
      <c r="Y1042" s="21">
        <v>1</v>
      </c>
      <c r="Z1042" s="12" t="s">
        <v>2887</v>
      </c>
      <c r="AA1042" s="2"/>
      <c r="AB1042" s="6"/>
      <c r="AC1042" s="27"/>
      <c r="AD1042" s="27"/>
    </row>
    <row r="1043" spans="1:30" ht="15" customHeight="1" x14ac:dyDescent="0.25">
      <c r="A1043" s="4">
        <v>46125</v>
      </c>
      <c r="B1043" s="4">
        <v>46125</v>
      </c>
      <c r="C1043" s="112" t="s">
        <v>54</v>
      </c>
      <c r="D1043" s="6" t="s">
        <v>2603</v>
      </c>
      <c r="E1043" s="6" t="s">
        <v>1506</v>
      </c>
      <c r="F1043" s="6" t="s">
        <v>1506</v>
      </c>
      <c r="G1043" s="69">
        <v>1</v>
      </c>
      <c r="H1043" s="69">
        <v>1</v>
      </c>
      <c r="I1043" s="69">
        <f>Table223[[#This Row],[Qty]]-Table223[[#This Row],[Issue Qty]]</f>
        <v>0</v>
      </c>
      <c r="J1043" s="48">
        <v>2979.9</v>
      </c>
      <c r="K1043" s="5">
        <f t="shared" si="51"/>
        <v>2979.9</v>
      </c>
      <c r="L1043" s="82">
        <v>0.18</v>
      </c>
      <c r="M1043" s="9">
        <f t="shared" si="52"/>
        <v>536.38199999999995</v>
      </c>
      <c r="N1043" s="71"/>
      <c r="O1043" s="72"/>
      <c r="P1043" s="5">
        <f t="shared" si="53"/>
        <v>3516.2820000000002</v>
      </c>
      <c r="Q1043" s="1" t="s">
        <v>2887</v>
      </c>
      <c r="R1043" s="70" t="s">
        <v>2816</v>
      </c>
      <c r="S1043" s="1" t="s">
        <v>358</v>
      </c>
      <c r="T1043" s="1" t="s">
        <v>2886</v>
      </c>
      <c r="U1043" s="1">
        <v>39269099</v>
      </c>
      <c r="V1043" s="2"/>
      <c r="W1043" s="21" t="s">
        <v>3349</v>
      </c>
      <c r="X1043" s="21"/>
      <c r="Y1043" s="21">
        <v>1</v>
      </c>
      <c r="Z1043" s="97" t="s">
        <v>2887</v>
      </c>
      <c r="AA1043" s="2"/>
      <c r="AB1043" s="6"/>
      <c r="AC1043" s="27"/>
      <c r="AD1043" s="27"/>
    </row>
    <row r="1044" spans="1:30" ht="15" customHeight="1" x14ac:dyDescent="0.25">
      <c r="A1044" s="4">
        <v>46125</v>
      </c>
      <c r="B1044" s="4">
        <v>46127</v>
      </c>
      <c r="C1044" s="112" t="s">
        <v>1693</v>
      </c>
      <c r="D1044" s="6" t="s">
        <v>1711</v>
      </c>
      <c r="E1044" s="170" t="s">
        <v>86</v>
      </c>
      <c r="F1044" s="6" t="s">
        <v>86</v>
      </c>
      <c r="G1044" s="69">
        <v>5</v>
      </c>
      <c r="H1044" s="69">
        <v>5</v>
      </c>
      <c r="I1044" s="69">
        <f>Table223[[#This Row],[Qty]]-Table223[[#This Row],[Issue Qty]]</f>
        <v>0</v>
      </c>
      <c r="J1044" s="48">
        <v>2779.78</v>
      </c>
      <c r="K1044" s="5">
        <f t="shared" si="51"/>
        <v>13898.900000000001</v>
      </c>
      <c r="L1044" s="82">
        <v>0.18</v>
      </c>
      <c r="M1044" s="9">
        <f t="shared" si="52"/>
        <v>2501.8020000000001</v>
      </c>
      <c r="N1044" s="71"/>
      <c r="O1044" s="72"/>
      <c r="P1044" s="5">
        <f t="shared" si="53"/>
        <v>16400.702000000001</v>
      </c>
      <c r="Q1044" s="1" t="s">
        <v>2887</v>
      </c>
      <c r="R1044" s="70" t="s">
        <v>2816</v>
      </c>
      <c r="S1044" s="1" t="s">
        <v>634</v>
      </c>
      <c r="T1044" s="1" t="s">
        <v>2888</v>
      </c>
      <c r="U1044" s="1">
        <v>90151000</v>
      </c>
      <c r="V1044" s="2"/>
      <c r="W1044" s="21" t="s">
        <v>244</v>
      </c>
      <c r="X1044" s="21"/>
      <c r="Y1044" s="21">
        <v>5</v>
      </c>
      <c r="Z1044" s="12" t="s">
        <v>3191</v>
      </c>
      <c r="AA1044" s="2" t="s">
        <v>3403</v>
      </c>
      <c r="AB1044" s="6"/>
      <c r="AC1044" s="27"/>
      <c r="AD1044" s="27"/>
    </row>
    <row r="1045" spans="1:30" ht="15" customHeight="1" x14ac:dyDescent="0.25">
      <c r="A1045" s="4">
        <v>46125</v>
      </c>
      <c r="B1045" s="4">
        <v>46127</v>
      </c>
      <c r="C1045" s="112" t="s">
        <v>1683</v>
      </c>
      <c r="D1045" s="6" t="s">
        <v>2889</v>
      </c>
      <c r="E1045" s="6" t="s">
        <v>2890</v>
      </c>
      <c r="F1045" s="6" t="s">
        <v>2890</v>
      </c>
      <c r="G1045" s="69">
        <v>10</v>
      </c>
      <c r="H1045" s="69"/>
      <c r="I1045" s="69">
        <f>Table223[[#This Row],[Qty]]-Table223[[#This Row],[Issue Qty]]</f>
        <v>10</v>
      </c>
      <c r="J1045" s="48">
        <v>22.03</v>
      </c>
      <c r="K1045" s="5">
        <f t="shared" si="51"/>
        <v>220.3</v>
      </c>
      <c r="L1045" s="82">
        <v>0.18</v>
      </c>
      <c r="M1045" s="9">
        <f t="shared" si="52"/>
        <v>39.654000000000003</v>
      </c>
      <c r="N1045" s="71">
        <v>99</v>
      </c>
      <c r="O1045" s="72"/>
      <c r="P1045" s="5">
        <f t="shared" si="53"/>
        <v>358.95400000000001</v>
      </c>
      <c r="Q1045" s="1" t="s">
        <v>2887</v>
      </c>
      <c r="R1045" s="70" t="s">
        <v>2816</v>
      </c>
      <c r="S1045" s="1" t="s">
        <v>634</v>
      </c>
      <c r="T1045" s="1" t="s">
        <v>2888</v>
      </c>
      <c r="U1045" s="1">
        <v>85365090</v>
      </c>
      <c r="V1045" s="2"/>
      <c r="W1045" s="21" t="s">
        <v>2808</v>
      </c>
      <c r="X1045" s="21" t="s">
        <v>2809</v>
      </c>
      <c r="Y1045" s="21"/>
      <c r="Z1045" s="12"/>
      <c r="AA1045" s="2"/>
      <c r="AB1045" s="6"/>
      <c r="AC1045" s="27"/>
      <c r="AD1045" s="27"/>
    </row>
    <row r="1046" spans="1:30" ht="15" customHeight="1" x14ac:dyDescent="0.25">
      <c r="A1046" s="4">
        <v>46125</v>
      </c>
      <c r="B1046" s="4">
        <v>46128</v>
      </c>
      <c r="C1046" s="112" t="s">
        <v>1683</v>
      </c>
      <c r="D1046" s="6" t="s">
        <v>2891</v>
      </c>
      <c r="E1046" s="154" t="s">
        <v>2892</v>
      </c>
      <c r="F1046" s="6" t="s">
        <v>2892</v>
      </c>
      <c r="G1046" s="8">
        <v>4</v>
      </c>
      <c r="H1046" s="8">
        <v>4</v>
      </c>
      <c r="I1046" s="115">
        <f>Table223[[#This Row],[Qty]]-Table223[[#This Row],[Issue Qty]]</f>
        <v>0</v>
      </c>
      <c r="J1046" s="48">
        <v>10000</v>
      </c>
      <c r="K1046" s="5">
        <f t="shared" si="51"/>
        <v>40000</v>
      </c>
      <c r="L1046" s="82">
        <v>0.18</v>
      </c>
      <c r="M1046" s="9">
        <f t="shared" si="52"/>
        <v>7200</v>
      </c>
      <c r="N1046" s="71"/>
      <c r="O1046" s="72"/>
      <c r="P1046" s="5">
        <f t="shared" si="53"/>
        <v>47200</v>
      </c>
      <c r="Q1046" s="1" t="s">
        <v>2887</v>
      </c>
      <c r="R1046" s="1" t="s">
        <v>2816</v>
      </c>
      <c r="S1046" s="1" t="s">
        <v>794</v>
      </c>
      <c r="T1046" s="1" t="s">
        <v>2893</v>
      </c>
      <c r="U1046" s="1">
        <v>85015290</v>
      </c>
      <c r="V1046" s="2"/>
      <c r="W1046" s="21" t="s">
        <v>573</v>
      </c>
      <c r="X1046" s="21"/>
      <c r="Y1046" s="21">
        <v>4</v>
      </c>
      <c r="Z1046" s="12" t="s">
        <v>3326</v>
      </c>
      <c r="AA1046" s="2"/>
      <c r="AB1046" s="6"/>
      <c r="AC1046" s="27"/>
      <c r="AD1046" s="27"/>
    </row>
    <row r="1047" spans="1:30" x14ac:dyDescent="0.25">
      <c r="A1047" s="4">
        <v>46125</v>
      </c>
      <c r="B1047" s="4">
        <v>46128</v>
      </c>
      <c r="C1047" s="112" t="s">
        <v>54</v>
      </c>
      <c r="D1047" s="6" t="s">
        <v>2496</v>
      </c>
      <c r="E1047" s="86" t="s">
        <v>1400</v>
      </c>
      <c r="F1047" s="6" t="s">
        <v>1400</v>
      </c>
      <c r="G1047" s="8">
        <v>4</v>
      </c>
      <c r="H1047" s="8">
        <v>4</v>
      </c>
      <c r="I1047" s="115">
        <f>Table223[[#This Row],[Qty]]-Table223[[#This Row],[Issue Qty]]</f>
        <v>0</v>
      </c>
      <c r="J1047" s="48">
        <v>7400</v>
      </c>
      <c r="K1047" s="5">
        <f>G1047*J1047</f>
        <v>29600</v>
      </c>
      <c r="L1047" s="82">
        <v>0.05</v>
      </c>
      <c r="M1047" s="9">
        <f>K1047*L1047</f>
        <v>1480</v>
      </c>
      <c r="N1047" s="71"/>
      <c r="O1047" s="72"/>
      <c r="P1047" s="5">
        <f>K1047+M1047+N1047+O1047</f>
        <v>31080</v>
      </c>
      <c r="Q1047" s="1" t="s">
        <v>2887</v>
      </c>
      <c r="R1047" s="1" t="s">
        <v>2816</v>
      </c>
      <c r="S1047" s="1" t="s">
        <v>794</v>
      </c>
      <c r="T1047" s="1" t="s">
        <v>2893</v>
      </c>
      <c r="U1047" s="1">
        <v>88071000</v>
      </c>
      <c r="V1047" s="2"/>
      <c r="W1047" s="21" t="s">
        <v>126</v>
      </c>
      <c r="X1047" s="21"/>
      <c r="Y1047" s="21">
        <v>4</v>
      </c>
      <c r="Z1047" s="12" t="s">
        <v>3014</v>
      </c>
      <c r="AA1047" s="2"/>
      <c r="AB1047" s="6"/>
      <c r="AC1047" s="27"/>
      <c r="AD1047" s="27"/>
    </row>
    <row r="1048" spans="1:30" ht="15" customHeight="1" x14ac:dyDescent="0.25">
      <c r="A1048" s="4">
        <v>46129</v>
      </c>
      <c r="B1048" s="4">
        <v>46132</v>
      </c>
      <c r="C1048" s="112" t="s">
        <v>1683</v>
      </c>
      <c r="D1048" s="6" t="s">
        <v>1769</v>
      </c>
      <c r="E1048" s="6" t="s">
        <v>2974</v>
      </c>
      <c r="F1048" s="6" t="s">
        <v>2974</v>
      </c>
      <c r="G1048" s="8">
        <v>2</v>
      </c>
      <c r="H1048" s="28">
        <v>1</v>
      </c>
      <c r="I1048" s="115">
        <f>Table223[[#This Row],[Qty]]-Table223[[#This Row],[Issue Qty]]</f>
        <v>1</v>
      </c>
      <c r="J1048" s="48">
        <v>466</v>
      </c>
      <c r="K1048" s="10">
        <f t="shared" ref="K1048:K1111" si="54">G1048*J1048</f>
        <v>932</v>
      </c>
      <c r="L1048" s="82">
        <v>0.18</v>
      </c>
      <c r="M1048" s="9">
        <f t="shared" ref="M1048:M1111" si="55">K1048*L1048</f>
        <v>167.76</v>
      </c>
      <c r="N1048" s="71">
        <v>88.5</v>
      </c>
      <c r="O1048" s="71"/>
      <c r="P1048" s="5">
        <f t="shared" ref="P1048:P1111" si="56">K1048+M1048+N1048+O1048</f>
        <v>1188.26</v>
      </c>
      <c r="Q1048" s="1" t="s">
        <v>2887</v>
      </c>
      <c r="R1048" s="1" t="s">
        <v>2816</v>
      </c>
      <c r="S1048" s="1" t="s">
        <v>1060</v>
      </c>
      <c r="T1048" s="1" t="s">
        <v>2987</v>
      </c>
      <c r="U1048" s="1">
        <v>85367000</v>
      </c>
      <c r="V1048" s="27"/>
      <c r="W1048" s="21" t="s">
        <v>2808</v>
      </c>
      <c r="X1048" s="28"/>
      <c r="Y1048" s="21">
        <v>1</v>
      </c>
      <c r="Z1048" s="12" t="s">
        <v>2991</v>
      </c>
      <c r="AA1048" s="120"/>
      <c r="AB1048" s="120"/>
      <c r="AC1048" s="120"/>
      <c r="AD1048" s="120"/>
    </row>
    <row r="1049" spans="1:30" x14ac:dyDescent="0.25">
      <c r="A1049" s="4">
        <v>46130</v>
      </c>
      <c r="B1049" s="4">
        <v>46130</v>
      </c>
      <c r="C1049" s="112" t="s">
        <v>1730</v>
      </c>
      <c r="D1049" s="6" t="s">
        <v>2975</v>
      </c>
      <c r="E1049" s="86" t="s">
        <v>2976</v>
      </c>
      <c r="F1049" s="6" t="s">
        <v>2976</v>
      </c>
      <c r="G1049" s="8">
        <v>1</v>
      </c>
      <c r="H1049" s="8">
        <v>1</v>
      </c>
      <c r="I1049" s="115">
        <f>Table223[[#This Row],[Qty]]-Table223[[#This Row],[Issue Qty]]</f>
        <v>0</v>
      </c>
      <c r="J1049" s="48">
        <v>10170</v>
      </c>
      <c r="K1049" s="10">
        <f t="shared" si="54"/>
        <v>10170</v>
      </c>
      <c r="L1049" s="82">
        <v>0.18</v>
      </c>
      <c r="M1049" s="9">
        <f t="shared" si="55"/>
        <v>1830.6</v>
      </c>
      <c r="N1049" s="71"/>
      <c r="O1049" s="71">
        <v>-0.6</v>
      </c>
      <c r="P1049" s="5">
        <f t="shared" si="56"/>
        <v>12000</v>
      </c>
      <c r="Q1049" s="1" t="s">
        <v>2887</v>
      </c>
      <c r="R1049" s="1" t="s">
        <v>2816</v>
      </c>
      <c r="S1049" s="1" t="s">
        <v>1526</v>
      </c>
      <c r="T1049" s="1">
        <v>3915</v>
      </c>
      <c r="U1049" s="1">
        <v>4412</v>
      </c>
      <c r="V1049" s="27"/>
      <c r="W1049" s="21" t="s">
        <v>3179</v>
      </c>
      <c r="X1049" s="28"/>
      <c r="Y1049" s="21">
        <v>1</v>
      </c>
      <c r="Z1049" s="12" t="s">
        <v>2992</v>
      </c>
      <c r="AA1049" s="120"/>
      <c r="AB1049" s="120"/>
      <c r="AC1049" s="120"/>
      <c r="AD1049" s="120"/>
    </row>
    <row r="1050" spans="1:30" ht="30" x14ac:dyDescent="0.25">
      <c r="A1050" s="4">
        <v>46133</v>
      </c>
      <c r="B1050" s="4">
        <v>46133</v>
      </c>
      <c r="C1050" s="112" t="s">
        <v>1688</v>
      </c>
      <c r="D1050" s="6" t="s">
        <v>2977</v>
      </c>
      <c r="E1050" s="6" t="s">
        <v>2978</v>
      </c>
      <c r="F1050" s="6" t="s">
        <v>2978</v>
      </c>
      <c r="G1050" s="8">
        <v>2</v>
      </c>
      <c r="H1050" s="28">
        <v>1</v>
      </c>
      <c r="I1050" s="122">
        <f>Table223[[#This Row],[Qty]]-Table223[[#This Row],[Issue Qty]]</f>
        <v>1</v>
      </c>
      <c r="J1050" s="48">
        <v>55000</v>
      </c>
      <c r="K1050" s="5">
        <f t="shared" si="54"/>
        <v>110000</v>
      </c>
      <c r="L1050" s="82">
        <v>0.05</v>
      </c>
      <c r="M1050" s="9">
        <f t="shared" si="55"/>
        <v>5500</v>
      </c>
      <c r="N1050" s="71"/>
      <c r="O1050" s="71"/>
      <c r="P1050" s="5">
        <f t="shared" si="56"/>
        <v>115500</v>
      </c>
      <c r="Q1050" s="1" t="s">
        <v>2887</v>
      </c>
      <c r="R1050" s="1" t="s">
        <v>2816</v>
      </c>
      <c r="S1050" s="1" t="s">
        <v>1420</v>
      </c>
      <c r="T1050" s="1" t="s">
        <v>2988</v>
      </c>
      <c r="U1050" s="1">
        <v>88073020</v>
      </c>
      <c r="V1050" s="27"/>
      <c r="W1050" s="21" t="s">
        <v>2993</v>
      </c>
      <c r="X1050" s="28"/>
      <c r="Y1050" s="21">
        <v>1</v>
      </c>
      <c r="Z1050" s="12" t="s">
        <v>3407</v>
      </c>
      <c r="AA1050" s="12" t="s">
        <v>2992</v>
      </c>
      <c r="AB1050" s="120"/>
      <c r="AC1050" s="120"/>
      <c r="AD1050" s="120"/>
    </row>
    <row r="1051" spans="1:30" x14ac:dyDescent="0.25">
      <c r="A1051" s="4">
        <v>46133</v>
      </c>
      <c r="B1051" s="4">
        <v>46134</v>
      </c>
      <c r="C1051" s="112" t="s">
        <v>1730</v>
      </c>
      <c r="D1051" s="6" t="s">
        <v>2975</v>
      </c>
      <c r="E1051" s="1" t="s">
        <v>2976</v>
      </c>
      <c r="F1051" s="6" t="s">
        <v>2976</v>
      </c>
      <c r="G1051" s="8">
        <v>1</v>
      </c>
      <c r="H1051" s="8">
        <v>0</v>
      </c>
      <c r="I1051" s="115">
        <f>Table223[[#This Row],[Qty]]-Table223[[#This Row],[Issue Qty]]</f>
        <v>1</v>
      </c>
      <c r="J1051" s="48">
        <v>10170</v>
      </c>
      <c r="K1051" s="10">
        <f t="shared" si="54"/>
        <v>10170</v>
      </c>
      <c r="L1051" s="82">
        <v>0.18</v>
      </c>
      <c r="M1051" s="9">
        <f t="shared" si="55"/>
        <v>1830.6</v>
      </c>
      <c r="N1051" s="71"/>
      <c r="O1051" s="71">
        <v>-0.6</v>
      </c>
      <c r="P1051" s="5">
        <f t="shared" si="56"/>
        <v>12000</v>
      </c>
      <c r="Q1051" s="1" t="s">
        <v>2887</v>
      </c>
      <c r="R1051" s="1" t="s">
        <v>2816</v>
      </c>
      <c r="S1051" s="1" t="s">
        <v>1526</v>
      </c>
      <c r="T1051" s="1">
        <v>3926</v>
      </c>
      <c r="U1051" s="1">
        <v>4412</v>
      </c>
      <c r="V1051" s="27"/>
      <c r="W1051" s="21" t="s">
        <v>3179</v>
      </c>
      <c r="X1051" s="28"/>
      <c r="Y1051" s="21">
        <v>1</v>
      </c>
      <c r="Z1051" s="12" t="s">
        <v>3018</v>
      </c>
      <c r="AA1051" s="120"/>
      <c r="AB1051" s="120"/>
      <c r="AC1051" s="120"/>
      <c r="AD1051" s="120"/>
    </row>
    <row r="1052" spans="1:30" x14ac:dyDescent="0.25">
      <c r="A1052" s="78">
        <v>46132</v>
      </c>
      <c r="B1052" s="78">
        <v>46136</v>
      </c>
      <c r="C1052" s="112" t="s">
        <v>1730</v>
      </c>
      <c r="D1052" s="3" t="s">
        <v>2979</v>
      </c>
      <c r="E1052" s="138" t="s">
        <v>2980</v>
      </c>
      <c r="F1052" s="3" t="s">
        <v>2980</v>
      </c>
      <c r="G1052" s="7">
        <v>1</v>
      </c>
      <c r="H1052" s="28">
        <v>1</v>
      </c>
      <c r="I1052" s="122">
        <f>Table223[[#This Row],[Qty]]-Table223[[#This Row],[Issue Qty]]</f>
        <v>0</v>
      </c>
      <c r="J1052" s="93">
        <v>6500</v>
      </c>
      <c r="K1052" s="10">
        <f t="shared" si="54"/>
        <v>6500</v>
      </c>
      <c r="L1052" s="82">
        <v>0.18</v>
      </c>
      <c r="M1052" s="9">
        <f t="shared" si="55"/>
        <v>1170</v>
      </c>
      <c r="N1052" s="72"/>
      <c r="O1052" s="72"/>
      <c r="P1052" s="5">
        <f t="shared" si="56"/>
        <v>7670</v>
      </c>
      <c r="Q1052" s="1" t="s">
        <v>2887</v>
      </c>
      <c r="R1052" s="3" t="s">
        <v>2816</v>
      </c>
      <c r="S1052" s="3" t="s">
        <v>1210</v>
      </c>
      <c r="T1052" s="3" t="s">
        <v>2989</v>
      </c>
      <c r="U1052" s="3">
        <v>39239090</v>
      </c>
      <c r="V1052" s="27"/>
      <c r="W1052" s="21" t="s">
        <v>3179</v>
      </c>
      <c r="X1052" s="28"/>
      <c r="Y1052" s="21">
        <v>1</v>
      </c>
      <c r="Z1052" s="12" t="s">
        <v>2992</v>
      </c>
      <c r="AA1052" s="120"/>
      <c r="AB1052" s="120"/>
      <c r="AC1052" s="120"/>
      <c r="AD1052" s="120"/>
    </row>
    <row r="1053" spans="1:30" x14ac:dyDescent="0.25">
      <c r="A1053" s="78">
        <v>46132</v>
      </c>
      <c r="B1053" s="78">
        <v>46136</v>
      </c>
      <c r="C1053" s="112" t="s">
        <v>1730</v>
      </c>
      <c r="D1053" s="3" t="s">
        <v>2981</v>
      </c>
      <c r="E1053" s="138" t="s">
        <v>2982</v>
      </c>
      <c r="F1053" s="3" t="s">
        <v>2982</v>
      </c>
      <c r="G1053" s="7">
        <v>1</v>
      </c>
      <c r="H1053" s="28">
        <v>1</v>
      </c>
      <c r="I1053" s="122">
        <f>Table223[[#This Row],[Qty]]-Table223[[#This Row],[Issue Qty]]</f>
        <v>0</v>
      </c>
      <c r="J1053" s="93">
        <v>2500</v>
      </c>
      <c r="K1053" s="10">
        <f t="shared" si="54"/>
        <v>2500</v>
      </c>
      <c r="L1053" s="82">
        <v>0.18</v>
      </c>
      <c r="M1053" s="9">
        <f t="shared" si="55"/>
        <v>450</v>
      </c>
      <c r="N1053" s="72">
        <v>1770</v>
      </c>
      <c r="O1053" s="72"/>
      <c r="P1053" s="5">
        <f t="shared" si="56"/>
        <v>4720</v>
      </c>
      <c r="Q1053" s="1" t="s">
        <v>2887</v>
      </c>
      <c r="R1053" s="3" t="s">
        <v>2816</v>
      </c>
      <c r="S1053" s="3" t="s">
        <v>1210</v>
      </c>
      <c r="T1053" s="3" t="s">
        <v>2989</v>
      </c>
      <c r="U1053" s="3">
        <v>39239090</v>
      </c>
      <c r="V1053" s="27"/>
      <c r="W1053" s="21" t="s">
        <v>3179</v>
      </c>
      <c r="X1053" s="28"/>
      <c r="Y1053" s="21">
        <v>1</v>
      </c>
      <c r="Z1053" s="12" t="s">
        <v>2992</v>
      </c>
      <c r="AA1053" s="120"/>
      <c r="AB1053" s="120"/>
      <c r="AC1053" s="120"/>
      <c r="AD1053" s="120"/>
    </row>
    <row r="1054" spans="1:30" x14ac:dyDescent="0.25">
      <c r="A1054" s="78">
        <v>46141</v>
      </c>
      <c r="B1054" s="78">
        <v>46141</v>
      </c>
      <c r="C1054" s="112" t="s">
        <v>54</v>
      </c>
      <c r="D1054" s="3" t="s">
        <v>2983</v>
      </c>
      <c r="E1054" s="3" t="s">
        <v>2984</v>
      </c>
      <c r="F1054" s="3" t="s">
        <v>2984</v>
      </c>
      <c r="G1054" s="7">
        <v>4</v>
      </c>
      <c r="H1054" s="28"/>
      <c r="I1054" s="122">
        <f>Table223[[#This Row],[Qty]]-Table223[[#This Row],[Issue Qty]]</f>
        <v>4</v>
      </c>
      <c r="J1054" s="93">
        <v>9500</v>
      </c>
      <c r="K1054" s="10">
        <f t="shared" si="54"/>
        <v>38000</v>
      </c>
      <c r="L1054" s="82">
        <v>0.18</v>
      </c>
      <c r="M1054" s="9">
        <f t="shared" si="55"/>
        <v>6840</v>
      </c>
      <c r="N1054" s="72"/>
      <c r="O1054" s="72"/>
      <c r="P1054" s="5">
        <f t="shared" si="56"/>
        <v>44840</v>
      </c>
      <c r="Q1054" s="1" t="s">
        <v>2887</v>
      </c>
      <c r="R1054" s="3" t="s">
        <v>2816</v>
      </c>
      <c r="S1054" s="3" t="s">
        <v>2990</v>
      </c>
      <c r="T1054" s="3">
        <v>9</v>
      </c>
      <c r="U1054" s="3"/>
      <c r="V1054" s="27"/>
      <c r="W1054" s="21" t="s">
        <v>2993</v>
      </c>
      <c r="X1054" s="7" t="s">
        <v>3183</v>
      </c>
      <c r="Y1054" s="21"/>
      <c r="Z1054" s="12"/>
      <c r="AA1054" s="120"/>
      <c r="AB1054" s="120"/>
      <c r="AC1054" s="120"/>
      <c r="AD1054" s="120"/>
    </row>
    <row r="1055" spans="1:30" x14ac:dyDescent="0.25">
      <c r="A1055" s="78">
        <v>46141</v>
      </c>
      <c r="B1055" s="78">
        <v>46141</v>
      </c>
      <c r="C1055" s="112" t="s">
        <v>54</v>
      </c>
      <c r="D1055" s="3" t="s">
        <v>2985</v>
      </c>
      <c r="E1055" s="3" t="s">
        <v>2986</v>
      </c>
      <c r="F1055" s="3" t="s">
        <v>2986</v>
      </c>
      <c r="G1055" s="7">
        <v>8</v>
      </c>
      <c r="H1055" s="7"/>
      <c r="I1055" s="161">
        <f>Table223[[#This Row],[Qty]]-Table223[[#This Row],[Issue Qty]]</f>
        <v>8</v>
      </c>
      <c r="J1055" s="93">
        <v>10500</v>
      </c>
      <c r="K1055" s="10">
        <f t="shared" si="54"/>
        <v>84000</v>
      </c>
      <c r="L1055" s="82">
        <v>0.18</v>
      </c>
      <c r="M1055" s="9">
        <f t="shared" si="55"/>
        <v>15120</v>
      </c>
      <c r="N1055" s="72"/>
      <c r="O1055" s="72"/>
      <c r="P1055" s="5">
        <f t="shared" si="56"/>
        <v>99120</v>
      </c>
      <c r="Q1055" s="1" t="s">
        <v>2887</v>
      </c>
      <c r="R1055" s="3" t="s">
        <v>2816</v>
      </c>
      <c r="S1055" s="3" t="s">
        <v>2990</v>
      </c>
      <c r="T1055" s="3">
        <v>9</v>
      </c>
      <c r="U1055" s="3"/>
      <c r="V1055" s="27"/>
      <c r="W1055" s="21" t="s">
        <v>2993</v>
      </c>
      <c r="X1055" s="21" t="s">
        <v>3183</v>
      </c>
      <c r="Y1055" s="21"/>
      <c r="Z1055" s="12" t="s">
        <v>3355</v>
      </c>
      <c r="AA1055" s="120"/>
      <c r="AB1055" s="120"/>
      <c r="AC1055" s="120"/>
      <c r="AD1055" s="120"/>
    </row>
    <row r="1056" spans="1:30" x14ac:dyDescent="0.25">
      <c r="A1056" s="78">
        <v>46135</v>
      </c>
      <c r="B1056" s="78">
        <v>46141</v>
      </c>
      <c r="C1056" s="112" t="s">
        <v>1683</v>
      </c>
      <c r="D1056" s="139" t="s">
        <v>2593</v>
      </c>
      <c r="E1056" s="140" t="s">
        <v>1497</v>
      </c>
      <c r="F1056" s="139" t="s">
        <v>1497</v>
      </c>
      <c r="G1056" s="7">
        <v>50</v>
      </c>
      <c r="H1056" s="7">
        <v>50</v>
      </c>
      <c r="I1056" s="161">
        <f>Table223[[#This Row],[Qty]]-Table223[[#This Row],[Issue Qty]]</f>
        <v>0</v>
      </c>
      <c r="J1056" s="93">
        <v>34.71</v>
      </c>
      <c r="K1056" s="10">
        <f t="shared" si="54"/>
        <v>1735.5</v>
      </c>
      <c r="L1056" s="82">
        <v>0</v>
      </c>
      <c r="M1056" s="9">
        <f t="shared" si="55"/>
        <v>0</v>
      </c>
      <c r="N1056" s="84"/>
      <c r="O1056" s="84"/>
      <c r="P1056" s="10">
        <f t="shared" si="56"/>
        <v>1735.5</v>
      </c>
      <c r="Q1056" s="1" t="s">
        <v>2887</v>
      </c>
      <c r="R1056" s="3" t="s">
        <v>2816</v>
      </c>
      <c r="S1056" s="139" t="s">
        <v>1503</v>
      </c>
      <c r="T1056" s="3"/>
      <c r="U1056" s="3"/>
      <c r="V1056" s="27"/>
      <c r="W1056" s="21" t="s">
        <v>3349</v>
      </c>
      <c r="X1056" s="8"/>
      <c r="Y1056" s="21">
        <v>20</v>
      </c>
      <c r="Z1056" s="12" t="s">
        <v>2887</v>
      </c>
      <c r="AA1056" s="120"/>
      <c r="AB1056" s="120"/>
      <c r="AC1056" s="120"/>
      <c r="AD1056" s="120"/>
    </row>
    <row r="1057" spans="1:30" x14ac:dyDescent="0.25">
      <c r="A1057" s="78">
        <v>46147</v>
      </c>
      <c r="B1057" s="78">
        <v>46147</v>
      </c>
      <c r="C1057" s="112" t="s">
        <v>1683</v>
      </c>
      <c r="D1057" s="4" t="s">
        <v>2371</v>
      </c>
      <c r="E1057" s="191" t="s">
        <v>1251</v>
      </c>
      <c r="F1057" s="140" t="s">
        <v>1251</v>
      </c>
      <c r="G1057" s="7">
        <v>3</v>
      </c>
      <c r="H1057" s="7">
        <v>3</v>
      </c>
      <c r="I1057" s="161">
        <f>Table223[[#This Row],[Qty]]-Table223[[#This Row],[Issue Qty]]</f>
        <v>0</v>
      </c>
      <c r="J1057" s="93">
        <v>900</v>
      </c>
      <c r="K1057" s="10">
        <f t="shared" si="54"/>
        <v>2700</v>
      </c>
      <c r="L1057" s="82">
        <v>0.18</v>
      </c>
      <c r="M1057" s="9">
        <f t="shared" si="55"/>
        <v>486</v>
      </c>
      <c r="N1057" s="84"/>
      <c r="O1057" s="84"/>
      <c r="P1057" s="10">
        <f t="shared" si="56"/>
        <v>3186</v>
      </c>
      <c r="Q1057" s="3" t="s">
        <v>1673</v>
      </c>
      <c r="R1057" s="3" t="s">
        <v>1673</v>
      </c>
      <c r="S1057" s="139" t="s">
        <v>896</v>
      </c>
      <c r="T1057" s="3" t="s">
        <v>3022</v>
      </c>
      <c r="U1057" s="141">
        <v>9987</v>
      </c>
      <c r="V1057" s="90"/>
      <c r="W1057" s="21" t="s">
        <v>3353</v>
      </c>
      <c r="X1057" s="94"/>
      <c r="Y1057" s="96">
        <v>3</v>
      </c>
      <c r="Z1057" s="97" t="s">
        <v>1673</v>
      </c>
      <c r="AA1057" s="120"/>
      <c r="AB1057" s="120"/>
      <c r="AC1057" s="120"/>
      <c r="AD1057" s="120"/>
    </row>
    <row r="1058" spans="1:30" x14ac:dyDescent="0.25">
      <c r="A1058" s="113">
        <v>46151</v>
      </c>
      <c r="B1058" s="113">
        <v>46148</v>
      </c>
      <c r="C1058" s="112" t="s">
        <v>1730</v>
      </c>
      <c r="D1058" s="128" t="s">
        <v>3267</v>
      </c>
      <c r="E1058" s="142" t="s">
        <v>3268</v>
      </c>
      <c r="F1058" s="142" t="s">
        <v>3268</v>
      </c>
      <c r="G1058" s="115">
        <v>2</v>
      </c>
      <c r="H1058" s="69"/>
      <c r="I1058" s="69">
        <f>Table223[[#This Row],[Qty]]-Table223[[#This Row],[Issue Qty]]</f>
        <v>2</v>
      </c>
      <c r="J1058" s="116">
        <v>295</v>
      </c>
      <c r="K1058" s="10">
        <f t="shared" si="54"/>
        <v>590</v>
      </c>
      <c r="L1058" s="82">
        <v>0.05</v>
      </c>
      <c r="M1058" s="9">
        <f t="shared" si="55"/>
        <v>29.5</v>
      </c>
      <c r="N1058" s="127"/>
      <c r="O1058" s="127"/>
      <c r="P1058" s="10">
        <f t="shared" si="56"/>
        <v>619.5</v>
      </c>
      <c r="Q1058" s="114" t="s">
        <v>1408</v>
      </c>
      <c r="R1058" s="114" t="s">
        <v>1408</v>
      </c>
      <c r="S1058" s="114" t="s">
        <v>444</v>
      </c>
      <c r="T1058" s="70" t="s">
        <v>3269</v>
      </c>
      <c r="U1058" s="114">
        <v>8807</v>
      </c>
      <c r="V1058" s="120"/>
      <c r="W1058" s="21" t="s">
        <v>420</v>
      </c>
      <c r="X1058" s="122"/>
      <c r="Y1058" s="121"/>
      <c r="Z1058" s="123"/>
      <c r="AA1058" s="120"/>
      <c r="AB1058" s="120"/>
      <c r="AC1058" s="120"/>
      <c r="AD1058" s="120"/>
    </row>
    <row r="1059" spans="1:30" x14ac:dyDescent="0.25">
      <c r="A1059" s="91">
        <v>46150</v>
      </c>
      <c r="B1059" s="91">
        <v>46152</v>
      </c>
      <c r="C1059" s="112" t="s">
        <v>1693</v>
      </c>
      <c r="D1059" s="89" t="s">
        <v>3033</v>
      </c>
      <c r="E1059" s="89" t="s">
        <v>3000</v>
      </c>
      <c r="F1059" s="89" t="s">
        <v>3000</v>
      </c>
      <c r="G1059" s="92">
        <v>1</v>
      </c>
      <c r="H1059" s="93"/>
      <c r="I1059" s="161">
        <f>Table223[[#This Row],[Qty]]-Table223[[#This Row],[Issue Qty]]</f>
        <v>1</v>
      </c>
      <c r="J1059" s="93">
        <v>54000</v>
      </c>
      <c r="K1059" s="10">
        <f t="shared" si="54"/>
        <v>54000</v>
      </c>
      <c r="L1059" s="82">
        <v>0.18</v>
      </c>
      <c r="M1059" s="9">
        <f t="shared" si="55"/>
        <v>9720</v>
      </c>
      <c r="N1059" s="95"/>
      <c r="O1059" s="95"/>
      <c r="P1059" s="10">
        <f t="shared" si="56"/>
        <v>63720</v>
      </c>
      <c r="Q1059" s="1" t="s">
        <v>2887</v>
      </c>
      <c r="R1059" s="3" t="s">
        <v>2816</v>
      </c>
      <c r="S1059" s="89" t="s">
        <v>1420</v>
      </c>
      <c r="T1059" s="89" t="s">
        <v>3005</v>
      </c>
      <c r="U1059" s="89"/>
      <c r="V1059" s="90"/>
      <c r="W1059" s="21" t="s">
        <v>268</v>
      </c>
      <c r="X1059" s="94" t="s">
        <v>3183</v>
      </c>
      <c r="Y1059" s="96"/>
      <c r="Z1059" s="97"/>
      <c r="AA1059" s="120"/>
      <c r="AB1059" s="120"/>
      <c r="AC1059" s="120"/>
      <c r="AD1059" s="120"/>
    </row>
    <row r="1060" spans="1:30" x14ac:dyDescent="0.25">
      <c r="A1060" s="91">
        <v>46147</v>
      </c>
      <c r="B1060" s="91">
        <v>46154</v>
      </c>
      <c r="C1060" s="112" t="s">
        <v>1730</v>
      </c>
      <c r="D1060" s="89" t="s">
        <v>3034</v>
      </c>
      <c r="E1060" s="89" t="s">
        <v>3001</v>
      </c>
      <c r="F1060" s="89" t="s">
        <v>3001</v>
      </c>
      <c r="G1060" s="92">
        <v>400</v>
      </c>
      <c r="H1060" s="7">
        <v>20</v>
      </c>
      <c r="I1060" s="161">
        <f>Table223[[#This Row],[Qty]]-Table223[[#This Row],[Issue Qty]]</f>
        <v>380</v>
      </c>
      <c r="J1060" s="93">
        <v>118.34</v>
      </c>
      <c r="K1060" s="10">
        <f t="shared" si="54"/>
        <v>47336</v>
      </c>
      <c r="L1060" s="82">
        <v>0</v>
      </c>
      <c r="M1060" s="9">
        <f t="shared" si="55"/>
        <v>0</v>
      </c>
      <c r="N1060" s="95"/>
      <c r="O1060" s="95"/>
      <c r="P1060" s="10">
        <f t="shared" si="56"/>
        <v>47336</v>
      </c>
      <c r="Q1060" s="1" t="s">
        <v>2887</v>
      </c>
      <c r="R1060" s="3" t="s">
        <v>2816</v>
      </c>
      <c r="S1060" s="89" t="s">
        <v>3006</v>
      </c>
      <c r="T1060" s="89">
        <v>90180764</v>
      </c>
      <c r="U1060" s="89"/>
      <c r="V1060" s="90"/>
      <c r="W1060" s="21" t="s">
        <v>3011</v>
      </c>
      <c r="X1060" s="94"/>
      <c r="Y1060" s="96"/>
      <c r="Z1060" s="97"/>
      <c r="AA1060" s="120"/>
      <c r="AB1060" s="120"/>
      <c r="AC1060" s="120"/>
      <c r="AD1060" s="120"/>
    </row>
    <row r="1061" spans="1:30" ht="30" x14ac:dyDescent="0.25">
      <c r="A1061" s="91">
        <v>46147</v>
      </c>
      <c r="B1061" s="91">
        <v>46147</v>
      </c>
      <c r="C1061" s="112" t="s">
        <v>54</v>
      </c>
      <c r="D1061" s="89" t="s">
        <v>3035</v>
      </c>
      <c r="E1061" s="164" t="s">
        <v>3140</v>
      </c>
      <c r="F1061" s="89" t="s">
        <v>3140</v>
      </c>
      <c r="G1061" s="92">
        <v>1</v>
      </c>
      <c r="H1061" s="92">
        <v>1</v>
      </c>
      <c r="I1061" s="115">
        <f>Table223[[#This Row],[Qty]]-Table223[[#This Row],[Issue Qty]]</f>
        <v>0</v>
      </c>
      <c r="J1061" s="93">
        <v>3350</v>
      </c>
      <c r="K1061" s="10">
        <f t="shared" si="54"/>
        <v>3350</v>
      </c>
      <c r="L1061" s="82">
        <v>0.05</v>
      </c>
      <c r="M1061" s="9">
        <f t="shared" si="55"/>
        <v>167.5</v>
      </c>
      <c r="N1061" s="95"/>
      <c r="O1061" s="95"/>
      <c r="P1061" s="10">
        <f t="shared" si="56"/>
        <v>3517.5</v>
      </c>
      <c r="Q1061" s="108" t="s">
        <v>583</v>
      </c>
      <c r="R1061" s="89" t="s">
        <v>583</v>
      </c>
      <c r="S1061" s="89" t="s">
        <v>444</v>
      </c>
      <c r="T1061" s="89" t="s">
        <v>3146</v>
      </c>
      <c r="U1061" s="89">
        <v>88073000</v>
      </c>
      <c r="V1061" s="90"/>
      <c r="W1061" s="21" t="s">
        <v>3190</v>
      </c>
      <c r="X1061" s="94"/>
      <c r="Y1061" s="96">
        <v>1</v>
      </c>
      <c r="Z1061" s="97" t="s">
        <v>3159</v>
      </c>
      <c r="AA1061" s="120"/>
      <c r="AB1061" s="120"/>
      <c r="AC1061" s="120"/>
      <c r="AD1061" s="120"/>
    </row>
    <row r="1062" spans="1:30" x14ac:dyDescent="0.25">
      <c r="A1062" s="91">
        <v>46153</v>
      </c>
      <c r="B1062" s="91">
        <v>46153</v>
      </c>
      <c r="C1062" s="112" t="s">
        <v>54</v>
      </c>
      <c r="D1062" s="89" t="s">
        <v>2983</v>
      </c>
      <c r="E1062" s="89" t="s">
        <v>2986</v>
      </c>
      <c r="F1062" s="89" t="s">
        <v>2986</v>
      </c>
      <c r="G1062" s="92">
        <v>1</v>
      </c>
      <c r="H1062" s="7">
        <v>0</v>
      </c>
      <c r="I1062" s="161">
        <f>Table223[[#This Row],[Qty]]-Table223[[#This Row],[Issue Qty]]</f>
        <v>1</v>
      </c>
      <c r="J1062" s="93">
        <v>10500</v>
      </c>
      <c r="K1062" s="10">
        <f t="shared" si="54"/>
        <v>10500</v>
      </c>
      <c r="L1062" s="82">
        <v>0.18</v>
      </c>
      <c r="M1062" s="9">
        <f t="shared" si="55"/>
        <v>1890</v>
      </c>
      <c r="N1062" s="95"/>
      <c r="O1062" s="95"/>
      <c r="P1062" s="10">
        <f t="shared" si="56"/>
        <v>12390</v>
      </c>
      <c r="Q1062" s="1" t="s">
        <v>2887</v>
      </c>
      <c r="R1062" s="3" t="s">
        <v>2816</v>
      </c>
      <c r="S1062" s="141" t="s">
        <v>2990</v>
      </c>
      <c r="T1062" s="89">
        <v>14</v>
      </c>
      <c r="U1062" s="89"/>
      <c r="V1062" s="90"/>
      <c r="W1062" s="21" t="s">
        <v>2993</v>
      </c>
      <c r="X1062" s="21" t="s">
        <v>3183</v>
      </c>
      <c r="Y1062" s="96"/>
      <c r="Z1062" s="12" t="s">
        <v>3355</v>
      </c>
      <c r="AA1062" s="120"/>
      <c r="AB1062" s="120"/>
      <c r="AC1062" s="120"/>
      <c r="AD1062" s="120"/>
    </row>
    <row r="1063" spans="1:30" x14ac:dyDescent="0.25">
      <c r="A1063" s="91">
        <v>46153</v>
      </c>
      <c r="B1063" s="91">
        <v>46153</v>
      </c>
      <c r="C1063" s="112" t="s">
        <v>54</v>
      </c>
      <c r="D1063" s="89" t="s">
        <v>2983</v>
      </c>
      <c r="E1063" s="89" t="s">
        <v>2986</v>
      </c>
      <c r="F1063" s="89" t="s">
        <v>2986</v>
      </c>
      <c r="G1063" s="143">
        <v>1</v>
      </c>
      <c r="H1063" s="143">
        <v>1</v>
      </c>
      <c r="I1063" s="161">
        <f>Table223[[#This Row],[Qty]]-Table223[[#This Row],[Issue Qty]]</f>
        <v>0</v>
      </c>
      <c r="J1063" s="93">
        <v>10500</v>
      </c>
      <c r="K1063" s="10">
        <f t="shared" si="54"/>
        <v>10500</v>
      </c>
      <c r="L1063" s="82">
        <v>0.18</v>
      </c>
      <c r="M1063" s="9">
        <f t="shared" si="55"/>
        <v>1890</v>
      </c>
      <c r="N1063" s="95"/>
      <c r="O1063" s="95"/>
      <c r="P1063" s="10">
        <f t="shared" si="56"/>
        <v>12390</v>
      </c>
      <c r="Q1063" s="1" t="s">
        <v>2887</v>
      </c>
      <c r="R1063" s="3" t="s">
        <v>2816</v>
      </c>
      <c r="S1063" s="141" t="s">
        <v>2990</v>
      </c>
      <c r="T1063" s="141">
        <v>13</v>
      </c>
      <c r="U1063" s="141"/>
      <c r="V1063" s="90"/>
      <c r="W1063" s="21" t="s">
        <v>2777</v>
      </c>
      <c r="X1063" s="94"/>
      <c r="Y1063" s="96">
        <v>1</v>
      </c>
      <c r="Z1063" s="97" t="s">
        <v>3246</v>
      </c>
      <c r="AA1063" s="120"/>
      <c r="AB1063" s="120"/>
      <c r="AC1063" s="120"/>
      <c r="AD1063" s="120"/>
    </row>
    <row r="1064" spans="1:30" x14ac:dyDescent="0.25">
      <c r="A1064" s="91">
        <v>46153</v>
      </c>
      <c r="B1064" s="91">
        <v>46153</v>
      </c>
      <c r="C1064" s="112" t="s">
        <v>1730</v>
      </c>
      <c r="D1064" s="85" t="s">
        <v>3036</v>
      </c>
      <c r="E1064" s="172" t="s">
        <v>3002</v>
      </c>
      <c r="F1064" s="85" t="s">
        <v>3002</v>
      </c>
      <c r="G1064" s="73">
        <v>4</v>
      </c>
      <c r="H1064" s="73">
        <v>4</v>
      </c>
      <c r="I1064" s="73">
        <f>Table223[[#This Row],[Qty]]-Table223[[#This Row],[Issue Qty]]</f>
        <v>0</v>
      </c>
      <c r="J1064" s="67">
        <v>1200</v>
      </c>
      <c r="K1064" s="10">
        <f t="shared" si="54"/>
        <v>4800</v>
      </c>
      <c r="L1064" s="82">
        <v>0.18</v>
      </c>
      <c r="M1064" s="9">
        <f t="shared" si="55"/>
        <v>864</v>
      </c>
      <c r="N1064" s="101"/>
      <c r="O1064" s="101"/>
      <c r="P1064" s="10">
        <f t="shared" si="56"/>
        <v>5664</v>
      </c>
      <c r="Q1064" s="1" t="s">
        <v>2887</v>
      </c>
      <c r="R1064" s="3" t="s">
        <v>2816</v>
      </c>
      <c r="S1064" s="141" t="s">
        <v>2990</v>
      </c>
      <c r="T1064" s="141">
        <v>13</v>
      </c>
      <c r="U1064" s="89"/>
      <c r="V1064" s="90"/>
      <c r="W1064" s="21" t="s">
        <v>3349</v>
      </c>
      <c r="X1064" s="94"/>
      <c r="Y1064" s="96">
        <v>4</v>
      </c>
      <c r="Z1064" s="97" t="s">
        <v>2887</v>
      </c>
      <c r="AA1064" s="120"/>
      <c r="AB1064" s="120"/>
      <c r="AC1064" s="120"/>
      <c r="AD1064" s="120"/>
    </row>
    <row r="1065" spans="1:30" x14ac:dyDescent="0.25">
      <c r="A1065" s="91">
        <v>46153</v>
      </c>
      <c r="B1065" s="91">
        <v>46153</v>
      </c>
      <c r="C1065" s="112" t="s">
        <v>1730</v>
      </c>
      <c r="D1065" s="85" t="s">
        <v>2985</v>
      </c>
      <c r="E1065" s="172" t="s">
        <v>3003</v>
      </c>
      <c r="F1065" s="85" t="s">
        <v>3003</v>
      </c>
      <c r="G1065" s="73">
        <v>4</v>
      </c>
      <c r="H1065" s="73">
        <v>4</v>
      </c>
      <c r="I1065" s="73">
        <f>Table223[[#This Row],[Qty]]-Table223[[#This Row],[Issue Qty]]</f>
        <v>0</v>
      </c>
      <c r="J1065" s="67">
        <v>1200</v>
      </c>
      <c r="K1065" s="10">
        <f t="shared" si="54"/>
        <v>4800</v>
      </c>
      <c r="L1065" s="82">
        <v>0.18</v>
      </c>
      <c r="M1065" s="9">
        <f t="shared" si="55"/>
        <v>864</v>
      </c>
      <c r="N1065" s="101"/>
      <c r="O1065" s="101"/>
      <c r="P1065" s="10">
        <f t="shared" si="56"/>
        <v>5664</v>
      </c>
      <c r="Q1065" s="1" t="s">
        <v>2887</v>
      </c>
      <c r="R1065" s="3" t="s">
        <v>2816</v>
      </c>
      <c r="S1065" s="141" t="s">
        <v>2990</v>
      </c>
      <c r="T1065" s="141">
        <v>13</v>
      </c>
      <c r="U1065" s="89"/>
      <c r="V1065" s="90"/>
      <c r="W1065" s="21" t="s">
        <v>3349</v>
      </c>
      <c r="X1065" s="94"/>
      <c r="Y1065" s="96">
        <v>4</v>
      </c>
      <c r="Z1065" s="97" t="s">
        <v>2887</v>
      </c>
      <c r="AA1065" s="120"/>
      <c r="AB1065" s="120"/>
      <c r="AC1065" s="120"/>
      <c r="AD1065" s="120"/>
    </row>
    <row r="1066" spans="1:30" ht="30" x14ac:dyDescent="0.25">
      <c r="A1066" s="91">
        <v>46155</v>
      </c>
      <c r="B1066" s="91">
        <v>46155</v>
      </c>
      <c r="C1066" s="112" t="s">
        <v>54</v>
      </c>
      <c r="D1066" s="85" t="s">
        <v>2616</v>
      </c>
      <c r="E1066" s="184" t="s">
        <v>1518</v>
      </c>
      <c r="F1066" s="1" t="s">
        <v>1518</v>
      </c>
      <c r="G1066" s="73">
        <v>12</v>
      </c>
      <c r="H1066" s="73">
        <v>10</v>
      </c>
      <c r="I1066" s="73">
        <f>Table223[[#This Row],[Qty]]-Table223[[#This Row],[Issue Qty]]</f>
        <v>2</v>
      </c>
      <c r="J1066" s="67">
        <v>4600</v>
      </c>
      <c r="K1066" s="10">
        <f t="shared" si="54"/>
        <v>55200</v>
      </c>
      <c r="L1066" s="82">
        <v>0.18</v>
      </c>
      <c r="M1066" s="9">
        <f t="shared" si="55"/>
        <v>9936</v>
      </c>
      <c r="N1066" s="101"/>
      <c r="O1066" s="101"/>
      <c r="P1066" s="10">
        <f t="shared" si="56"/>
        <v>65136</v>
      </c>
      <c r="Q1066" s="1" t="s">
        <v>2887</v>
      </c>
      <c r="R1066" s="3" t="s">
        <v>2816</v>
      </c>
      <c r="S1066" s="105" t="s">
        <v>1519</v>
      </c>
      <c r="T1066" s="106" t="s">
        <v>3007</v>
      </c>
      <c r="U1066" s="89"/>
      <c r="V1066" s="90"/>
      <c r="W1066" s="21" t="s">
        <v>3351</v>
      </c>
      <c r="X1066" s="96"/>
      <c r="Y1066" s="96">
        <v>10</v>
      </c>
      <c r="Z1066" s="22" t="s">
        <v>3352</v>
      </c>
      <c r="AA1066" s="120"/>
      <c r="AB1066" s="120"/>
      <c r="AC1066" s="120"/>
      <c r="AD1066" s="120"/>
    </row>
    <row r="1067" spans="1:30" x14ac:dyDescent="0.25">
      <c r="A1067" s="91">
        <v>46157</v>
      </c>
      <c r="B1067" s="91">
        <v>46157</v>
      </c>
      <c r="C1067" s="23" t="s">
        <v>54</v>
      </c>
      <c r="D1067" s="186" t="s">
        <v>2603</v>
      </c>
      <c r="E1067" s="186" t="s">
        <v>3174</v>
      </c>
      <c r="F1067" s="183" t="s">
        <v>3169</v>
      </c>
      <c r="G1067" s="73">
        <v>2</v>
      </c>
      <c r="H1067" s="73">
        <v>2</v>
      </c>
      <c r="I1067" s="73">
        <f>Table223[[#This Row],[Qty]]-Table223[[#This Row],[Issue Qty]]</f>
        <v>0</v>
      </c>
      <c r="J1067" s="67">
        <v>3302.8</v>
      </c>
      <c r="K1067" s="10">
        <f t="shared" si="54"/>
        <v>6605.6</v>
      </c>
      <c r="L1067" s="82">
        <v>0.18</v>
      </c>
      <c r="M1067" s="9">
        <f t="shared" si="55"/>
        <v>1189.008</v>
      </c>
      <c r="N1067" s="101"/>
      <c r="O1067" s="101"/>
      <c r="P1067" s="10">
        <f t="shared" si="56"/>
        <v>7794.6080000000002</v>
      </c>
      <c r="Q1067" s="1" t="s">
        <v>2887</v>
      </c>
      <c r="R1067" s="3" t="s">
        <v>2816</v>
      </c>
      <c r="S1067" s="85" t="s">
        <v>358</v>
      </c>
      <c r="T1067" s="141" t="s">
        <v>3008</v>
      </c>
      <c r="U1067" s="141">
        <v>39269099</v>
      </c>
      <c r="V1067" s="90"/>
      <c r="W1067" s="21" t="s">
        <v>3349</v>
      </c>
      <c r="X1067" s="21"/>
      <c r="Y1067" s="96">
        <v>2</v>
      </c>
      <c r="Z1067" s="97" t="s">
        <v>3398</v>
      </c>
      <c r="AA1067" s="120"/>
      <c r="AB1067" s="120"/>
      <c r="AC1067" s="120"/>
      <c r="AD1067" s="120"/>
    </row>
    <row r="1068" spans="1:30" x14ac:dyDescent="0.25">
      <c r="A1068" s="91">
        <v>46157</v>
      </c>
      <c r="B1068" s="91">
        <v>46157</v>
      </c>
      <c r="C1068" s="23" t="s">
        <v>54</v>
      </c>
      <c r="D1068" s="186" t="s">
        <v>2605</v>
      </c>
      <c r="E1068" s="186" t="s">
        <v>1508</v>
      </c>
      <c r="F1068" s="183" t="s">
        <v>3170</v>
      </c>
      <c r="G1068" s="73">
        <v>10</v>
      </c>
      <c r="H1068" s="73">
        <v>8</v>
      </c>
      <c r="I1068" s="73">
        <f>Table223[[#This Row],[Qty]]-Table223[[#This Row],[Issue Qty]]</f>
        <v>2</v>
      </c>
      <c r="J1068" s="67">
        <v>165.6</v>
      </c>
      <c r="K1068" s="10">
        <f t="shared" si="54"/>
        <v>1656</v>
      </c>
      <c r="L1068" s="82">
        <v>0.18</v>
      </c>
      <c r="M1068" s="9">
        <f t="shared" si="55"/>
        <v>298.08</v>
      </c>
      <c r="N1068" s="101"/>
      <c r="O1068" s="101"/>
      <c r="P1068" s="10">
        <f t="shared" si="56"/>
        <v>1954.08</v>
      </c>
      <c r="Q1068" s="1" t="s">
        <v>2887</v>
      </c>
      <c r="R1068" s="3" t="s">
        <v>2816</v>
      </c>
      <c r="S1068" s="85" t="s">
        <v>358</v>
      </c>
      <c r="T1068" s="141" t="s">
        <v>3008</v>
      </c>
      <c r="U1068" s="141">
        <v>39269099</v>
      </c>
      <c r="V1068" s="90"/>
      <c r="W1068" s="21" t="s">
        <v>2808</v>
      </c>
      <c r="X1068" s="21" t="s">
        <v>3161</v>
      </c>
      <c r="Y1068" s="96">
        <v>2</v>
      </c>
      <c r="Z1068" s="97" t="s">
        <v>3160</v>
      </c>
      <c r="AA1068" s="120"/>
      <c r="AB1068" s="120"/>
      <c r="AC1068" s="120"/>
      <c r="AD1068" s="120"/>
    </row>
    <row r="1069" spans="1:30" x14ac:dyDescent="0.25">
      <c r="A1069" s="91">
        <v>46157</v>
      </c>
      <c r="B1069" s="91">
        <v>46157</v>
      </c>
      <c r="C1069" s="23" t="s">
        <v>54</v>
      </c>
      <c r="D1069" s="186" t="s">
        <v>3037</v>
      </c>
      <c r="E1069" s="186" t="s">
        <v>3170</v>
      </c>
      <c r="F1069" s="70" t="s">
        <v>3171</v>
      </c>
      <c r="G1069" s="73">
        <v>30</v>
      </c>
      <c r="H1069" s="73">
        <f>30-18</f>
        <v>12</v>
      </c>
      <c r="I1069" s="73">
        <f>Table223[[#This Row],[Qty]]-Table223[[#This Row],[Issue Qty]]</f>
        <v>18</v>
      </c>
      <c r="J1069" s="67">
        <v>115</v>
      </c>
      <c r="K1069" s="10">
        <f t="shared" si="54"/>
        <v>3450</v>
      </c>
      <c r="L1069" s="82">
        <v>0.18</v>
      </c>
      <c r="M1069" s="9">
        <f t="shared" si="55"/>
        <v>621</v>
      </c>
      <c r="N1069" s="101"/>
      <c r="O1069" s="101"/>
      <c r="P1069" s="10">
        <f t="shared" si="56"/>
        <v>4071</v>
      </c>
      <c r="Q1069" s="1" t="s">
        <v>2887</v>
      </c>
      <c r="R1069" s="3" t="s">
        <v>2816</v>
      </c>
      <c r="S1069" s="85" t="s">
        <v>358</v>
      </c>
      <c r="T1069" s="141" t="s">
        <v>3008</v>
      </c>
      <c r="U1069" s="141">
        <v>39269099</v>
      </c>
      <c r="V1069" s="90"/>
      <c r="W1069" s="21" t="s">
        <v>3165</v>
      </c>
      <c r="X1069" s="21" t="s">
        <v>3161</v>
      </c>
      <c r="Y1069" s="96">
        <v>12</v>
      </c>
      <c r="Z1069" s="97" t="s">
        <v>2887</v>
      </c>
      <c r="AA1069" s="120"/>
      <c r="AB1069" s="120"/>
      <c r="AC1069" s="120"/>
      <c r="AD1069" s="120"/>
    </row>
    <row r="1070" spans="1:30" x14ac:dyDescent="0.25">
      <c r="A1070" s="91">
        <v>46157</v>
      </c>
      <c r="B1070" s="91">
        <v>46157</v>
      </c>
      <c r="C1070" s="23" t="s">
        <v>54</v>
      </c>
      <c r="D1070" s="186" t="s">
        <v>2604</v>
      </c>
      <c r="E1070" s="186" t="s">
        <v>1507</v>
      </c>
      <c r="F1070" s="183" t="s">
        <v>3172</v>
      </c>
      <c r="G1070" s="73">
        <v>2</v>
      </c>
      <c r="H1070" s="73"/>
      <c r="I1070" s="73">
        <f>Table223[[#This Row],[Qty]]-Table223[[#This Row],[Issue Qty]]</f>
        <v>2</v>
      </c>
      <c r="J1070" s="67">
        <v>4402.2</v>
      </c>
      <c r="K1070" s="10">
        <f t="shared" si="54"/>
        <v>8804.4</v>
      </c>
      <c r="L1070" s="82">
        <v>0.18</v>
      </c>
      <c r="M1070" s="9">
        <f t="shared" si="55"/>
        <v>1584.7919999999999</v>
      </c>
      <c r="N1070" s="101"/>
      <c r="O1070" s="101"/>
      <c r="P1070" s="10">
        <f t="shared" si="56"/>
        <v>10389.191999999999</v>
      </c>
      <c r="Q1070" s="1" t="s">
        <v>2887</v>
      </c>
      <c r="R1070" s="3" t="s">
        <v>2816</v>
      </c>
      <c r="S1070" s="85" t="s">
        <v>358</v>
      </c>
      <c r="T1070" s="141" t="s">
        <v>3008</v>
      </c>
      <c r="U1070" s="141">
        <v>39269099</v>
      </c>
      <c r="V1070" s="90"/>
      <c r="W1070" s="21" t="s">
        <v>2808</v>
      </c>
      <c r="X1070" s="21" t="s">
        <v>3161</v>
      </c>
      <c r="Y1070" s="96"/>
      <c r="Z1070" s="97"/>
      <c r="AA1070" s="120"/>
      <c r="AB1070" s="120"/>
      <c r="AC1070" s="120"/>
      <c r="AD1070" s="120"/>
    </row>
    <row r="1071" spans="1:30" x14ac:dyDescent="0.25">
      <c r="A1071" s="91">
        <v>46157</v>
      </c>
      <c r="B1071" s="91">
        <v>46157</v>
      </c>
      <c r="C1071" s="23" t="s">
        <v>54</v>
      </c>
      <c r="D1071" s="186" t="s">
        <v>3038</v>
      </c>
      <c r="E1071" s="186" t="s">
        <v>3172</v>
      </c>
      <c r="F1071" s="70" t="s">
        <v>3173</v>
      </c>
      <c r="G1071" s="73">
        <v>3</v>
      </c>
      <c r="H1071" s="73">
        <v>3</v>
      </c>
      <c r="I1071" s="73">
        <f>Table223[[#This Row],[Qty]]-Table223[[#This Row],[Issue Qty]]</f>
        <v>0</v>
      </c>
      <c r="J1071" s="67">
        <v>4825.3999999999996</v>
      </c>
      <c r="K1071" s="10">
        <f t="shared" si="54"/>
        <v>14476.199999999999</v>
      </c>
      <c r="L1071" s="82">
        <v>0.18</v>
      </c>
      <c r="M1071" s="9">
        <f t="shared" si="55"/>
        <v>2605.7159999999999</v>
      </c>
      <c r="N1071" s="101"/>
      <c r="O1071" s="101"/>
      <c r="P1071" s="10">
        <f t="shared" si="56"/>
        <v>17081.915999999997</v>
      </c>
      <c r="Q1071" s="1" t="s">
        <v>2887</v>
      </c>
      <c r="R1071" s="3" t="s">
        <v>2816</v>
      </c>
      <c r="S1071" s="85" t="s">
        <v>358</v>
      </c>
      <c r="T1071" s="141" t="s">
        <v>3008</v>
      </c>
      <c r="U1071" s="141">
        <v>39269099</v>
      </c>
      <c r="V1071" s="90"/>
      <c r="W1071" s="21" t="s">
        <v>3349</v>
      </c>
      <c r="X1071" s="21"/>
      <c r="Y1071" s="96">
        <v>3</v>
      </c>
      <c r="Z1071" s="97" t="s">
        <v>2887</v>
      </c>
      <c r="AA1071" s="120"/>
      <c r="AB1071" s="120"/>
      <c r="AC1071" s="120"/>
      <c r="AD1071" s="120"/>
    </row>
    <row r="1072" spans="1:30" x14ac:dyDescent="0.25">
      <c r="A1072" s="91">
        <v>46157</v>
      </c>
      <c r="B1072" s="91">
        <v>46157</v>
      </c>
      <c r="C1072" s="112" t="s">
        <v>1730</v>
      </c>
      <c r="D1072" s="105" t="s">
        <v>3039</v>
      </c>
      <c r="E1072" s="185" t="s">
        <v>3186</v>
      </c>
      <c r="F1072" s="85" t="s">
        <v>3186</v>
      </c>
      <c r="G1072" s="73">
        <v>450</v>
      </c>
      <c r="H1072" s="73">
        <v>100</v>
      </c>
      <c r="I1072" s="73">
        <f>Table223[[#This Row],[Qty]]-Table223[[#This Row],[Issue Qty]]</f>
        <v>350</v>
      </c>
      <c r="J1072" s="67">
        <v>3.8</v>
      </c>
      <c r="K1072" s="10">
        <f t="shared" si="54"/>
        <v>1710</v>
      </c>
      <c r="L1072" s="82">
        <v>0.18</v>
      </c>
      <c r="M1072" s="9">
        <f t="shared" si="55"/>
        <v>307.8</v>
      </c>
      <c r="N1072" s="101"/>
      <c r="O1072" s="101"/>
      <c r="P1072" s="10">
        <f t="shared" si="56"/>
        <v>2017.8</v>
      </c>
      <c r="Q1072" s="1" t="s">
        <v>2887</v>
      </c>
      <c r="R1072" s="3" t="s">
        <v>2816</v>
      </c>
      <c r="S1072" s="85" t="s">
        <v>3009</v>
      </c>
      <c r="T1072" s="89" t="s">
        <v>3010</v>
      </c>
      <c r="U1072" s="89">
        <v>7419</v>
      </c>
      <c r="V1072" s="90"/>
      <c r="W1072" s="21" t="s">
        <v>3188</v>
      </c>
      <c r="X1072" s="21" t="s">
        <v>3189</v>
      </c>
      <c r="Y1072" s="96"/>
      <c r="Z1072" s="97"/>
      <c r="AA1072" s="120"/>
      <c r="AB1072" s="120"/>
      <c r="AC1072" s="120"/>
      <c r="AD1072" s="120"/>
    </row>
    <row r="1073" spans="1:30" x14ac:dyDescent="0.25">
      <c r="A1073" s="91">
        <v>46157</v>
      </c>
      <c r="B1073" s="91">
        <v>46157</v>
      </c>
      <c r="C1073" s="112" t="s">
        <v>1730</v>
      </c>
      <c r="D1073" s="85" t="s">
        <v>3040</v>
      </c>
      <c r="E1073" s="151" t="s">
        <v>3187</v>
      </c>
      <c r="F1073" s="85" t="s">
        <v>3187</v>
      </c>
      <c r="G1073" s="73">
        <v>1000</v>
      </c>
      <c r="H1073" s="73">
        <v>50</v>
      </c>
      <c r="I1073" s="73">
        <f>Table223[[#This Row],[Qty]]-Table223[[#This Row],[Issue Qty]]</f>
        <v>950</v>
      </c>
      <c r="J1073" s="67">
        <v>3.8</v>
      </c>
      <c r="K1073" s="10">
        <f t="shared" si="54"/>
        <v>3800</v>
      </c>
      <c r="L1073" s="82">
        <v>0.18</v>
      </c>
      <c r="M1073" s="9">
        <f t="shared" si="55"/>
        <v>684</v>
      </c>
      <c r="N1073" s="144"/>
      <c r="O1073" s="101"/>
      <c r="P1073" s="10">
        <f t="shared" si="56"/>
        <v>4484</v>
      </c>
      <c r="Q1073" s="1" t="s">
        <v>2887</v>
      </c>
      <c r="R1073" s="3" t="s">
        <v>2816</v>
      </c>
      <c r="S1073" s="85" t="s">
        <v>3009</v>
      </c>
      <c r="T1073" s="89" t="s">
        <v>3010</v>
      </c>
      <c r="U1073" s="89">
        <v>7419</v>
      </c>
      <c r="V1073" s="90"/>
      <c r="W1073" s="21" t="s">
        <v>3188</v>
      </c>
      <c r="X1073" s="21" t="s">
        <v>3189</v>
      </c>
      <c r="Y1073" s="96"/>
      <c r="Z1073" s="97"/>
      <c r="AA1073" s="120"/>
      <c r="AB1073" s="120"/>
      <c r="AC1073" s="120"/>
      <c r="AD1073" s="120"/>
    </row>
    <row r="1074" spans="1:30" x14ac:dyDescent="0.25">
      <c r="A1074" s="98">
        <v>46158</v>
      </c>
      <c r="B1074" s="98">
        <v>46158</v>
      </c>
      <c r="C1074" s="112" t="s">
        <v>54</v>
      </c>
      <c r="D1074" s="85" t="s">
        <v>2604</v>
      </c>
      <c r="E1074" s="89" t="s">
        <v>1507</v>
      </c>
      <c r="F1074" s="89" t="s">
        <v>1507</v>
      </c>
      <c r="G1074" s="73">
        <v>1</v>
      </c>
      <c r="H1074" s="73">
        <v>1</v>
      </c>
      <c r="I1074" s="73">
        <f>Table223[[#This Row],[Qty]]-Table223[[#This Row],[Issue Qty]]</f>
        <v>0</v>
      </c>
      <c r="J1074" s="67">
        <v>4935</v>
      </c>
      <c r="K1074" s="10">
        <f t="shared" si="54"/>
        <v>4935</v>
      </c>
      <c r="L1074" s="82">
        <v>0.18</v>
      </c>
      <c r="M1074" s="9">
        <f t="shared" si="55"/>
        <v>888.3</v>
      </c>
      <c r="N1074" s="144"/>
      <c r="O1074" s="101"/>
      <c r="P1074" s="10">
        <f t="shared" si="56"/>
        <v>5823.3</v>
      </c>
      <c r="Q1074" s="1" t="s">
        <v>2887</v>
      </c>
      <c r="R1074" s="3" t="s">
        <v>2816</v>
      </c>
      <c r="S1074" s="85" t="s">
        <v>3020</v>
      </c>
      <c r="T1074" s="89" t="s">
        <v>3021</v>
      </c>
      <c r="U1074" s="89">
        <v>39264019</v>
      </c>
      <c r="V1074" s="90"/>
      <c r="W1074" s="21" t="s">
        <v>2808</v>
      </c>
      <c r="X1074" s="21" t="s">
        <v>3161</v>
      </c>
      <c r="Y1074" s="96">
        <v>1</v>
      </c>
      <c r="Z1074" s="12" t="s">
        <v>2887</v>
      </c>
      <c r="AA1074" s="120"/>
      <c r="AB1074" s="120"/>
      <c r="AC1074" s="120"/>
      <c r="AD1074" s="120"/>
    </row>
    <row r="1075" spans="1:30" x14ac:dyDescent="0.25">
      <c r="A1075" s="98">
        <v>46158</v>
      </c>
      <c r="B1075" s="98">
        <v>46158</v>
      </c>
      <c r="C1075" s="112" t="s">
        <v>54</v>
      </c>
      <c r="D1075" s="85" t="s">
        <v>2603</v>
      </c>
      <c r="E1075" s="89" t="s">
        <v>1506</v>
      </c>
      <c r="F1075" s="89" t="s">
        <v>1506</v>
      </c>
      <c r="G1075" s="73">
        <v>1</v>
      </c>
      <c r="H1075" s="73"/>
      <c r="I1075" s="73">
        <f>Table223[[#This Row],[Qty]]-Table223[[#This Row],[Issue Qty]]</f>
        <v>1</v>
      </c>
      <c r="J1075" s="67">
        <v>3572</v>
      </c>
      <c r="K1075" s="10">
        <f t="shared" si="54"/>
        <v>3572</v>
      </c>
      <c r="L1075" s="82">
        <v>0.18</v>
      </c>
      <c r="M1075" s="9">
        <f t="shared" si="55"/>
        <v>642.95999999999992</v>
      </c>
      <c r="N1075" s="144">
        <v>350</v>
      </c>
      <c r="O1075" s="101"/>
      <c r="P1075" s="10">
        <f t="shared" si="56"/>
        <v>4564.96</v>
      </c>
      <c r="Q1075" s="1" t="s">
        <v>2887</v>
      </c>
      <c r="R1075" s="3" t="s">
        <v>2816</v>
      </c>
      <c r="S1075" s="85" t="s">
        <v>3020</v>
      </c>
      <c r="T1075" s="89" t="s">
        <v>3021</v>
      </c>
      <c r="U1075" s="89">
        <v>39264019</v>
      </c>
      <c r="V1075" s="90"/>
      <c r="W1075" s="21" t="s">
        <v>3165</v>
      </c>
      <c r="X1075" s="21"/>
      <c r="Y1075" s="96"/>
      <c r="Z1075" s="97"/>
      <c r="AA1075" s="120"/>
      <c r="AB1075" s="120"/>
      <c r="AC1075" s="120"/>
      <c r="AD1075" s="120"/>
    </row>
    <row r="1076" spans="1:30" x14ac:dyDescent="0.25">
      <c r="A1076" s="98">
        <v>46158</v>
      </c>
      <c r="B1076" s="98">
        <v>46158</v>
      </c>
      <c r="C1076" s="112" t="s">
        <v>54</v>
      </c>
      <c r="D1076" s="89" t="s">
        <v>2983</v>
      </c>
      <c r="E1076" s="89" t="s">
        <v>2986</v>
      </c>
      <c r="F1076" s="89" t="s">
        <v>2986</v>
      </c>
      <c r="G1076" s="73">
        <v>3</v>
      </c>
      <c r="H1076" s="73">
        <v>3</v>
      </c>
      <c r="I1076" s="73">
        <f>Table223[[#This Row],[Qty]]-Table223[[#This Row],[Issue Qty]]</f>
        <v>0</v>
      </c>
      <c r="J1076" s="67">
        <v>10500</v>
      </c>
      <c r="K1076" s="10">
        <f t="shared" si="54"/>
        <v>31500</v>
      </c>
      <c r="L1076" s="82">
        <v>0.18</v>
      </c>
      <c r="M1076" s="9">
        <f t="shared" si="55"/>
        <v>5670</v>
      </c>
      <c r="N1076" s="144"/>
      <c r="O1076" s="101"/>
      <c r="P1076" s="10">
        <f t="shared" si="56"/>
        <v>37170</v>
      </c>
      <c r="Q1076" s="1" t="s">
        <v>2887</v>
      </c>
      <c r="R1076" s="3" t="s">
        <v>2816</v>
      </c>
      <c r="S1076" s="85" t="s">
        <v>2990</v>
      </c>
      <c r="T1076" s="89">
        <v>18</v>
      </c>
      <c r="U1076" s="89"/>
      <c r="V1076" s="90"/>
      <c r="W1076" s="21" t="s">
        <v>2777</v>
      </c>
      <c r="X1076" s="21"/>
      <c r="Y1076" s="96">
        <v>3</v>
      </c>
      <c r="Z1076" s="97" t="s">
        <v>3246</v>
      </c>
      <c r="AA1076" s="120"/>
      <c r="AB1076" s="120"/>
      <c r="AC1076" s="120"/>
      <c r="AD1076" s="120"/>
    </row>
    <row r="1077" spans="1:30" x14ac:dyDescent="0.25">
      <c r="A1077" s="91">
        <v>46158</v>
      </c>
      <c r="B1077" s="91">
        <v>46160</v>
      </c>
      <c r="C1077" s="112" t="s">
        <v>1693</v>
      </c>
      <c r="D1077" s="85" t="s">
        <v>2557</v>
      </c>
      <c r="E1077" s="148" t="s">
        <v>1466</v>
      </c>
      <c r="F1077" s="89" t="s">
        <v>1466</v>
      </c>
      <c r="G1077" s="92">
        <v>15</v>
      </c>
      <c r="H1077" s="115">
        <v>12</v>
      </c>
      <c r="I1077" s="115">
        <f>Table223[[#This Row],[Qty]]-Table223[[#This Row],[Issue Qty]]</f>
        <v>3</v>
      </c>
      <c r="J1077" s="93">
        <v>40500</v>
      </c>
      <c r="K1077" s="10">
        <f t="shared" si="54"/>
        <v>607500</v>
      </c>
      <c r="L1077" s="82">
        <v>0.18</v>
      </c>
      <c r="M1077" s="9">
        <f t="shared" si="55"/>
        <v>109350</v>
      </c>
      <c r="N1077" s="144"/>
      <c r="O1077" s="95"/>
      <c r="P1077" s="10">
        <f t="shared" si="56"/>
        <v>716850</v>
      </c>
      <c r="Q1077" s="3" t="s">
        <v>3245</v>
      </c>
      <c r="R1077" s="3" t="s">
        <v>3245</v>
      </c>
      <c r="S1077" s="89" t="s">
        <v>3012</v>
      </c>
      <c r="T1077" s="89" t="s">
        <v>3013</v>
      </c>
      <c r="U1077" s="89">
        <v>90142000</v>
      </c>
      <c r="V1077" s="90"/>
      <c r="W1077" s="21" t="s">
        <v>3349</v>
      </c>
      <c r="X1077" s="21"/>
      <c r="Y1077" s="96">
        <f>2+10</f>
        <v>12</v>
      </c>
      <c r="Z1077" s="97" t="s">
        <v>3374</v>
      </c>
      <c r="AA1077" s="120"/>
      <c r="AB1077" s="120"/>
      <c r="AC1077" s="120"/>
      <c r="AD1077" s="120"/>
    </row>
    <row r="1078" spans="1:30" ht="30" x14ac:dyDescent="0.25">
      <c r="A1078" s="91">
        <v>46158</v>
      </c>
      <c r="B1078" s="91">
        <v>46161</v>
      </c>
      <c r="C1078" s="112" t="s">
        <v>1693</v>
      </c>
      <c r="D1078" s="85" t="s">
        <v>3026</v>
      </c>
      <c r="E1078" s="176" t="s">
        <v>3023</v>
      </c>
      <c r="F1078" s="89" t="s">
        <v>3023</v>
      </c>
      <c r="G1078" s="92">
        <v>10</v>
      </c>
      <c r="H1078" s="73">
        <v>10</v>
      </c>
      <c r="I1078" s="73">
        <f>Table223[[#This Row],[Qty]]-Table223[[#This Row],[Issue Qty]]</f>
        <v>0</v>
      </c>
      <c r="J1078" s="93">
        <v>422.03</v>
      </c>
      <c r="K1078" s="10">
        <f t="shared" si="54"/>
        <v>4220.2999999999993</v>
      </c>
      <c r="L1078" s="82">
        <v>0.18</v>
      </c>
      <c r="M1078" s="9">
        <f t="shared" si="55"/>
        <v>759.65399999999988</v>
      </c>
      <c r="N1078" s="144"/>
      <c r="O1078" s="95"/>
      <c r="P1078" s="10">
        <f t="shared" si="56"/>
        <v>4979.9539999999988</v>
      </c>
      <c r="Q1078" s="3" t="s">
        <v>3242</v>
      </c>
      <c r="R1078" s="3" t="s">
        <v>3242</v>
      </c>
      <c r="S1078" s="89" t="s">
        <v>968</v>
      </c>
      <c r="T1078" s="89" t="s">
        <v>3028</v>
      </c>
      <c r="U1078" s="89">
        <v>85041090</v>
      </c>
      <c r="V1078" s="90"/>
      <c r="W1078" s="21" t="s">
        <v>244</v>
      </c>
      <c r="X1078" s="21"/>
      <c r="Y1078" s="96">
        <v>10</v>
      </c>
      <c r="Z1078" s="97" t="s">
        <v>3303</v>
      </c>
      <c r="AA1078" s="120"/>
      <c r="AB1078" s="120"/>
      <c r="AC1078" s="120"/>
      <c r="AD1078" s="120"/>
    </row>
    <row r="1079" spans="1:30" x14ac:dyDescent="0.25">
      <c r="A1079" s="91">
        <v>46158</v>
      </c>
      <c r="B1079" s="91">
        <v>46161</v>
      </c>
      <c r="C1079" s="112" t="s">
        <v>1683</v>
      </c>
      <c r="D1079" s="85" t="s">
        <v>3027</v>
      </c>
      <c r="E1079" s="148" t="s">
        <v>1622</v>
      </c>
      <c r="F1079" s="89" t="s">
        <v>1622</v>
      </c>
      <c r="G1079" s="92">
        <v>10</v>
      </c>
      <c r="H1079" s="73">
        <v>10</v>
      </c>
      <c r="I1079" s="73">
        <f>Table223[[#This Row],[Qty]]-Table223[[#This Row],[Issue Qty]]</f>
        <v>0</v>
      </c>
      <c r="J1079" s="93">
        <v>3650</v>
      </c>
      <c r="K1079" s="10">
        <f t="shared" si="54"/>
        <v>36500</v>
      </c>
      <c r="L1079" s="82">
        <v>0.18</v>
      </c>
      <c r="M1079" s="9">
        <f t="shared" si="55"/>
        <v>6570</v>
      </c>
      <c r="N1079" s="144">
        <v>1203.5999999999999</v>
      </c>
      <c r="O1079" s="95"/>
      <c r="P1079" s="10">
        <f t="shared" si="56"/>
        <v>44273.599999999999</v>
      </c>
      <c r="Q1079" s="3" t="s">
        <v>3242</v>
      </c>
      <c r="R1079" s="3" t="s">
        <v>3242</v>
      </c>
      <c r="S1079" s="89" t="s">
        <v>1060</v>
      </c>
      <c r="T1079" s="89" t="s">
        <v>3029</v>
      </c>
      <c r="U1079" s="89">
        <v>85044030</v>
      </c>
      <c r="V1079" s="90"/>
      <c r="W1079" s="21" t="s">
        <v>3031</v>
      </c>
      <c r="X1079" s="21"/>
      <c r="Y1079" s="96">
        <f>8+2</f>
        <v>10</v>
      </c>
      <c r="Z1079" s="97" t="s">
        <v>3303</v>
      </c>
      <c r="AA1079" s="120"/>
      <c r="AB1079" s="120"/>
      <c r="AC1079" s="120"/>
      <c r="AD1079" s="120"/>
    </row>
    <row r="1080" spans="1:30" x14ac:dyDescent="0.25">
      <c r="A1080" s="91">
        <v>46164</v>
      </c>
      <c r="B1080" s="91">
        <v>46158</v>
      </c>
      <c r="C1080" s="112" t="s">
        <v>1693</v>
      </c>
      <c r="D1080" s="100" t="s">
        <v>1741</v>
      </c>
      <c r="E1080" s="155" t="s">
        <v>165</v>
      </c>
      <c r="F1080" s="99" t="s">
        <v>165</v>
      </c>
      <c r="G1080" s="92">
        <v>3</v>
      </c>
      <c r="H1080" s="115">
        <v>3</v>
      </c>
      <c r="I1080" s="115">
        <f>Table223[[#This Row],[Qty]]-Table223[[#This Row],[Issue Qty]]</f>
        <v>0</v>
      </c>
      <c r="J1080" s="93">
        <v>3845</v>
      </c>
      <c r="K1080" s="10">
        <f t="shared" si="54"/>
        <v>11535</v>
      </c>
      <c r="L1080" s="82">
        <v>0.05</v>
      </c>
      <c r="M1080" s="9">
        <f t="shared" si="55"/>
        <v>576.75</v>
      </c>
      <c r="N1080" s="104">
        <v>0.25</v>
      </c>
      <c r="O1080" s="95"/>
      <c r="P1080" s="10">
        <f t="shared" si="56"/>
        <v>12112</v>
      </c>
      <c r="Q1080" s="1" t="s">
        <v>2887</v>
      </c>
      <c r="R1080" s="3" t="s">
        <v>2816</v>
      </c>
      <c r="S1080" s="89" t="s">
        <v>444</v>
      </c>
      <c r="T1080" s="89" t="s">
        <v>3032</v>
      </c>
      <c r="U1080" s="89">
        <v>8807</v>
      </c>
      <c r="V1080" s="90"/>
      <c r="W1080" s="21" t="s">
        <v>25</v>
      </c>
      <c r="X1080" s="21"/>
      <c r="Y1080" s="96">
        <v>3</v>
      </c>
      <c r="Z1080" s="97" t="s">
        <v>3360</v>
      </c>
      <c r="AA1080" s="120"/>
      <c r="AB1080" s="120"/>
      <c r="AC1080" s="120"/>
      <c r="AD1080" s="120"/>
    </row>
    <row r="1081" spans="1:30" x14ac:dyDescent="0.25">
      <c r="A1081" s="91">
        <v>46160</v>
      </c>
      <c r="B1081" s="91">
        <v>46161</v>
      </c>
      <c r="C1081" s="112" t="s">
        <v>54</v>
      </c>
      <c r="D1081" s="89" t="s">
        <v>2435</v>
      </c>
      <c r="E1081" s="171" t="s">
        <v>3024</v>
      </c>
      <c r="F1081" s="89" t="s">
        <v>3024</v>
      </c>
      <c r="G1081" s="92">
        <v>1</v>
      </c>
      <c r="H1081" s="73">
        <v>1</v>
      </c>
      <c r="I1081" s="73">
        <f>Table223[[#This Row],[Qty]]-Table223[[#This Row],[Issue Qty]]</f>
        <v>0</v>
      </c>
      <c r="J1081" s="93">
        <v>1026</v>
      </c>
      <c r="K1081" s="10">
        <f t="shared" si="54"/>
        <v>1026</v>
      </c>
      <c r="L1081" s="82">
        <v>0.18</v>
      </c>
      <c r="M1081" s="9">
        <f t="shared" si="55"/>
        <v>184.68</v>
      </c>
      <c r="N1081" s="144">
        <v>0.32</v>
      </c>
      <c r="O1081" s="95"/>
      <c r="P1081" s="10">
        <f t="shared" si="56"/>
        <v>1211</v>
      </c>
      <c r="Q1081" s="3" t="s">
        <v>3328</v>
      </c>
      <c r="R1081" s="3" t="s">
        <v>3328</v>
      </c>
      <c r="S1081" s="89" t="s">
        <v>3030</v>
      </c>
      <c r="T1081" s="89">
        <v>52139</v>
      </c>
      <c r="U1081" s="89">
        <v>998853</v>
      </c>
      <c r="V1081" s="90"/>
      <c r="W1081" s="21"/>
      <c r="X1081" s="21"/>
      <c r="Y1081" s="96">
        <v>1</v>
      </c>
      <c r="Z1081" s="97" t="s">
        <v>3184</v>
      </c>
      <c r="AA1081" s="120"/>
      <c r="AB1081" s="120"/>
      <c r="AC1081" s="120"/>
      <c r="AD1081" s="120"/>
    </row>
    <row r="1082" spans="1:30" x14ac:dyDescent="0.25">
      <c r="A1082" s="91">
        <v>46143</v>
      </c>
      <c r="B1082" s="91">
        <v>46162</v>
      </c>
      <c r="C1082" s="112" t="s">
        <v>1688</v>
      </c>
      <c r="D1082" s="89" t="s">
        <v>3041</v>
      </c>
      <c r="E1082" s="89" t="s">
        <v>3025</v>
      </c>
      <c r="F1082" s="89" t="s">
        <v>3025</v>
      </c>
      <c r="G1082" s="92">
        <v>2</v>
      </c>
      <c r="H1082" s="73"/>
      <c r="I1082" s="73">
        <f>Table223[[#This Row],[Qty]]-Table223[[#This Row],[Issue Qty]]</f>
        <v>2</v>
      </c>
      <c r="J1082" s="93">
        <v>1299</v>
      </c>
      <c r="K1082" s="10">
        <f t="shared" si="54"/>
        <v>2598</v>
      </c>
      <c r="L1082" s="82">
        <v>0</v>
      </c>
      <c r="M1082" s="9">
        <f t="shared" si="55"/>
        <v>0</v>
      </c>
      <c r="N1082" s="144"/>
      <c r="O1082" s="95"/>
      <c r="P1082" s="10">
        <f t="shared" si="56"/>
        <v>2598</v>
      </c>
      <c r="Q1082" s="1" t="s">
        <v>2887</v>
      </c>
      <c r="R1082" s="3" t="s">
        <v>2816</v>
      </c>
      <c r="S1082" s="89" t="s">
        <v>3143</v>
      </c>
      <c r="T1082" s="89" t="s">
        <v>3147</v>
      </c>
      <c r="U1082" s="89"/>
      <c r="V1082" s="90"/>
      <c r="W1082" s="21" t="s">
        <v>2808</v>
      </c>
      <c r="X1082" s="21" t="s">
        <v>3162</v>
      </c>
      <c r="Y1082" s="96"/>
      <c r="Z1082" s="97"/>
      <c r="AA1082" s="120"/>
      <c r="AB1082" s="120"/>
      <c r="AC1082" s="120"/>
      <c r="AD1082" s="120"/>
    </row>
    <row r="1083" spans="1:30" x14ac:dyDescent="0.25">
      <c r="A1083" s="91">
        <v>46143</v>
      </c>
      <c r="B1083" s="91">
        <v>46162</v>
      </c>
      <c r="C1083" s="112" t="s">
        <v>1693</v>
      </c>
      <c r="D1083" s="89" t="s">
        <v>3042</v>
      </c>
      <c r="E1083" s="89" t="s">
        <v>3094</v>
      </c>
      <c r="F1083" s="89" t="s">
        <v>3094</v>
      </c>
      <c r="G1083" s="92">
        <v>2</v>
      </c>
      <c r="H1083" s="73"/>
      <c r="I1083" s="73">
        <f>Table223[[#This Row],[Qty]]-Table223[[#This Row],[Issue Qty]]</f>
        <v>2</v>
      </c>
      <c r="J1083" s="93">
        <v>349</v>
      </c>
      <c r="K1083" s="10">
        <f t="shared" si="54"/>
        <v>698</v>
      </c>
      <c r="L1083" s="82">
        <v>0</v>
      </c>
      <c r="M1083" s="9">
        <f t="shared" si="55"/>
        <v>0</v>
      </c>
      <c r="N1083" s="145"/>
      <c r="O1083" s="101"/>
      <c r="P1083" s="10">
        <f t="shared" si="56"/>
        <v>698</v>
      </c>
      <c r="Q1083" s="1" t="s">
        <v>2887</v>
      </c>
      <c r="R1083" s="3" t="s">
        <v>2816</v>
      </c>
      <c r="S1083" s="85" t="s">
        <v>3143</v>
      </c>
      <c r="T1083" s="85" t="s">
        <v>3147</v>
      </c>
      <c r="U1083" s="89"/>
      <c r="V1083" s="90"/>
      <c r="W1083" s="21" t="s">
        <v>2808</v>
      </c>
      <c r="X1083" s="21" t="s">
        <v>3162</v>
      </c>
      <c r="Y1083" s="96"/>
      <c r="Z1083" s="97"/>
      <c r="AA1083" s="120"/>
      <c r="AB1083" s="120"/>
      <c r="AC1083" s="120"/>
      <c r="AD1083" s="120"/>
    </row>
    <row r="1084" spans="1:30" x14ac:dyDescent="0.25">
      <c r="A1084" s="91">
        <v>46143</v>
      </c>
      <c r="B1084" s="91">
        <v>46162</v>
      </c>
      <c r="C1084" s="112" t="s">
        <v>1693</v>
      </c>
      <c r="D1084" s="89" t="s">
        <v>3043</v>
      </c>
      <c r="E1084" s="89" t="s">
        <v>3095</v>
      </c>
      <c r="F1084" s="89" t="s">
        <v>3095</v>
      </c>
      <c r="G1084" s="92">
        <v>2</v>
      </c>
      <c r="H1084" s="73"/>
      <c r="I1084" s="73">
        <f>Table223[[#This Row],[Qty]]-Table223[[#This Row],[Issue Qty]]</f>
        <v>2</v>
      </c>
      <c r="J1084" s="93">
        <v>8.5</v>
      </c>
      <c r="K1084" s="10">
        <f t="shared" si="54"/>
        <v>17</v>
      </c>
      <c r="L1084" s="82">
        <v>0</v>
      </c>
      <c r="M1084" s="9">
        <f t="shared" si="55"/>
        <v>0</v>
      </c>
      <c r="N1084" s="141"/>
      <c r="O1084" s="95"/>
      <c r="P1084" s="10">
        <f t="shared" si="56"/>
        <v>17</v>
      </c>
      <c r="Q1084" s="1" t="s">
        <v>2887</v>
      </c>
      <c r="R1084" s="3" t="s">
        <v>2816</v>
      </c>
      <c r="S1084" s="89" t="s">
        <v>3143</v>
      </c>
      <c r="T1084" s="89" t="s">
        <v>3147</v>
      </c>
      <c r="U1084" s="89"/>
      <c r="V1084" s="90"/>
      <c r="W1084" s="21" t="s">
        <v>2808</v>
      </c>
      <c r="X1084" s="21" t="s">
        <v>3162</v>
      </c>
      <c r="Y1084" s="96"/>
      <c r="Z1084" s="97"/>
      <c r="AA1084" s="120"/>
      <c r="AB1084" s="120"/>
      <c r="AC1084" s="120"/>
      <c r="AD1084" s="120"/>
    </row>
    <row r="1085" spans="1:30" x14ac:dyDescent="0.25">
      <c r="A1085" s="91">
        <v>46163</v>
      </c>
      <c r="B1085" s="91">
        <v>46164</v>
      </c>
      <c r="C1085" s="112" t="s">
        <v>1688</v>
      </c>
      <c r="D1085" s="89" t="s">
        <v>3044</v>
      </c>
      <c r="E1085" s="89" t="s">
        <v>3096</v>
      </c>
      <c r="F1085" s="89" t="s">
        <v>3096</v>
      </c>
      <c r="G1085" s="92">
        <v>1</v>
      </c>
      <c r="H1085" s="73"/>
      <c r="I1085" s="73">
        <f>Table223[[#This Row],[Qty]]-Table223[[#This Row],[Issue Qty]]</f>
        <v>1</v>
      </c>
      <c r="J1085" s="93">
        <v>49600</v>
      </c>
      <c r="K1085" s="10">
        <f t="shared" si="54"/>
        <v>49600</v>
      </c>
      <c r="L1085" s="82">
        <v>0.05</v>
      </c>
      <c r="M1085" s="9">
        <f t="shared" si="55"/>
        <v>2480</v>
      </c>
      <c r="N1085" s="95"/>
      <c r="O1085" s="95"/>
      <c r="P1085" s="10">
        <f t="shared" si="56"/>
        <v>52080</v>
      </c>
      <c r="Q1085" s="3" t="s">
        <v>1075</v>
      </c>
      <c r="R1085" s="3" t="s">
        <v>1075</v>
      </c>
      <c r="S1085" s="89" t="s">
        <v>1420</v>
      </c>
      <c r="T1085" s="89" t="s">
        <v>3148</v>
      </c>
      <c r="U1085" s="89">
        <v>88073020</v>
      </c>
      <c r="V1085" s="90"/>
      <c r="W1085" s="21" t="s">
        <v>3183</v>
      </c>
      <c r="X1085" s="21"/>
      <c r="Y1085" s="96"/>
      <c r="Z1085" s="97"/>
      <c r="AA1085" s="120"/>
      <c r="AB1085" s="120"/>
      <c r="AC1085" s="120"/>
      <c r="AD1085" s="120"/>
    </row>
    <row r="1086" spans="1:30" x14ac:dyDescent="0.25">
      <c r="A1086" s="91">
        <v>46163</v>
      </c>
      <c r="B1086" s="91">
        <v>46164</v>
      </c>
      <c r="C1086" s="112" t="s">
        <v>1693</v>
      </c>
      <c r="D1086" s="89" t="s">
        <v>3045</v>
      </c>
      <c r="E1086" s="89" t="s">
        <v>3097</v>
      </c>
      <c r="F1086" s="89" t="s">
        <v>3097</v>
      </c>
      <c r="G1086" s="92">
        <v>1</v>
      </c>
      <c r="H1086" s="73"/>
      <c r="I1086" s="73">
        <f>Table223[[#This Row],[Qty]]-Table223[[#This Row],[Issue Qty]]</f>
        <v>1</v>
      </c>
      <c r="J1086" s="93">
        <v>19500</v>
      </c>
      <c r="K1086" s="10">
        <f t="shared" si="54"/>
        <v>19500</v>
      </c>
      <c r="L1086" s="82">
        <v>0.18</v>
      </c>
      <c r="M1086" s="9">
        <f t="shared" si="55"/>
        <v>3510</v>
      </c>
      <c r="N1086" s="95"/>
      <c r="O1086" s="95"/>
      <c r="P1086" s="10">
        <f t="shared" si="56"/>
        <v>23010</v>
      </c>
      <c r="Q1086" s="3" t="s">
        <v>1075</v>
      </c>
      <c r="R1086" s="3" t="s">
        <v>1075</v>
      </c>
      <c r="S1086" s="89" t="s">
        <v>1420</v>
      </c>
      <c r="T1086" s="89" t="s">
        <v>3148</v>
      </c>
      <c r="U1086" s="89">
        <v>88073020</v>
      </c>
      <c r="V1086" s="90"/>
      <c r="W1086" s="21" t="s">
        <v>3183</v>
      </c>
      <c r="X1086" s="21"/>
      <c r="Y1086" s="96"/>
      <c r="Z1086" s="97"/>
      <c r="AA1086" s="120"/>
      <c r="AB1086" s="120"/>
      <c r="AC1086" s="120"/>
      <c r="AD1086" s="120"/>
    </row>
    <row r="1087" spans="1:30" x14ac:dyDescent="0.25">
      <c r="A1087" s="91">
        <v>46163</v>
      </c>
      <c r="B1087" s="91">
        <v>46164</v>
      </c>
      <c r="C1087" s="112" t="s">
        <v>1693</v>
      </c>
      <c r="D1087" s="89" t="s">
        <v>3046</v>
      </c>
      <c r="E1087" s="89" t="s">
        <v>3098</v>
      </c>
      <c r="F1087" s="89" t="s">
        <v>3098</v>
      </c>
      <c r="G1087" s="92">
        <v>1</v>
      </c>
      <c r="H1087" s="73"/>
      <c r="I1087" s="73">
        <f>Table223[[#This Row],[Qty]]-Table223[[#This Row],[Issue Qty]]</f>
        <v>1</v>
      </c>
      <c r="J1087" s="93">
        <v>87000</v>
      </c>
      <c r="K1087" s="10">
        <f t="shared" si="54"/>
        <v>87000</v>
      </c>
      <c r="L1087" s="82">
        <v>0.18</v>
      </c>
      <c r="M1087" s="9">
        <f t="shared" si="55"/>
        <v>15660</v>
      </c>
      <c r="N1087" s="95"/>
      <c r="O1087" s="95"/>
      <c r="P1087" s="10">
        <f t="shared" si="56"/>
        <v>102660</v>
      </c>
      <c r="Q1087" s="3" t="s">
        <v>1075</v>
      </c>
      <c r="R1087" s="3" t="s">
        <v>1075</v>
      </c>
      <c r="S1087" s="89" t="s">
        <v>1420</v>
      </c>
      <c r="T1087" s="89" t="s">
        <v>3148</v>
      </c>
      <c r="U1087" s="89">
        <v>88073020</v>
      </c>
      <c r="V1087" s="90"/>
      <c r="W1087" s="21" t="s">
        <v>3183</v>
      </c>
      <c r="X1087" s="21"/>
      <c r="Y1087" s="96"/>
      <c r="Z1087" s="97"/>
      <c r="AA1087" s="120"/>
      <c r="AB1087" s="120"/>
      <c r="AC1087" s="120"/>
      <c r="AD1087" s="120"/>
    </row>
    <row r="1088" spans="1:30" x14ac:dyDescent="0.25">
      <c r="A1088" s="91">
        <v>46163</v>
      </c>
      <c r="B1088" s="91">
        <v>46164</v>
      </c>
      <c r="C1088" s="112" t="s">
        <v>1688</v>
      </c>
      <c r="D1088" s="89" t="s">
        <v>3141</v>
      </c>
      <c r="E1088" s="89" t="s">
        <v>3099</v>
      </c>
      <c r="F1088" s="89" t="s">
        <v>3099</v>
      </c>
      <c r="G1088" s="92">
        <v>1</v>
      </c>
      <c r="H1088" s="73"/>
      <c r="I1088" s="73">
        <f>Table223[[#This Row],[Qty]]-Table223[[#This Row],[Issue Qty]]</f>
        <v>1</v>
      </c>
      <c r="J1088" s="93">
        <v>116000</v>
      </c>
      <c r="K1088" s="10">
        <f t="shared" si="54"/>
        <v>116000</v>
      </c>
      <c r="L1088" s="82">
        <v>0.18</v>
      </c>
      <c r="M1088" s="9">
        <f t="shared" si="55"/>
        <v>20880</v>
      </c>
      <c r="N1088" s="95"/>
      <c r="O1088" s="95"/>
      <c r="P1088" s="10">
        <f t="shared" si="56"/>
        <v>136880</v>
      </c>
      <c r="Q1088" s="3" t="s">
        <v>1075</v>
      </c>
      <c r="R1088" s="3" t="s">
        <v>1075</v>
      </c>
      <c r="S1088" s="89" t="s">
        <v>1420</v>
      </c>
      <c r="T1088" s="89" t="s">
        <v>3148</v>
      </c>
      <c r="U1088" s="89">
        <v>88073020</v>
      </c>
      <c r="V1088" s="90"/>
      <c r="W1088" s="21" t="s">
        <v>3183</v>
      </c>
      <c r="X1088" s="21"/>
      <c r="Y1088" s="96"/>
      <c r="Z1088" s="97"/>
      <c r="AA1088" s="120"/>
      <c r="AB1088" s="120"/>
      <c r="AC1088" s="120"/>
      <c r="AD1088" s="120"/>
    </row>
    <row r="1089" spans="1:30" x14ac:dyDescent="0.25">
      <c r="A1089" s="91">
        <v>46163</v>
      </c>
      <c r="B1089" s="91">
        <v>46164</v>
      </c>
      <c r="C1089" s="112" t="s">
        <v>1688</v>
      </c>
      <c r="D1089" s="89" t="s">
        <v>3047</v>
      </c>
      <c r="E1089" s="89" t="s">
        <v>3100</v>
      </c>
      <c r="F1089" s="89" t="s">
        <v>3100</v>
      </c>
      <c r="G1089" s="92">
        <v>5</v>
      </c>
      <c r="H1089" s="73"/>
      <c r="I1089" s="73">
        <f>Table223[[#This Row],[Qty]]-Table223[[#This Row],[Issue Qty]]</f>
        <v>5</v>
      </c>
      <c r="J1089" s="93">
        <v>154000</v>
      </c>
      <c r="K1089" s="10">
        <f t="shared" si="54"/>
        <v>770000</v>
      </c>
      <c r="L1089" s="82">
        <v>0.18</v>
      </c>
      <c r="M1089" s="9">
        <f t="shared" si="55"/>
        <v>138600</v>
      </c>
      <c r="N1089" s="95"/>
      <c r="O1089" s="95"/>
      <c r="P1089" s="10">
        <f t="shared" si="56"/>
        <v>908600</v>
      </c>
      <c r="Q1089" s="3" t="s">
        <v>1075</v>
      </c>
      <c r="R1089" s="3" t="s">
        <v>1075</v>
      </c>
      <c r="S1089" s="89" t="s">
        <v>1420</v>
      </c>
      <c r="T1089" s="89" t="s">
        <v>3148</v>
      </c>
      <c r="U1089" s="89">
        <v>88073020</v>
      </c>
      <c r="V1089" s="90"/>
      <c r="W1089" s="21" t="s">
        <v>3183</v>
      </c>
      <c r="X1089" s="21"/>
      <c r="Y1089" s="96"/>
      <c r="Z1089" s="97"/>
      <c r="AA1089" s="120"/>
      <c r="AB1089" s="120"/>
      <c r="AC1089" s="120"/>
      <c r="AD1089" s="120"/>
    </row>
    <row r="1090" spans="1:30" x14ac:dyDescent="0.25">
      <c r="A1090" s="91">
        <v>46163</v>
      </c>
      <c r="B1090" s="91">
        <v>46164</v>
      </c>
      <c r="C1090" s="112" t="s">
        <v>1693</v>
      </c>
      <c r="D1090" s="89" t="s">
        <v>3048</v>
      </c>
      <c r="E1090" s="89" t="s">
        <v>3101</v>
      </c>
      <c r="F1090" s="89" t="s">
        <v>3101</v>
      </c>
      <c r="G1090" s="92">
        <v>5</v>
      </c>
      <c r="H1090" s="73"/>
      <c r="I1090" s="73">
        <f>Table223[[#This Row],[Qty]]-Table223[[#This Row],[Issue Qty]]</f>
        <v>5</v>
      </c>
      <c r="J1090" s="93">
        <v>2500</v>
      </c>
      <c r="K1090" s="10">
        <f t="shared" si="54"/>
        <v>12500</v>
      </c>
      <c r="L1090" s="82">
        <v>0.18</v>
      </c>
      <c r="M1090" s="9">
        <f t="shared" si="55"/>
        <v>2250</v>
      </c>
      <c r="N1090" s="95"/>
      <c r="O1090" s="95"/>
      <c r="P1090" s="10">
        <f t="shared" si="56"/>
        <v>14750</v>
      </c>
      <c r="Q1090" s="3" t="s">
        <v>1075</v>
      </c>
      <c r="R1090" s="3" t="s">
        <v>1075</v>
      </c>
      <c r="S1090" s="89" t="s">
        <v>1420</v>
      </c>
      <c r="T1090" s="89" t="s">
        <v>3148</v>
      </c>
      <c r="U1090" s="89">
        <v>88073020</v>
      </c>
      <c r="V1090" s="90"/>
      <c r="W1090" s="21" t="s">
        <v>3183</v>
      </c>
      <c r="X1090" s="21"/>
      <c r="Y1090" s="96"/>
      <c r="Z1090" s="97"/>
      <c r="AA1090" s="120"/>
      <c r="AB1090" s="120"/>
      <c r="AC1090" s="120"/>
      <c r="AD1090" s="120"/>
    </row>
    <row r="1091" spans="1:30" x14ac:dyDescent="0.25">
      <c r="A1091" s="91">
        <v>46163</v>
      </c>
      <c r="B1091" s="91">
        <v>46164</v>
      </c>
      <c r="C1091" s="112" t="s">
        <v>1688</v>
      </c>
      <c r="D1091" s="89" t="s">
        <v>3142</v>
      </c>
      <c r="E1091" s="89" t="s">
        <v>3102</v>
      </c>
      <c r="F1091" s="89" t="s">
        <v>3102</v>
      </c>
      <c r="G1091" s="92">
        <v>9</v>
      </c>
      <c r="H1091" s="73"/>
      <c r="I1091" s="73">
        <f>Table223[[#This Row],[Qty]]-Table223[[#This Row],[Issue Qty]]</f>
        <v>9</v>
      </c>
      <c r="J1091" s="93">
        <v>24500</v>
      </c>
      <c r="K1091" s="10">
        <f t="shared" si="54"/>
        <v>220500</v>
      </c>
      <c r="L1091" s="82">
        <v>0.18</v>
      </c>
      <c r="M1091" s="9">
        <f t="shared" si="55"/>
        <v>39690</v>
      </c>
      <c r="N1091" s="95"/>
      <c r="O1091" s="95"/>
      <c r="P1091" s="10">
        <f t="shared" si="56"/>
        <v>260190</v>
      </c>
      <c r="Q1091" s="3" t="s">
        <v>1075</v>
      </c>
      <c r="R1091" s="3" t="s">
        <v>1075</v>
      </c>
      <c r="S1091" s="89" t="s">
        <v>1420</v>
      </c>
      <c r="T1091" s="89" t="s">
        <v>3148</v>
      </c>
      <c r="U1091" s="89">
        <v>88073020</v>
      </c>
      <c r="V1091" s="90"/>
      <c r="W1091" s="21" t="s">
        <v>3183</v>
      </c>
      <c r="X1091" s="21"/>
      <c r="Y1091" s="96"/>
      <c r="Z1091" s="97"/>
      <c r="AA1091" s="120"/>
      <c r="AB1091" s="120"/>
      <c r="AC1091" s="120"/>
      <c r="AD1091" s="120"/>
    </row>
    <row r="1092" spans="1:30" x14ac:dyDescent="0.25">
      <c r="A1092" s="91">
        <v>46163</v>
      </c>
      <c r="B1092" s="91">
        <v>46164</v>
      </c>
      <c r="C1092" s="112" t="s">
        <v>1693</v>
      </c>
      <c r="D1092" s="89" t="s">
        <v>3049</v>
      </c>
      <c r="E1092" s="89" t="s">
        <v>3103</v>
      </c>
      <c r="F1092" s="89" t="s">
        <v>3103</v>
      </c>
      <c r="G1092" s="92">
        <v>6</v>
      </c>
      <c r="H1092" s="73"/>
      <c r="I1092" s="73">
        <f>Table223[[#This Row],[Qty]]-Table223[[#This Row],[Issue Qty]]</f>
        <v>6</v>
      </c>
      <c r="J1092" s="93">
        <v>19350</v>
      </c>
      <c r="K1092" s="10">
        <f t="shared" si="54"/>
        <v>116100</v>
      </c>
      <c r="L1092" s="82">
        <v>0.05</v>
      </c>
      <c r="M1092" s="9">
        <f t="shared" si="55"/>
        <v>5805</v>
      </c>
      <c r="N1092" s="95"/>
      <c r="O1092" s="95"/>
      <c r="P1092" s="10">
        <f t="shared" si="56"/>
        <v>121905</v>
      </c>
      <c r="Q1092" s="3" t="s">
        <v>1075</v>
      </c>
      <c r="R1092" s="3" t="s">
        <v>1075</v>
      </c>
      <c r="S1092" s="89" t="s">
        <v>1420</v>
      </c>
      <c r="T1092" s="89" t="s">
        <v>3148</v>
      </c>
      <c r="U1092" s="89">
        <v>88073020</v>
      </c>
      <c r="V1092" s="90"/>
      <c r="W1092" s="21" t="s">
        <v>3183</v>
      </c>
      <c r="X1092" s="21"/>
      <c r="Y1092" s="96"/>
      <c r="Z1092" s="97"/>
      <c r="AA1092" s="120"/>
      <c r="AB1092" s="120"/>
      <c r="AC1092" s="120"/>
      <c r="AD1092" s="120"/>
    </row>
    <row r="1093" spans="1:30" x14ac:dyDescent="0.25">
      <c r="A1093" s="91">
        <v>46163</v>
      </c>
      <c r="B1093" s="91">
        <v>46164</v>
      </c>
      <c r="C1093" s="112" t="s">
        <v>1693</v>
      </c>
      <c r="D1093" s="89" t="s">
        <v>3050</v>
      </c>
      <c r="E1093" s="89" t="s">
        <v>3104</v>
      </c>
      <c r="F1093" s="89" t="s">
        <v>3104</v>
      </c>
      <c r="G1093" s="92">
        <v>6</v>
      </c>
      <c r="H1093" s="73"/>
      <c r="I1093" s="73">
        <f>Table223[[#This Row],[Qty]]-Table223[[#This Row],[Issue Qty]]</f>
        <v>6</v>
      </c>
      <c r="J1093" s="93">
        <v>19350</v>
      </c>
      <c r="K1093" s="10">
        <f t="shared" si="54"/>
        <v>116100</v>
      </c>
      <c r="L1093" s="82">
        <v>0.05</v>
      </c>
      <c r="M1093" s="9">
        <f t="shared" si="55"/>
        <v>5805</v>
      </c>
      <c r="N1093" s="95"/>
      <c r="O1093" s="95"/>
      <c r="P1093" s="10">
        <f t="shared" si="56"/>
        <v>121905</v>
      </c>
      <c r="Q1093" s="3" t="s">
        <v>1075</v>
      </c>
      <c r="R1093" s="3" t="s">
        <v>1075</v>
      </c>
      <c r="S1093" s="89" t="s">
        <v>1420</v>
      </c>
      <c r="T1093" s="89" t="s">
        <v>3148</v>
      </c>
      <c r="U1093" s="89">
        <v>88073020</v>
      </c>
      <c r="V1093" s="90"/>
      <c r="W1093" s="21" t="s">
        <v>3183</v>
      </c>
      <c r="X1093" s="21"/>
      <c r="Y1093" s="96"/>
      <c r="Z1093" s="97"/>
      <c r="AA1093" s="120"/>
      <c r="AB1093" s="120"/>
      <c r="AC1093" s="120"/>
      <c r="AD1093" s="120"/>
    </row>
    <row r="1094" spans="1:30" x14ac:dyDescent="0.25">
      <c r="A1094" s="91">
        <v>46163</v>
      </c>
      <c r="B1094" s="91">
        <v>46165</v>
      </c>
      <c r="C1094" s="112" t="s">
        <v>1683</v>
      </c>
      <c r="D1094" s="89" t="s">
        <v>2532</v>
      </c>
      <c r="E1094" s="148" t="s">
        <v>1436</v>
      </c>
      <c r="F1094" s="89" t="s">
        <v>1436</v>
      </c>
      <c r="G1094" s="92">
        <v>20</v>
      </c>
      <c r="H1094" s="73">
        <v>20</v>
      </c>
      <c r="I1094" s="73">
        <f>Table223[[#This Row],[Qty]]-Table223[[#This Row],[Issue Qty]]</f>
        <v>0</v>
      </c>
      <c r="J1094" s="93">
        <v>10900</v>
      </c>
      <c r="K1094" s="10">
        <f t="shared" si="54"/>
        <v>218000</v>
      </c>
      <c r="L1094" s="82">
        <v>0.05</v>
      </c>
      <c r="M1094" s="9">
        <f t="shared" si="55"/>
        <v>10900</v>
      </c>
      <c r="N1094" s="95"/>
      <c r="O1094" s="95"/>
      <c r="P1094" s="10">
        <f t="shared" si="56"/>
        <v>228900</v>
      </c>
      <c r="Q1094" s="3" t="s">
        <v>3242</v>
      </c>
      <c r="R1094" s="3" t="s">
        <v>3242</v>
      </c>
      <c r="S1094" s="89" t="s">
        <v>1420</v>
      </c>
      <c r="T1094" s="89" t="s">
        <v>3149</v>
      </c>
      <c r="U1094" s="89">
        <v>88073000</v>
      </c>
      <c r="V1094" s="90"/>
      <c r="W1094" s="21" t="s">
        <v>2808</v>
      </c>
      <c r="X1094" s="21" t="s">
        <v>3302</v>
      </c>
      <c r="Y1094" s="96"/>
      <c r="Z1094" s="97"/>
      <c r="AA1094" s="120"/>
      <c r="AB1094" s="120"/>
      <c r="AC1094" s="120"/>
      <c r="AD1094" s="120"/>
    </row>
    <row r="1095" spans="1:30" x14ac:dyDescent="0.25">
      <c r="A1095" s="91">
        <v>46163</v>
      </c>
      <c r="B1095" s="91">
        <v>46165</v>
      </c>
      <c r="C1095" s="112" t="s">
        <v>1693</v>
      </c>
      <c r="D1095" s="89" t="s">
        <v>1741</v>
      </c>
      <c r="E1095" s="148" t="s">
        <v>165</v>
      </c>
      <c r="F1095" s="89" t="s">
        <v>165</v>
      </c>
      <c r="G1095" s="92">
        <v>44</v>
      </c>
      <c r="H1095" s="115">
        <v>44</v>
      </c>
      <c r="I1095" s="115">
        <f>Table223[[#This Row],[Qty]]-Table223[[#This Row],[Issue Qty]]</f>
        <v>0</v>
      </c>
      <c r="J1095" s="93">
        <v>2501</v>
      </c>
      <c r="K1095" s="10">
        <f t="shared" si="54"/>
        <v>110044</v>
      </c>
      <c r="L1095" s="82">
        <v>0.05</v>
      </c>
      <c r="M1095" s="9">
        <f t="shared" si="55"/>
        <v>5502.2000000000007</v>
      </c>
      <c r="N1095" s="95"/>
      <c r="O1095" s="95"/>
      <c r="P1095" s="10">
        <f t="shared" si="56"/>
        <v>115546.2</v>
      </c>
      <c r="Q1095" s="3" t="s">
        <v>3242</v>
      </c>
      <c r="R1095" s="3" t="s">
        <v>3242</v>
      </c>
      <c r="S1095" s="89" t="s">
        <v>1420</v>
      </c>
      <c r="T1095" s="89" t="s">
        <v>3149</v>
      </c>
      <c r="U1095" s="89">
        <v>88073000</v>
      </c>
      <c r="V1095" s="90"/>
      <c r="W1095" s="21" t="s">
        <v>2808</v>
      </c>
      <c r="X1095" s="21" t="s">
        <v>355</v>
      </c>
      <c r="Y1095" s="96">
        <f>7+37</f>
        <v>44</v>
      </c>
      <c r="Z1095" s="97" t="s">
        <v>3361</v>
      </c>
      <c r="AA1095" s="120"/>
      <c r="AB1095" s="120"/>
      <c r="AC1095" s="120"/>
      <c r="AD1095" s="120"/>
    </row>
    <row r="1096" spans="1:30" x14ac:dyDescent="0.25">
      <c r="A1096" s="91">
        <v>46163</v>
      </c>
      <c r="B1096" s="91">
        <v>46165</v>
      </c>
      <c r="C1096" s="112" t="s">
        <v>1683</v>
      </c>
      <c r="D1096" s="89" t="s">
        <v>2563</v>
      </c>
      <c r="E1096" s="152" t="s">
        <v>1471</v>
      </c>
      <c r="F1096" s="89" t="s">
        <v>1471</v>
      </c>
      <c r="G1096" s="92">
        <v>4</v>
      </c>
      <c r="H1096" s="73">
        <v>1</v>
      </c>
      <c r="I1096" s="73">
        <f>Table223[[#This Row],[Qty]]-Table223[[#This Row],[Issue Qty]]</f>
        <v>3</v>
      </c>
      <c r="J1096" s="93">
        <v>20661</v>
      </c>
      <c r="K1096" s="10">
        <f t="shared" si="54"/>
        <v>82644</v>
      </c>
      <c r="L1096" s="82">
        <v>0.05</v>
      </c>
      <c r="M1096" s="9">
        <f t="shared" si="55"/>
        <v>4132.2</v>
      </c>
      <c r="N1096" s="95"/>
      <c r="O1096" s="95"/>
      <c r="P1096" s="10">
        <f t="shared" si="56"/>
        <v>86776.2</v>
      </c>
      <c r="Q1096" s="1" t="s">
        <v>2887</v>
      </c>
      <c r="R1096" s="3" t="s">
        <v>2816</v>
      </c>
      <c r="S1096" s="89" t="s">
        <v>1420</v>
      </c>
      <c r="T1096" s="89" t="s">
        <v>3149</v>
      </c>
      <c r="U1096" s="89">
        <v>88073000</v>
      </c>
      <c r="V1096" s="90"/>
      <c r="W1096" s="21" t="s">
        <v>573</v>
      </c>
      <c r="X1096" s="21"/>
      <c r="Y1096" s="96">
        <v>1</v>
      </c>
      <c r="Z1096" s="97" t="s">
        <v>3401</v>
      </c>
      <c r="AA1096" s="120"/>
      <c r="AB1096" s="120"/>
      <c r="AC1096" s="120"/>
      <c r="AD1096" s="120"/>
    </row>
    <row r="1097" spans="1:30" x14ac:dyDescent="0.25">
      <c r="A1097" s="91">
        <v>46163</v>
      </c>
      <c r="B1097" s="91">
        <v>46165</v>
      </c>
      <c r="C1097" s="112" t="s">
        <v>1683</v>
      </c>
      <c r="D1097" s="89" t="s">
        <v>2746</v>
      </c>
      <c r="E1097" s="89" t="s">
        <v>1615</v>
      </c>
      <c r="F1097" s="89" t="s">
        <v>1615</v>
      </c>
      <c r="G1097" s="92">
        <v>4</v>
      </c>
      <c r="H1097" s="73">
        <v>2</v>
      </c>
      <c r="I1097" s="73">
        <f>Table223[[#This Row],[Qty]]-Table223[[#This Row],[Issue Qty]]</f>
        <v>2</v>
      </c>
      <c r="J1097" s="93">
        <v>25462</v>
      </c>
      <c r="K1097" s="10">
        <f t="shared" si="54"/>
        <v>101848</v>
      </c>
      <c r="L1097" s="82">
        <v>0.05</v>
      </c>
      <c r="M1097" s="9">
        <f t="shared" si="55"/>
        <v>5092.4000000000005</v>
      </c>
      <c r="N1097" s="95"/>
      <c r="O1097" s="95"/>
      <c r="P1097" s="10">
        <f t="shared" si="56"/>
        <v>106940.4</v>
      </c>
      <c r="Q1097" s="1" t="s">
        <v>2887</v>
      </c>
      <c r="R1097" s="3" t="s">
        <v>2816</v>
      </c>
      <c r="S1097" s="89" t="s">
        <v>1420</v>
      </c>
      <c r="T1097" s="89" t="s">
        <v>3149</v>
      </c>
      <c r="U1097" s="89">
        <v>88073000</v>
      </c>
      <c r="V1097" s="90"/>
      <c r="W1097" s="21"/>
      <c r="X1097" s="21"/>
      <c r="Y1097" s="96">
        <v>4</v>
      </c>
      <c r="Z1097" s="97" t="s">
        <v>3373</v>
      </c>
      <c r="AA1097" s="120"/>
      <c r="AB1097" s="120"/>
      <c r="AC1097" s="120"/>
      <c r="AD1097" s="120"/>
    </row>
    <row r="1098" spans="1:30" x14ac:dyDescent="0.25">
      <c r="A1098" s="91">
        <v>46163</v>
      </c>
      <c r="B1098" s="91">
        <v>46165</v>
      </c>
      <c r="C1098" s="112" t="s">
        <v>1683</v>
      </c>
      <c r="D1098" s="89" t="s">
        <v>1687</v>
      </c>
      <c r="E1098" s="89" t="s">
        <v>24</v>
      </c>
      <c r="F1098" s="89" t="s">
        <v>24</v>
      </c>
      <c r="G1098" s="92">
        <v>4</v>
      </c>
      <c r="H1098" s="73"/>
      <c r="I1098" s="73">
        <f>Table223[[#This Row],[Qty]]-Table223[[#This Row],[Issue Qty]]</f>
        <v>4</v>
      </c>
      <c r="J1098" s="93">
        <v>6305</v>
      </c>
      <c r="K1098" s="10">
        <f t="shared" si="54"/>
        <v>25220</v>
      </c>
      <c r="L1098" s="82">
        <v>0.05</v>
      </c>
      <c r="M1098" s="9">
        <f t="shared" si="55"/>
        <v>1261</v>
      </c>
      <c r="N1098" s="95"/>
      <c r="O1098" s="95"/>
      <c r="P1098" s="10">
        <f t="shared" si="56"/>
        <v>26481</v>
      </c>
      <c r="Q1098" s="1" t="s">
        <v>2887</v>
      </c>
      <c r="R1098" s="3" t="s">
        <v>2816</v>
      </c>
      <c r="S1098" s="89" t="s">
        <v>1420</v>
      </c>
      <c r="T1098" s="89" t="s">
        <v>3149</v>
      </c>
      <c r="U1098" s="89">
        <v>88073000</v>
      </c>
      <c r="V1098" s="90"/>
      <c r="W1098" s="21" t="s">
        <v>25</v>
      </c>
      <c r="X1098" s="21"/>
      <c r="Y1098" s="96"/>
      <c r="Z1098" s="97"/>
      <c r="AA1098" s="120"/>
      <c r="AB1098" s="120"/>
      <c r="AC1098" s="120"/>
      <c r="AD1098" s="120"/>
    </row>
    <row r="1099" spans="1:30" x14ac:dyDescent="0.25">
      <c r="A1099" s="91">
        <v>46162</v>
      </c>
      <c r="B1099" s="91">
        <v>46167</v>
      </c>
      <c r="C1099" s="112" t="s">
        <v>54</v>
      </c>
      <c r="D1099" s="89" t="s">
        <v>3051</v>
      </c>
      <c r="E1099" s="190" t="s">
        <v>3105</v>
      </c>
      <c r="F1099" s="89" t="s">
        <v>3105</v>
      </c>
      <c r="G1099" s="92">
        <v>3</v>
      </c>
      <c r="H1099" s="73">
        <v>1</v>
      </c>
      <c r="I1099" s="73">
        <f>Table223[[#This Row],[Qty]]-Table223[[#This Row],[Issue Qty]]</f>
        <v>2</v>
      </c>
      <c r="J1099" s="93">
        <v>1178</v>
      </c>
      <c r="K1099" s="10">
        <f t="shared" si="54"/>
        <v>3534</v>
      </c>
      <c r="L1099" s="82">
        <v>0.18</v>
      </c>
      <c r="M1099" s="9">
        <f t="shared" si="55"/>
        <v>636.12</v>
      </c>
      <c r="N1099" s="95"/>
      <c r="O1099" s="95"/>
      <c r="P1099" s="10">
        <f t="shared" si="56"/>
        <v>4170.12</v>
      </c>
      <c r="Q1099" s="3" t="s">
        <v>2887</v>
      </c>
      <c r="R1099" s="3" t="s">
        <v>1408</v>
      </c>
      <c r="S1099" s="89" t="s">
        <v>3144</v>
      </c>
      <c r="T1099" s="89" t="s">
        <v>3150</v>
      </c>
      <c r="U1099" s="89">
        <v>6815</v>
      </c>
      <c r="V1099" s="90"/>
      <c r="W1099" s="21" t="s">
        <v>3182</v>
      </c>
      <c r="X1099" s="21"/>
      <c r="Y1099" s="96">
        <v>1</v>
      </c>
      <c r="Z1099" s="97" t="s">
        <v>2887</v>
      </c>
      <c r="AA1099" s="120"/>
      <c r="AB1099" s="120"/>
      <c r="AC1099" s="120"/>
      <c r="AD1099" s="120"/>
    </row>
    <row r="1100" spans="1:30" x14ac:dyDescent="0.25">
      <c r="A1100" s="91">
        <v>46162</v>
      </c>
      <c r="B1100" s="91">
        <v>46167</v>
      </c>
      <c r="C1100" s="112" t="s">
        <v>54</v>
      </c>
      <c r="D1100" s="89" t="s">
        <v>2559</v>
      </c>
      <c r="E1100" s="89" t="s">
        <v>1468</v>
      </c>
      <c r="F1100" s="89" t="s">
        <v>1468</v>
      </c>
      <c r="G1100" s="92">
        <v>3</v>
      </c>
      <c r="H1100" s="73">
        <v>0</v>
      </c>
      <c r="I1100" s="73">
        <f>Table223[[#This Row],[Qty]]-Table223[[#This Row],[Issue Qty]]</f>
        <v>3</v>
      </c>
      <c r="J1100" s="93">
        <v>1186</v>
      </c>
      <c r="K1100" s="10">
        <f t="shared" si="54"/>
        <v>3558</v>
      </c>
      <c r="L1100" s="82">
        <v>0.18</v>
      </c>
      <c r="M1100" s="9">
        <f t="shared" si="55"/>
        <v>640.43999999999994</v>
      </c>
      <c r="N1100" s="141">
        <v>150</v>
      </c>
      <c r="O1100" s="141">
        <v>-1214.45</v>
      </c>
      <c r="P1100" s="10">
        <f t="shared" si="56"/>
        <v>3133.99</v>
      </c>
      <c r="Q1100" s="3" t="s">
        <v>2887</v>
      </c>
      <c r="R1100" s="3" t="s">
        <v>1408</v>
      </c>
      <c r="S1100" s="89" t="s">
        <v>3144</v>
      </c>
      <c r="T1100" s="89" t="s">
        <v>3150</v>
      </c>
      <c r="U1100" s="89">
        <v>6815</v>
      </c>
      <c r="V1100" s="90"/>
      <c r="W1100" s="21" t="s">
        <v>2777</v>
      </c>
      <c r="X1100" s="21"/>
      <c r="Y1100" s="96"/>
      <c r="Z1100" s="97"/>
      <c r="AA1100" s="120"/>
      <c r="AB1100" s="120"/>
      <c r="AC1100" s="120"/>
      <c r="AD1100" s="120"/>
    </row>
    <row r="1101" spans="1:30" x14ac:dyDescent="0.25">
      <c r="A1101" s="91">
        <v>46162</v>
      </c>
      <c r="B1101" s="91">
        <v>46167</v>
      </c>
      <c r="C1101" s="112" t="s">
        <v>54</v>
      </c>
      <c r="D1101" s="89" t="s">
        <v>2562</v>
      </c>
      <c r="E1101" s="89" t="s">
        <v>1470</v>
      </c>
      <c r="F1101" s="89" t="s">
        <v>1470</v>
      </c>
      <c r="G1101" s="92">
        <v>3</v>
      </c>
      <c r="H1101" s="73">
        <v>3</v>
      </c>
      <c r="I1101" s="73">
        <f>Table223[[#This Row],[Qty]]-Table223[[#This Row],[Issue Qty]]</f>
        <v>0</v>
      </c>
      <c r="J1101" s="93">
        <v>5399</v>
      </c>
      <c r="K1101" s="10">
        <f t="shared" si="54"/>
        <v>16197</v>
      </c>
      <c r="L1101" s="82">
        <v>0.18</v>
      </c>
      <c r="M1101" s="9">
        <f t="shared" si="55"/>
        <v>2915.46</v>
      </c>
      <c r="N1101" s="141">
        <v>850</v>
      </c>
      <c r="O1101" s="95"/>
      <c r="P1101" s="10">
        <f t="shared" si="56"/>
        <v>19962.46</v>
      </c>
      <c r="Q1101" s="3" t="s">
        <v>2887</v>
      </c>
      <c r="R1101" s="3" t="s">
        <v>1408</v>
      </c>
      <c r="S1101" s="89" t="s">
        <v>3144</v>
      </c>
      <c r="T1101" s="89" t="s">
        <v>3150</v>
      </c>
      <c r="U1101" s="89">
        <v>6815</v>
      </c>
      <c r="V1101" s="90"/>
      <c r="W1101" s="21" t="s">
        <v>3349</v>
      </c>
      <c r="X1101" s="21"/>
      <c r="Y1101" s="96">
        <v>3</v>
      </c>
      <c r="Z1101" s="12" t="s">
        <v>2887</v>
      </c>
      <c r="AA1101" s="120"/>
      <c r="AB1101" s="120"/>
      <c r="AC1101" s="120"/>
      <c r="AD1101" s="120"/>
    </row>
    <row r="1102" spans="1:30" x14ac:dyDescent="0.25">
      <c r="A1102" s="91">
        <v>46160</v>
      </c>
      <c r="B1102" s="91">
        <v>46167</v>
      </c>
      <c r="C1102" s="112" t="s">
        <v>1683</v>
      </c>
      <c r="D1102" s="89" t="s">
        <v>3052</v>
      </c>
      <c r="E1102" s="89" t="s">
        <v>3106</v>
      </c>
      <c r="F1102" s="89" t="s">
        <v>3106</v>
      </c>
      <c r="G1102" s="92">
        <v>2</v>
      </c>
      <c r="H1102" s="73">
        <v>0.5</v>
      </c>
      <c r="I1102" s="73">
        <f>Table223[[#This Row],[Qty]]-Table223[[#This Row],[Issue Qty]]</f>
        <v>1.5</v>
      </c>
      <c r="J1102" s="93">
        <v>172.39</v>
      </c>
      <c r="K1102" s="10">
        <f t="shared" si="54"/>
        <v>344.78</v>
      </c>
      <c r="L1102" s="82">
        <v>0</v>
      </c>
      <c r="M1102" s="9">
        <f t="shared" si="55"/>
        <v>0</v>
      </c>
      <c r="N1102" s="141">
        <v>1200</v>
      </c>
      <c r="O1102" s="95"/>
      <c r="P1102" s="10">
        <f t="shared" si="56"/>
        <v>1544.78</v>
      </c>
      <c r="Q1102" s="1" t="s">
        <v>2887</v>
      </c>
      <c r="R1102" s="3" t="s">
        <v>2816</v>
      </c>
      <c r="S1102" s="89" t="s">
        <v>1503</v>
      </c>
      <c r="T1102" s="89">
        <v>125988687</v>
      </c>
      <c r="U1102" s="89" t="s">
        <v>1644</v>
      </c>
      <c r="V1102" s="90"/>
      <c r="W1102" s="21" t="s">
        <v>38</v>
      </c>
      <c r="X1102" s="21" t="s">
        <v>3163</v>
      </c>
      <c r="Y1102" s="96">
        <v>0.5</v>
      </c>
      <c r="Z1102" s="97" t="s">
        <v>3164</v>
      </c>
      <c r="AA1102" s="120"/>
      <c r="AB1102" s="120"/>
      <c r="AC1102" s="120"/>
      <c r="AD1102" s="120"/>
    </row>
    <row r="1103" spans="1:30" x14ac:dyDescent="0.25">
      <c r="A1103" s="91">
        <v>46164</v>
      </c>
      <c r="B1103" s="91">
        <v>46167</v>
      </c>
      <c r="C1103" s="112" t="s">
        <v>1730</v>
      </c>
      <c r="D1103" s="89" t="s">
        <v>3053</v>
      </c>
      <c r="E1103" s="89" t="s">
        <v>3107</v>
      </c>
      <c r="F1103" s="89" t="s">
        <v>3107</v>
      </c>
      <c r="G1103" s="92">
        <v>2</v>
      </c>
      <c r="H1103" s="73">
        <v>2</v>
      </c>
      <c r="I1103" s="73">
        <f>Table223[[#This Row],[Qty]]-Table223[[#This Row],[Issue Qty]]</f>
        <v>0</v>
      </c>
      <c r="J1103" s="93">
        <v>338.14</v>
      </c>
      <c r="K1103" s="10">
        <f t="shared" si="54"/>
        <v>676.28</v>
      </c>
      <c r="L1103" s="82">
        <v>0.18</v>
      </c>
      <c r="M1103" s="9">
        <f t="shared" si="55"/>
        <v>121.73039999999999</v>
      </c>
      <c r="N1103" s="95"/>
      <c r="O1103" s="95"/>
      <c r="P1103" s="10">
        <f t="shared" si="56"/>
        <v>798.0104</v>
      </c>
      <c r="Q1103" s="3" t="s">
        <v>3243</v>
      </c>
      <c r="R1103" s="3" t="s">
        <v>3243</v>
      </c>
      <c r="S1103" s="89" t="s">
        <v>384</v>
      </c>
      <c r="T1103" s="89" t="s">
        <v>3151</v>
      </c>
      <c r="U1103" s="89" t="s">
        <v>1644</v>
      </c>
      <c r="V1103" s="90"/>
      <c r="W1103" s="21" t="s">
        <v>3180</v>
      </c>
      <c r="X1103" s="21"/>
      <c r="Y1103" s="96">
        <v>2</v>
      </c>
      <c r="Z1103" s="97" t="s">
        <v>2991</v>
      </c>
      <c r="AA1103" s="120"/>
      <c r="AB1103" s="120"/>
      <c r="AC1103" s="120"/>
      <c r="AD1103" s="120"/>
    </row>
    <row r="1104" spans="1:30" x14ac:dyDescent="0.25">
      <c r="A1104" s="91">
        <v>46158</v>
      </c>
      <c r="B1104" s="91">
        <v>46167</v>
      </c>
      <c r="C1104" s="112" t="s">
        <v>1683</v>
      </c>
      <c r="D1104" s="89" t="s">
        <v>2591</v>
      </c>
      <c r="E1104" s="99" t="s">
        <v>1495</v>
      </c>
      <c r="F1104" s="99" t="s">
        <v>1495</v>
      </c>
      <c r="G1104" s="92">
        <v>500</v>
      </c>
      <c r="H1104" s="73"/>
      <c r="I1104" s="73">
        <f>Table223[[#This Row],[Qty]]-Table223[[#This Row],[Issue Qty]]</f>
        <v>500</v>
      </c>
      <c r="J1104" s="93"/>
      <c r="K1104" s="10">
        <f t="shared" si="54"/>
        <v>0</v>
      </c>
      <c r="L1104" s="82"/>
      <c r="M1104" s="9">
        <f t="shared" si="55"/>
        <v>0</v>
      </c>
      <c r="N1104" s="95"/>
      <c r="O1104" s="95"/>
      <c r="P1104" s="10">
        <f t="shared" si="56"/>
        <v>0</v>
      </c>
      <c r="Q1104" s="3" t="s">
        <v>2887</v>
      </c>
      <c r="R1104" s="3" t="s">
        <v>1408</v>
      </c>
      <c r="S1104" s="89" t="s">
        <v>1503</v>
      </c>
      <c r="T1104" s="89" t="s">
        <v>3007</v>
      </c>
      <c r="U1104" s="89" t="s">
        <v>1644</v>
      </c>
      <c r="V1104" s="90"/>
      <c r="W1104" s="21" t="s">
        <v>2808</v>
      </c>
      <c r="X1104" s="21" t="s">
        <v>3183</v>
      </c>
      <c r="Y1104" s="96"/>
      <c r="Z1104" s="97"/>
      <c r="AA1104" s="120"/>
      <c r="AB1104" s="120"/>
      <c r="AC1104" s="120"/>
      <c r="AD1104" s="120"/>
    </row>
    <row r="1105" spans="1:30" x14ac:dyDescent="0.25">
      <c r="A1105" s="91">
        <v>46168</v>
      </c>
      <c r="B1105" s="91">
        <v>46168</v>
      </c>
      <c r="C1105" s="112" t="s">
        <v>1730</v>
      </c>
      <c r="D1105" s="89" t="s">
        <v>1644</v>
      </c>
      <c r="E1105" s="89" t="s">
        <v>2870</v>
      </c>
      <c r="F1105" s="89" t="s">
        <v>2870</v>
      </c>
      <c r="G1105" s="92">
        <v>8</v>
      </c>
      <c r="H1105" s="73">
        <v>8</v>
      </c>
      <c r="I1105" s="73">
        <f>Table223[[#This Row],[Qty]]-Table223[[#This Row],[Issue Qty]]</f>
        <v>0</v>
      </c>
      <c r="J1105" s="93">
        <v>450</v>
      </c>
      <c r="K1105" s="10">
        <f t="shared" si="54"/>
        <v>3600</v>
      </c>
      <c r="L1105" s="82">
        <v>0.18</v>
      </c>
      <c r="M1105" s="9">
        <f t="shared" si="55"/>
        <v>648</v>
      </c>
      <c r="N1105" s="95"/>
      <c r="O1105" s="95"/>
      <c r="P1105" s="10">
        <f t="shared" si="56"/>
        <v>4248</v>
      </c>
      <c r="Q1105" s="3" t="s">
        <v>1408</v>
      </c>
      <c r="R1105" s="3" t="s">
        <v>1408</v>
      </c>
      <c r="S1105" s="89" t="s">
        <v>1645</v>
      </c>
      <c r="T1105" s="89" t="s">
        <v>3152</v>
      </c>
      <c r="U1105" s="89">
        <v>39189090</v>
      </c>
      <c r="V1105" s="90"/>
      <c r="W1105" s="21" t="s">
        <v>3181</v>
      </c>
      <c r="X1105" s="21"/>
      <c r="Y1105" s="96"/>
      <c r="Z1105" s="97" t="s">
        <v>3164</v>
      </c>
      <c r="AA1105" s="120"/>
      <c r="AB1105" s="120"/>
      <c r="AC1105" s="120"/>
      <c r="AD1105" s="120"/>
    </row>
    <row r="1106" spans="1:30" x14ac:dyDescent="0.25">
      <c r="A1106" s="91">
        <v>46169</v>
      </c>
      <c r="B1106" s="91">
        <v>46169</v>
      </c>
      <c r="C1106" s="112" t="s">
        <v>1730</v>
      </c>
      <c r="D1106" s="89" t="s">
        <v>1644</v>
      </c>
      <c r="E1106" s="89" t="s">
        <v>3108</v>
      </c>
      <c r="F1106" s="89" t="s">
        <v>3108</v>
      </c>
      <c r="G1106" s="92">
        <v>4</v>
      </c>
      <c r="H1106" s="73">
        <v>2</v>
      </c>
      <c r="I1106" s="73">
        <f>Table223[[#This Row],[Qty]]-Table223[[#This Row],[Issue Qty]]</f>
        <v>2</v>
      </c>
      <c r="J1106" s="93">
        <v>1000</v>
      </c>
      <c r="K1106" s="10">
        <f t="shared" si="54"/>
        <v>4000</v>
      </c>
      <c r="L1106" s="82">
        <v>0.18</v>
      </c>
      <c r="M1106" s="9">
        <f t="shared" si="55"/>
        <v>720</v>
      </c>
      <c r="N1106" s="95"/>
      <c r="O1106" s="95"/>
      <c r="P1106" s="10">
        <f t="shared" si="56"/>
        <v>4720</v>
      </c>
      <c r="Q1106" s="3" t="s">
        <v>3243</v>
      </c>
      <c r="R1106" s="3" t="s">
        <v>3243</v>
      </c>
      <c r="S1106" s="89" t="s">
        <v>3145</v>
      </c>
      <c r="T1106" s="89" t="s">
        <v>3153</v>
      </c>
      <c r="U1106" s="89">
        <v>83022000</v>
      </c>
      <c r="V1106" s="90"/>
      <c r="W1106" s="21" t="s">
        <v>3180</v>
      </c>
      <c r="X1106" s="21"/>
      <c r="Y1106" s="96">
        <v>3</v>
      </c>
      <c r="Z1106" s="97" t="s">
        <v>3164</v>
      </c>
      <c r="AA1106" s="120"/>
      <c r="AB1106" s="120"/>
      <c r="AC1106" s="120"/>
      <c r="AD1106" s="120"/>
    </row>
    <row r="1107" spans="1:30" x14ac:dyDescent="0.25">
      <c r="A1107" s="91">
        <v>46169</v>
      </c>
      <c r="B1107" s="91">
        <v>46169</v>
      </c>
      <c r="C1107" s="112" t="s">
        <v>54</v>
      </c>
      <c r="D1107" s="89" t="s">
        <v>3054</v>
      </c>
      <c r="E1107" s="89" t="s">
        <v>3109</v>
      </c>
      <c r="F1107" s="89" t="s">
        <v>3109</v>
      </c>
      <c r="G1107" s="92">
        <v>6</v>
      </c>
      <c r="H1107" s="92">
        <v>3</v>
      </c>
      <c r="I1107" s="115">
        <f>Table223[[#This Row],[Qty]]-Table223[[#This Row],[Issue Qty]]</f>
        <v>3</v>
      </c>
      <c r="J1107" s="93">
        <v>1907</v>
      </c>
      <c r="K1107" s="10">
        <f t="shared" si="54"/>
        <v>11442</v>
      </c>
      <c r="L1107" s="82">
        <v>0.18</v>
      </c>
      <c r="M1107" s="9">
        <f t="shared" si="55"/>
        <v>2059.56</v>
      </c>
      <c r="N1107" s="95"/>
      <c r="O1107" s="95"/>
      <c r="P1107" s="10">
        <f t="shared" si="56"/>
        <v>13501.56</v>
      </c>
      <c r="Q1107" s="1" t="s">
        <v>2887</v>
      </c>
      <c r="R1107" s="3" t="s">
        <v>2816</v>
      </c>
      <c r="S1107" s="89" t="s">
        <v>1511</v>
      </c>
      <c r="T1107" s="89">
        <v>6760000041</v>
      </c>
      <c r="U1107" s="89"/>
      <c r="V1107" s="90"/>
      <c r="W1107" s="21" t="s">
        <v>3165</v>
      </c>
      <c r="X1107" s="21"/>
      <c r="Y1107" s="96">
        <v>3</v>
      </c>
      <c r="Z1107" s="12" t="s">
        <v>2887</v>
      </c>
      <c r="AA1107" s="120"/>
      <c r="AB1107" s="120"/>
      <c r="AC1107" s="120"/>
      <c r="AD1107" s="120"/>
    </row>
    <row r="1108" spans="1:30" x14ac:dyDescent="0.25">
      <c r="A1108" s="91">
        <v>46169</v>
      </c>
      <c r="B1108" s="91">
        <v>46169</v>
      </c>
      <c r="C1108" s="112" t="s">
        <v>54</v>
      </c>
      <c r="D1108" s="89" t="s">
        <v>3055</v>
      </c>
      <c r="E1108" s="89" t="s">
        <v>3110</v>
      </c>
      <c r="F1108" s="89" t="s">
        <v>3110</v>
      </c>
      <c r="G1108" s="92">
        <v>16</v>
      </c>
      <c r="H1108" s="92">
        <v>12</v>
      </c>
      <c r="I1108" s="115">
        <f>Table223[[#This Row],[Qty]]-Table223[[#This Row],[Issue Qty]]</f>
        <v>4</v>
      </c>
      <c r="J1108" s="93">
        <v>2229</v>
      </c>
      <c r="K1108" s="10">
        <f t="shared" si="54"/>
        <v>35664</v>
      </c>
      <c r="L1108" s="82">
        <v>0.18</v>
      </c>
      <c r="M1108" s="9">
        <f t="shared" si="55"/>
        <v>6419.5199999999995</v>
      </c>
      <c r="N1108" s="95"/>
      <c r="O1108" s="95"/>
      <c r="P1108" s="10">
        <f t="shared" si="56"/>
        <v>42083.519999999997</v>
      </c>
      <c r="Q1108" s="1" t="s">
        <v>2887</v>
      </c>
      <c r="R1108" s="3" t="s">
        <v>2816</v>
      </c>
      <c r="S1108" s="89" t="s">
        <v>1511</v>
      </c>
      <c r="T1108" s="89">
        <v>6760000041</v>
      </c>
      <c r="U1108" s="89"/>
      <c r="V1108" s="90"/>
      <c r="W1108" s="21" t="s">
        <v>3165</v>
      </c>
      <c r="X1108" s="21" t="s">
        <v>3183</v>
      </c>
      <c r="Y1108" s="96">
        <v>12</v>
      </c>
      <c r="Z1108" s="12" t="s">
        <v>2887</v>
      </c>
      <c r="AA1108" s="120"/>
      <c r="AB1108" s="120"/>
      <c r="AC1108" s="120"/>
      <c r="AD1108" s="120"/>
    </row>
    <row r="1109" spans="1:30" x14ac:dyDescent="0.25">
      <c r="A1109" s="91">
        <v>46169</v>
      </c>
      <c r="B1109" s="91">
        <v>46169</v>
      </c>
      <c r="C1109" s="112" t="s">
        <v>54</v>
      </c>
      <c r="D1109" s="89" t="s">
        <v>3056</v>
      </c>
      <c r="E1109" s="89" t="s">
        <v>3111</v>
      </c>
      <c r="F1109" s="89" t="s">
        <v>3111</v>
      </c>
      <c r="G1109" s="92">
        <v>8</v>
      </c>
      <c r="H1109" s="92">
        <v>4</v>
      </c>
      <c r="I1109" s="115">
        <f>Table223[[#This Row],[Qty]]-Table223[[#This Row],[Issue Qty]]</f>
        <v>4</v>
      </c>
      <c r="J1109" s="93">
        <v>2937</v>
      </c>
      <c r="K1109" s="10">
        <f t="shared" si="54"/>
        <v>23496</v>
      </c>
      <c r="L1109" s="82">
        <v>0.18</v>
      </c>
      <c r="M1109" s="9">
        <f t="shared" si="55"/>
        <v>4229.28</v>
      </c>
      <c r="N1109" s="95"/>
      <c r="O1109" s="95"/>
      <c r="P1109" s="10">
        <f t="shared" si="56"/>
        <v>27725.279999999999</v>
      </c>
      <c r="Q1109" s="1" t="s">
        <v>2887</v>
      </c>
      <c r="R1109" s="3" t="s">
        <v>2816</v>
      </c>
      <c r="S1109" s="89" t="s">
        <v>1511</v>
      </c>
      <c r="T1109" s="89">
        <v>6760000041</v>
      </c>
      <c r="U1109" s="89"/>
      <c r="V1109" s="90"/>
      <c r="W1109" s="21" t="s">
        <v>3165</v>
      </c>
      <c r="X1109" s="21"/>
      <c r="Y1109" s="96">
        <v>4</v>
      </c>
      <c r="Z1109" s="12" t="s">
        <v>2887</v>
      </c>
      <c r="AA1109" s="120"/>
      <c r="AB1109" s="120"/>
      <c r="AC1109" s="120"/>
      <c r="AD1109" s="120"/>
    </row>
    <row r="1110" spans="1:30" x14ac:dyDescent="0.25">
      <c r="A1110" s="91">
        <v>46169</v>
      </c>
      <c r="B1110" s="91">
        <v>46169</v>
      </c>
      <c r="C1110" s="112" t="s">
        <v>54</v>
      </c>
      <c r="D1110" s="89" t="s">
        <v>3057</v>
      </c>
      <c r="E1110" s="114" t="s">
        <v>3112</v>
      </c>
      <c r="F1110" s="89" t="s">
        <v>3112</v>
      </c>
      <c r="G1110" s="92">
        <v>8</v>
      </c>
      <c r="H1110" s="92">
        <v>4</v>
      </c>
      <c r="I1110" s="115">
        <f>Table223[[#This Row],[Qty]]-Table223[[#This Row],[Issue Qty]]</f>
        <v>4</v>
      </c>
      <c r="J1110" s="93">
        <v>2454</v>
      </c>
      <c r="K1110" s="10">
        <f t="shared" si="54"/>
        <v>19632</v>
      </c>
      <c r="L1110" s="82">
        <v>0.18</v>
      </c>
      <c r="M1110" s="9">
        <f t="shared" si="55"/>
        <v>3533.7599999999998</v>
      </c>
      <c r="N1110" s="95"/>
      <c r="O1110" s="95"/>
      <c r="P1110" s="10">
        <f t="shared" si="56"/>
        <v>23165.759999999998</v>
      </c>
      <c r="Q1110" s="1" t="s">
        <v>2887</v>
      </c>
      <c r="R1110" s="3" t="s">
        <v>2816</v>
      </c>
      <c r="S1110" s="89" t="s">
        <v>1511</v>
      </c>
      <c r="T1110" s="89">
        <v>6760000041</v>
      </c>
      <c r="U1110" s="89"/>
      <c r="V1110" s="90"/>
      <c r="W1110" s="21" t="s">
        <v>3165</v>
      </c>
      <c r="X1110" s="21" t="s">
        <v>3183</v>
      </c>
      <c r="Y1110" s="96">
        <v>4</v>
      </c>
      <c r="Z1110" s="12" t="s">
        <v>2887</v>
      </c>
      <c r="AA1110" s="120"/>
      <c r="AB1110" s="120"/>
      <c r="AC1110" s="120"/>
      <c r="AD1110" s="120"/>
    </row>
    <row r="1111" spans="1:30" x14ac:dyDescent="0.25">
      <c r="A1111" s="91">
        <v>46169</v>
      </c>
      <c r="B1111" s="91">
        <v>46169</v>
      </c>
      <c r="C1111" s="112" t="s">
        <v>54</v>
      </c>
      <c r="D1111" s="89" t="s">
        <v>3058</v>
      </c>
      <c r="E1111" s="89" t="s">
        <v>3113</v>
      </c>
      <c r="F1111" s="89" t="s">
        <v>3113</v>
      </c>
      <c r="G1111" s="92">
        <v>16</v>
      </c>
      <c r="H1111" s="92">
        <v>4</v>
      </c>
      <c r="I1111" s="115">
        <f>Table223[[#This Row],[Qty]]-Table223[[#This Row],[Issue Qty]]</f>
        <v>12</v>
      </c>
      <c r="J1111" s="93">
        <v>792</v>
      </c>
      <c r="K1111" s="10">
        <f t="shared" si="54"/>
        <v>12672</v>
      </c>
      <c r="L1111" s="82">
        <v>0.18</v>
      </c>
      <c r="M1111" s="9">
        <f t="shared" si="55"/>
        <v>2280.96</v>
      </c>
      <c r="N1111" s="95"/>
      <c r="O1111" s="95"/>
      <c r="P1111" s="10">
        <f t="shared" si="56"/>
        <v>14952.96</v>
      </c>
      <c r="Q1111" s="1" t="s">
        <v>2887</v>
      </c>
      <c r="R1111" s="3" t="s">
        <v>2816</v>
      </c>
      <c r="S1111" s="89" t="s">
        <v>1511</v>
      </c>
      <c r="T1111" s="89">
        <v>6760000041</v>
      </c>
      <c r="U1111" s="89"/>
      <c r="V1111" s="90"/>
      <c r="W1111" s="21" t="s">
        <v>3165</v>
      </c>
      <c r="X1111" s="21"/>
      <c r="Y1111" s="96">
        <v>4</v>
      </c>
      <c r="Z1111" s="12" t="s">
        <v>2887</v>
      </c>
      <c r="AA1111" s="120"/>
      <c r="AB1111" s="120"/>
      <c r="AC1111" s="120"/>
      <c r="AD1111" s="120"/>
    </row>
    <row r="1112" spans="1:30" x14ac:dyDescent="0.25">
      <c r="A1112" s="91">
        <v>46169</v>
      </c>
      <c r="B1112" s="91">
        <v>46169</v>
      </c>
      <c r="C1112" s="112" t="s">
        <v>54</v>
      </c>
      <c r="D1112" s="89" t="s">
        <v>3059</v>
      </c>
      <c r="E1112" s="89" t="s">
        <v>3114</v>
      </c>
      <c r="F1112" s="89" t="s">
        <v>3114</v>
      </c>
      <c r="G1112" s="92">
        <v>16</v>
      </c>
      <c r="H1112" s="92">
        <v>12</v>
      </c>
      <c r="I1112" s="115">
        <f>Table223[[#This Row],[Qty]]-Table223[[#This Row],[Issue Qty]]</f>
        <v>4</v>
      </c>
      <c r="J1112" s="93">
        <v>799</v>
      </c>
      <c r="K1112" s="10">
        <f t="shared" ref="K1112:K1178" si="57">G1112*J1112</f>
        <v>12784</v>
      </c>
      <c r="L1112" s="82">
        <v>0.18</v>
      </c>
      <c r="M1112" s="9">
        <f t="shared" ref="M1112:M1178" si="58">K1112*L1112</f>
        <v>2301.12</v>
      </c>
      <c r="N1112" s="95"/>
      <c r="O1112" s="95"/>
      <c r="P1112" s="10">
        <f t="shared" ref="P1112:P1178" si="59">K1112+M1112+N1112+O1112</f>
        <v>15085.119999999999</v>
      </c>
      <c r="Q1112" s="1" t="s">
        <v>2887</v>
      </c>
      <c r="R1112" s="3" t="s">
        <v>2816</v>
      </c>
      <c r="S1112" s="89" t="s">
        <v>1511</v>
      </c>
      <c r="T1112" s="89">
        <v>6760000041</v>
      </c>
      <c r="U1112" s="89"/>
      <c r="V1112" s="90"/>
      <c r="W1112" s="21" t="s">
        <v>3165</v>
      </c>
      <c r="X1112" s="21"/>
      <c r="Y1112" s="96">
        <v>12</v>
      </c>
      <c r="Z1112" s="12" t="s">
        <v>2887</v>
      </c>
      <c r="AA1112" s="120"/>
      <c r="AB1112" s="120"/>
      <c r="AC1112" s="120"/>
      <c r="AD1112" s="120"/>
    </row>
    <row r="1113" spans="1:30" x14ac:dyDescent="0.25">
      <c r="A1113" s="91">
        <v>46169</v>
      </c>
      <c r="B1113" s="91">
        <v>46169</v>
      </c>
      <c r="C1113" s="112" t="s">
        <v>54</v>
      </c>
      <c r="D1113" s="89" t="s">
        <v>3060</v>
      </c>
      <c r="E1113" s="89" t="s">
        <v>3115</v>
      </c>
      <c r="F1113" s="89" t="s">
        <v>3115</v>
      </c>
      <c r="G1113" s="92">
        <v>6</v>
      </c>
      <c r="H1113" s="92">
        <v>3</v>
      </c>
      <c r="I1113" s="115">
        <f>Table223[[#This Row],[Qty]]-Table223[[#This Row],[Issue Qty]]</f>
        <v>3</v>
      </c>
      <c r="J1113" s="93">
        <v>1634</v>
      </c>
      <c r="K1113" s="10">
        <f t="shared" si="57"/>
        <v>9804</v>
      </c>
      <c r="L1113" s="82">
        <v>0.18</v>
      </c>
      <c r="M1113" s="9">
        <f t="shared" si="58"/>
        <v>1764.72</v>
      </c>
      <c r="N1113" s="95"/>
      <c r="O1113" s="95"/>
      <c r="P1113" s="10">
        <f t="shared" si="59"/>
        <v>11568.72</v>
      </c>
      <c r="Q1113" s="1" t="s">
        <v>2887</v>
      </c>
      <c r="R1113" s="3" t="s">
        <v>2816</v>
      </c>
      <c r="S1113" s="89" t="s">
        <v>1511</v>
      </c>
      <c r="T1113" s="89">
        <v>6760000041</v>
      </c>
      <c r="U1113" s="89"/>
      <c r="V1113" s="90"/>
      <c r="W1113" s="21" t="s">
        <v>3165</v>
      </c>
      <c r="X1113" s="21" t="s">
        <v>3183</v>
      </c>
      <c r="Y1113" s="96">
        <v>3</v>
      </c>
      <c r="Z1113" s="12" t="s">
        <v>2887</v>
      </c>
      <c r="AA1113" s="120"/>
      <c r="AB1113" s="120"/>
      <c r="AC1113" s="120"/>
      <c r="AD1113" s="120"/>
    </row>
    <row r="1114" spans="1:30" x14ac:dyDescent="0.25">
      <c r="A1114" s="91">
        <v>46169</v>
      </c>
      <c r="B1114" s="91">
        <v>46169</v>
      </c>
      <c r="C1114" s="112" t="s">
        <v>54</v>
      </c>
      <c r="D1114" s="89" t="s">
        <v>3061</v>
      </c>
      <c r="E1114" s="171" t="s">
        <v>3116</v>
      </c>
      <c r="F1114" s="89" t="s">
        <v>3116</v>
      </c>
      <c r="G1114" s="92">
        <v>1</v>
      </c>
      <c r="H1114" s="92">
        <v>1</v>
      </c>
      <c r="I1114" s="115">
        <f>Table223[[#This Row],[Qty]]-Table223[[#This Row],[Issue Qty]]</f>
        <v>0</v>
      </c>
      <c r="J1114" s="93">
        <v>1740</v>
      </c>
      <c r="K1114" s="10">
        <f t="shared" si="57"/>
        <v>1740</v>
      </c>
      <c r="L1114" s="82">
        <v>0.18</v>
      </c>
      <c r="M1114" s="9">
        <f t="shared" si="58"/>
        <v>313.2</v>
      </c>
      <c r="N1114" s="95"/>
      <c r="O1114" s="95"/>
      <c r="P1114" s="10">
        <f t="shared" si="59"/>
        <v>2053.1999999999998</v>
      </c>
      <c r="Q1114" s="1" t="s">
        <v>2887</v>
      </c>
      <c r="R1114" s="3" t="s">
        <v>2816</v>
      </c>
      <c r="S1114" s="89" t="s">
        <v>1511</v>
      </c>
      <c r="T1114" s="89">
        <v>6760000041</v>
      </c>
      <c r="U1114" s="89"/>
      <c r="V1114" s="90"/>
      <c r="W1114" s="21" t="s">
        <v>3165</v>
      </c>
      <c r="X1114" s="21"/>
      <c r="Y1114" s="92">
        <v>1</v>
      </c>
      <c r="Z1114" s="12" t="s">
        <v>3303</v>
      </c>
      <c r="AA1114" s="120"/>
      <c r="AB1114" s="120"/>
      <c r="AC1114" s="120"/>
      <c r="AD1114" s="120"/>
    </row>
    <row r="1115" spans="1:30" x14ac:dyDescent="0.25">
      <c r="A1115" s="91">
        <v>46169</v>
      </c>
      <c r="B1115" s="91">
        <v>46169</v>
      </c>
      <c r="C1115" s="112" t="s">
        <v>54</v>
      </c>
      <c r="D1115" s="89" t="s">
        <v>3062</v>
      </c>
      <c r="E1115" s="171" t="s">
        <v>3117</v>
      </c>
      <c r="F1115" s="89" t="s">
        <v>3117</v>
      </c>
      <c r="G1115" s="92">
        <v>4</v>
      </c>
      <c r="H1115" s="92">
        <v>4</v>
      </c>
      <c r="I1115" s="115">
        <f>Table223[[#This Row],[Qty]]-Table223[[#This Row],[Issue Qty]]</f>
        <v>0</v>
      </c>
      <c r="J1115" s="93">
        <v>1933</v>
      </c>
      <c r="K1115" s="10">
        <f t="shared" si="57"/>
        <v>7732</v>
      </c>
      <c r="L1115" s="82">
        <v>0.18</v>
      </c>
      <c r="M1115" s="9">
        <f t="shared" si="58"/>
        <v>1391.76</v>
      </c>
      <c r="N1115" s="95"/>
      <c r="O1115" s="95"/>
      <c r="P1115" s="10">
        <f t="shared" si="59"/>
        <v>9123.76</v>
      </c>
      <c r="Q1115" s="1" t="s">
        <v>2887</v>
      </c>
      <c r="R1115" s="3" t="s">
        <v>2816</v>
      </c>
      <c r="S1115" s="89" t="s">
        <v>1511</v>
      </c>
      <c r="T1115" s="89">
        <v>6760000041</v>
      </c>
      <c r="U1115" s="89"/>
      <c r="V1115" s="90"/>
      <c r="W1115" s="21" t="s">
        <v>3165</v>
      </c>
      <c r="X1115" s="21"/>
      <c r="Y1115" s="92">
        <v>4</v>
      </c>
      <c r="Z1115" s="12" t="s">
        <v>2887</v>
      </c>
      <c r="AA1115" s="120"/>
      <c r="AB1115" s="120"/>
      <c r="AC1115" s="120"/>
      <c r="AD1115" s="120"/>
    </row>
    <row r="1116" spans="1:30" x14ac:dyDescent="0.25">
      <c r="A1116" s="91">
        <v>46169</v>
      </c>
      <c r="B1116" s="91">
        <v>46169</v>
      </c>
      <c r="C1116" s="112" t="s">
        <v>54</v>
      </c>
      <c r="D1116" s="89" t="s">
        <v>3063</v>
      </c>
      <c r="E1116" s="174" t="s">
        <v>3118</v>
      </c>
      <c r="F1116" s="89" t="s">
        <v>3118</v>
      </c>
      <c r="G1116" s="92">
        <v>4</v>
      </c>
      <c r="H1116" s="92">
        <v>4</v>
      </c>
      <c r="I1116" s="115">
        <f>Table223[[#This Row],[Qty]]-Table223[[#This Row],[Issue Qty]]</f>
        <v>0</v>
      </c>
      <c r="J1116" s="93">
        <v>2010</v>
      </c>
      <c r="K1116" s="10">
        <f t="shared" si="57"/>
        <v>8040</v>
      </c>
      <c r="L1116" s="82">
        <v>0.18</v>
      </c>
      <c r="M1116" s="9">
        <f t="shared" si="58"/>
        <v>1447.2</v>
      </c>
      <c r="N1116" s="95"/>
      <c r="O1116" s="95"/>
      <c r="P1116" s="10">
        <f t="shared" si="59"/>
        <v>9487.2000000000007</v>
      </c>
      <c r="Q1116" s="1" t="s">
        <v>2887</v>
      </c>
      <c r="R1116" s="3" t="s">
        <v>2816</v>
      </c>
      <c r="S1116" s="89" t="s">
        <v>1511</v>
      </c>
      <c r="T1116" s="89">
        <v>6760000041</v>
      </c>
      <c r="U1116" s="89"/>
      <c r="V1116" s="90"/>
      <c r="W1116" s="21" t="s">
        <v>3165</v>
      </c>
      <c r="X1116" s="21"/>
      <c r="Y1116" s="92">
        <v>4</v>
      </c>
      <c r="Z1116" s="12" t="s">
        <v>2887</v>
      </c>
      <c r="AA1116" s="120"/>
      <c r="AB1116" s="120"/>
      <c r="AC1116" s="120"/>
      <c r="AD1116" s="120"/>
    </row>
    <row r="1117" spans="1:30" x14ac:dyDescent="0.25">
      <c r="A1117" s="91">
        <v>46169</v>
      </c>
      <c r="B1117" s="91">
        <v>46169</v>
      </c>
      <c r="C1117" s="112" t="s">
        <v>54</v>
      </c>
      <c r="D1117" s="89" t="s">
        <v>3064</v>
      </c>
      <c r="E1117" s="171" t="s">
        <v>3119</v>
      </c>
      <c r="F1117" s="89" t="s">
        <v>3119</v>
      </c>
      <c r="G1117" s="92">
        <v>1</v>
      </c>
      <c r="H1117" s="92">
        <v>1</v>
      </c>
      <c r="I1117" s="115">
        <f>Table223[[#This Row],[Qty]]-Table223[[#This Row],[Issue Qty]]</f>
        <v>0</v>
      </c>
      <c r="J1117" s="93">
        <v>1402</v>
      </c>
      <c r="K1117" s="10">
        <f t="shared" si="57"/>
        <v>1402</v>
      </c>
      <c r="L1117" s="82">
        <v>0.18</v>
      </c>
      <c r="M1117" s="9">
        <f t="shared" si="58"/>
        <v>252.35999999999999</v>
      </c>
      <c r="N1117" s="141">
        <v>-0.44</v>
      </c>
      <c r="O1117" s="95"/>
      <c r="P1117" s="10">
        <f t="shared" si="59"/>
        <v>1653.9199999999998</v>
      </c>
      <c r="Q1117" s="1" t="s">
        <v>2887</v>
      </c>
      <c r="R1117" s="3" t="s">
        <v>2816</v>
      </c>
      <c r="S1117" s="89" t="s">
        <v>1511</v>
      </c>
      <c r="T1117" s="89">
        <v>6760000041</v>
      </c>
      <c r="U1117" s="89"/>
      <c r="V1117" s="90"/>
      <c r="W1117" s="21" t="s">
        <v>3165</v>
      </c>
      <c r="X1117" s="21" t="s">
        <v>3183</v>
      </c>
      <c r="Y1117" s="92">
        <v>1</v>
      </c>
      <c r="Z1117" s="12" t="s">
        <v>3303</v>
      </c>
      <c r="AA1117" s="120"/>
      <c r="AB1117" s="120"/>
      <c r="AC1117" s="120"/>
      <c r="AD1117" s="120"/>
    </row>
    <row r="1118" spans="1:30" ht="30" x14ac:dyDescent="0.25">
      <c r="A1118" s="91">
        <v>46168</v>
      </c>
      <c r="B1118" s="91">
        <v>46170</v>
      </c>
      <c r="C1118" s="112" t="s">
        <v>1695</v>
      </c>
      <c r="D1118" s="89" t="s">
        <v>3065</v>
      </c>
      <c r="E1118" s="148" t="s">
        <v>3120</v>
      </c>
      <c r="F1118" s="89" t="s">
        <v>3120</v>
      </c>
      <c r="G1118" s="92">
        <v>10</v>
      </c>
      <c r="H1118" s="73">
        <v>10</v>
      </c>
      <c r="I1118" s="73">
        <f>Table223[[#This Row],[Qty]]-Table223[[#This Row],[Issue Qty]]</f>
        <v>0</v>
      </c>
      <c r="J1118" s="93">
        <v>42800</v>
      </c>
      <c r="K1118" s="10">
        <f t="shared" si="57"/>
        <v>428000</v>
      </c>
      <c r="L1118" s="82">
        <v>0.05</v>
      </c>
      <c r="M1118" s="9">
        <f t="shared" si="58"/>
        <v>21400</v>
      </c>
      <c r="N1118" s="95"/>
      <c r="O1118" s="95"/>
      <c r="P1118" s="10">
        <f t="shared" si="59"/>
        <v>449400</v>
      </c>
      <c r="Q1118" s="3" t="s">
        <v>3242</v>
      </c>
      <c r="R1118" s="3" t="s">
        <v>3242</v>
      </c>
      <c r="S1118" s="89" t="s">
        <v>1420</v>
      </c>
      <c r="T1118" s="89" t="s">
        <v>3154</v>
      </c>
      <c r="U1118" s="89">
        <v>88073020</v>
      </c>
      <c r="V1118" s="90"/>
      <c r="W1118" s="21" t="s">
        <v>3166</v>
      </c>
      <c r="X1118" s="21" t="s">
        <v>3167</v>
      </c>
      <c r="Y1118" s="21">
        <v>1</v>
      </c>
      <c r="Z1118" s="97" t="s">
        <v>3303</v>
      </c>
      <c r="AA1118" s="120"/>
      <c r="AB1118" s="120"/>
      <c r="AC1118" s="120"/>
      <c r="AD1118" s="120"/>
    </row>
    <row r="1119" spans="1:30" x14ac:dyDescent="0.25">
      <c r="A1119" s="91">
        <v>46170</v>
      </c>
      <c r="B1119" s="91">
        <v>46170</v>
      </c>
      <c r="C1119" s="112" t="s">
        <v>54</v>
      </c>
      <c r="D1119" s="89" t="s">
        <v>2603</v>
      </c>
      <c r="E1119" s="174" t="s">
        <v>3173</v>
      </c>
      <c r="F1119" s="89" t="s">
        <v>3173</v>
      </c>
      <c r="G1119" s="92">
        <v>1</v>
      </c>
      <c r="H1119" s="73">
        <v>1</v>
      </c>
      <c r="I1119" s="73">
        <f>Table223[[#This Row],[Qty]]-Table223[[#This Row],[Issue Qty]]</f>
        <v>0</v>
      </c>
      <c r="J1119" s="93">
        <v>3036</v>
      </c>
      <c r="K1119" s="10">
        <f t="shared" si="57"/>
        <v>3036</v>
      </c>
      <c r="L1119" s="82">
        <v>0.18</v>
      </c>
      <c r="M1119" s="9">
        <f t="shared" si="58"/>
        <v>546.48</v>
      </c>
      <c r="N1119" s="95"/>
      <c r="O1119" s="95"/>
      <c r="P1119" s="10">
        <f t="shared" si="59"/>
        <v>3582.48</v>
      </c>
      <c r="Q1119" s="1" t="s">
        <v>2887</v>
      </c>
      <c r="R1119" s="3" t="s">
        <v>2816</v>
      </c>
      <c r="S1119" s="89" t="s">
        <v>358</v>
      </c>
      <c r="T1119" s="89" t="s">
        <v>3155</v>
      </c>
      <c r="U1119" s="89">
        <v>39269099</v>
      </c>
      <c r="V1119" s="90"/>
      <c r="W1119" s="21" t="s">
        <v>3302</v>
      </c>
      <c r="X1119" s="21"/>
      <c r="Y1119" s="92">
        <v>1</v>
      </c>
      <c r="Z1119" s="12" t="s">
        <v>481</v>
      </c>
      <c r="AA1119" s="120"/>
      <c r="AB1119" s="120"/>
      <c r="AC1119" s="120"/>
      <c r="AD1119" s="120"/>
    </row>
    <row r="1120" spans="1:30" x14ac:dyDescent="0.25">
      <c r="A1120" s="91">
        <v>46170</v>
      </c>
      <c r="B1120" s="91">
        <v>46170</v>
      </c>
      <c r="C1120" s="112" t="s">
        <v>54</v>
      </c>
      <c r="D1120" s="89" t="s">
        <v>2603</v>
      </c>
      <c r="E1120" s="89" t="s">
        <v>3174</v>
      </c>
      <c r="F1120" s="89" t="s">
        <v>3174</v>
      </c>
      <c r="G1120" s="92">
        <v>2</v>
      </c>
      <c r="H1120" s="73">
        <v>1</v>
      </c>
      <c r="I1120" s="73">
        <f>Table223[[#This Row],[Qty]]-Table223[[#This Row],[Issue Qty]]</f>
        <v>1</v>
      </c>
      <c r="J1120" s="93">
        <v>3473</v>
      </c>
      <c r="K1120" s="10">
        <f t="shared" si="57"/>
        <v>6946</v>
      </c>
      <c r="L1120" s="82">
        <v>0.18</v>
      </c>
      <c r="M1120" s="9">
        <f t="shared" si="58"/>
        <v>1250.28</v>
      </c>
      <c r="N1120" s="95"/>
      <c r="O1120" s="95"/>
      <c r="P1120" s="10">
        <f t="shared" si="59"/>
        <v>8196.2800000000007</v>
      </c>
      <c r="Q1120" s="1" t="s">
        <v>2887</v>
      </c>
      <c r="R1120" s="3" t="s">
        <v>2816</v>
      </c>
      <c r="S1120" s="89" t="s">
        <v>358</v>
      </c>
      <c r="T1120" s="89" t="s">
        <v>3155</v>
      </c>
      <c r="U1120" s="89">
        <v>39269099</v>
      </c>
      <c r="V1120" s="90"/>
      <c r="W1120" s="21" t="s">
        <v>3165</v>
      </c>
      <c r="X1120" s="21" t="s">
        <v>3161</v>
      </c>
      <c r="Y1120" s="21"/>
      <c r="Z1120" s="97"/>
      <c r="AA1120" s="120"/>
      <c r="AB1120" s="120"/>
      <c r="AC1120" s="120"/>
      <c r="AD1120" s="120"/>
    </row>
    <row r="1121" spans="1:30" x14ac:dyDescent="0.25">
      <c r="A1121" s="91" t="s">
        <v>3356</v>
      </c>
      <c r="B1121" s="91">
        <v>46170</v>
      </c>
      <c r="C1121" s="112" t="s">
        <v>54</v>
      </c>
      <c r="D1121" s="89" t="s">
        <v>2606</v>
      </c>
      <c r="E1121" s="89" t="s">
        <v>1509</v>
      </c>
      <c r="F1121" s="89" t="s">
        <v>1509</v>
      </c>
      <c r="G1121" s="92">
        <v>10</v>
      </c>
      <c r="H1121" s="73">
        <v>4</v>
      </c>
      <c r="I1121" s="73">
        <f>Table223[[#This Row],[Qty]]-Table223[[#This Row],[Issue Qty]]</f>
        <v>6</v>
      </c>
      <c r="J1121" s="93">
        <v>294.39999999999998</v>
      </c>
      <c r="K1121" s="10">
        <f t="shared" si="57"/>
        <v>2944</v>
      </c>
      <c r="L1121" s="82">
        <v>0.18</v>
      </c>
      <c r="M1121" s="9">
        <f t="shared" si="58"/>
        <v>529.91999999999996</v>
      </c>
      <c r="N1121" s="95"/>
      <c r="O1121" s="95"/>
      <c r="P1121" s="10">
        <f t="shared" si="59"/>
        <v>3473.92</v>
      </c>
      <c r="Q1121" s="1" t="s">
        <v>2887</v>
      </c>
      <c r="R1121" s="3" t="s">
        <v>2816</v>
      </c>
      <c r="S1121" s="89" t="s">
        <v>358</v>
      </c>
      <c r="T1121" s="89" t="s">
        <v>3155</v>
      </c>
      <c r="U1121" s="89">
        <v>39269099</v>
      </c>
      <c r="V1121" s="90"/>
      <c r="W1121" s="21" t="s">
        <v>3165</v>
      </c>
      <c r="X1121" s="21" t="s">
        <v>3161</v>
      </c>
      <c r="Y1121" s="21">
        <v>4</v>
      </c>
      <c r="Z1121" s="97" t="s">
        <v>3352</v>
      </c>
      <c r="AA1121" s="120"/>
      <c r="AB1121" s="120"/>
      <c r="AC1121" s="120"/>
      <c r="AD1121" s="120"/>
    </row>
    <row r="1122" spans="1:30" x14ac:dyDescent="0.25">
      <c r="A1122" s="91">
        <v>46170</v>
      </c>
      <c r="B1122" s="91">
        <v>46170</v>
      </c>
      <c r="C1122" s="112" t="s">
        <v>54</v>
      </c>
      <c r="D1122" s="89" t="s">
        <v>3038</v>
      </c>
      <c r="E1122" s="89" t="s">
        <v>3004</v>
      </c>
      <c r="F1122" s="89" t="s">
        <v>3004</v>
      </c>
      <c r="G1122" s="92">
        <v>2</v>
      </c>
      <c r="H1122" s="73">
        <v>1</v>
      </c>
      <c r="I1122" s="73">
        <f>Table223[[#This Row],[Qty]]-Table223[[#This Row],[Issue Qty]]</f>
        <v>1</v>
      </c>
      <c r="J1122" s="93">
        <v>1136.2</v>
      </c>
      <c r="K1122" s="10">
        <f t="shared" si="57"/>
        <v>2272.4</v>
      </c>
      <c r="L1122" s="82">
        <v>0.18</v>
      </c>
      <c r="M1122" s="9">
        <f t="shared" si="58"/>
        <v>409.03199999999998</v>
      </c>
      <c r="N1122" s="95"/>
      <c r="O1122" s="95"/>
      <c r="P1122" s="10">
        <f t="shared" si="59"/>
        <v>2681.4320000000002</v>
      </c>
      <c r="Q1122" s="1" t="s">
        <v>2887</v>
      </c>
      <c r="R1122" s="3" t="s">
        <v>2816</v>
      </c>
      <c r="S1122" s="89" t="s">
        <v>358</v>
      </c>
      <c r="T1122" s="89" t="s">
        <v>3155</v>
      </c>
      <c r="U1122" s="89">
        <v>39269099</v>
      </c>
      <c r="V1122" s="90"/>
      <c r="W1122" s="21" t="s">
        <v>3165</v>
      </c>
      <c r="X1122" s="21" t="s">
        <v>3161</v>
      </c>
      <c r="Y1122" s="21">
        <v>1</v>
      </c>
      <c r="Z1122" s="97" t="s">
        <v>3352</v>
      </c>
      <c r="AA1122" s="120"/>
      <c r="AB1122" s="120"/>
      <c r="AC1122" s="120"/>
      <c r="AD1122" s="120"/>
    </row>
    <row r="1123" spans="1:30" x14ac:dyDescent="0.25">
      <c r="A1123" s="91">
        <v>46170</v>
      </c>
      <c r="B1123" s="91">
        <v>46170</v>
      </c>
      <c r="C1123" s="112" t="s">
        <v>54</v>
      </c>
      <c r="D1123" s="89" t="s">
        <v>2604</v>
      </c>
      <c r="E1123" s="33" t="s">
        <v>3175</v>
      </c>
      <c r="F1123" s="89" t="s">
        <v>3175</v>
      </c>
      <c r="G1123" s="92">
        <v>1</v>
      </c>
      <c r="H1123" s="73">
        <v>1</v>
      </c>
      <c r="I1123" s="73">
        <f>Table223[[#This Row],[Qty]]-Table223[[#This Row],[Issue Qty]]</f>
        <v>0</v>
      </c>
      <c r="J1123" s="93">
        <v>4402.2</v>
      </c>
      <c r="K1123" s="10">
        <f t="shared" si="57"/>
        <v>4402.2</v>
      </c>
      <c r="L1123" s="82">
        <v>0.18</v>
      </c>
      <c r="M1123" s="9">
        <f t="shared" si="58"/>
        <v>792.39599999999996</v>
      </c>
      <c r="N1123" s="95"/>
      <c r="O1123" s="95"/>
      <c r="P1123" s="10">
        <f t="shared" si="59"/>
        <v>5194.5959999999995</v>
      </c>
      <c r="Q1123" s="1" t="s">
        <v>2887</v>
      </c>
      <c r="R1123" s="3" t="s">
        <v>2816</v>
      </c>
      <c r="S1123" s="89" t="s">
        <v>358</v>
      </c>
      <c r="T1123" s="89" t="s">
        <v>3155</v>
      </c>
      <c r="U1123" s="89">
        <v>39269099</v>
      </c>
      <c r="V1123" s="90"/>
      <c r="W1123" s="21" t="s">
        <v>3302</v>
      </c>
      <c r="X1123" s="21"/>
      <c r="Y1123" s="21">
        <v>1</v>
      </c>
      <c r="Z1123" s="97" t="s">
        <v>481</v>
      </c>
      <c r="AA1123" s="120"/>
      <c r="AB1123" s="120"/>
      <c r="AC1123" s="120"/>
      <c r="AD1123" s="120"/>
    </row>
    <row r="1124" spans="1:30" x14ac:dyDescent="0.25">
      <c r="A1124" s="91">
        <v>46170</v>
      </c>
      <c r="B1124" s="91">
        <v>46170</v>
      </c>
      <c r="C1124" s="112" t="s">
        <v>54</v>
      </c>
      <c r="D1124" s="89" t="s">
        <v>2604</v>
      </c>
      <c r="E1124" s="89" t="s">
        <v>3176</v>
      </c>
      <c r="F1124" s="89" t="s">
        <v>3176</v>
      </c>
      <c r="G1124" s="92">
        <v>2</v>
      </c>
      <c r="H1124" s="73">
        <v>1</v>
      </c>
      <c r="I1124" s="73">
        <f>Table223[[#This Row],[Qty]]-Table223[[#This Row],[Issue Qty]]</f>
        <v>1</v>
      </c>
      <c r="J1124" s="93">
        <v>4830</v>
      </c>
      <c r="K1124" s="10">
        <f t="shared" si="57"/>
        <v>9660</v>
      </c>
      <c r="L1124" s="82">
        <v>0.18</v>
      </c>
      <c r="M1124" s="9">
        <f t="shared" si="58"/>
        <v>1738.8</v>
      </c>
      <c r="N1124" s="95"/>
      <c r="O1124" s="95"/>
      <c r="P1124" s="10">
        <f t="shared" si="59"/>
        <v>11398.8</v>
      </c>
      <c r="Q1124" s="1" t="s">
        <v>2887</v>
      </c>
      <c r="R1124" s="3" t="s">
        <v>2816</v>
      </c>
      <c r="S1124" s="89" t="s">
        <v>358</v>
      </c>
      <c r="T1124" s="89" t="s">
        <v>3155</v>
      </c>
      <c r="U1124" s="89">
        <v>39269099</v>
      </c>
      <c r="V1124" s="90"/>
      <c r="W1124" s="21" t="s">
        <v>3165</v>
      </c>
      <c r="X1124" s="21" t="s">
        <v>3161</v>
      </c>
      <c r="Y1124" s="21">
        <v>1</v>
      </c>
      <c r="Z1124" s="12" t="s">
        <v>2887</v>
      </c>
      <c r="AA1124" s="120"/>
      <c r="AB1124" s="120"/>
      <c r="AC1124" s="120"/>
      <c r="AD1124" s="120"/>
    </row>
    <row r="1125" spans="1:30" x14ac:dyDescent="0.25">
      <c r="A1125" s="91">
        <v>46170</v>
      </c>
      <c r="B1125" s="91">
        <v>46170</v>
      </c>
      <c r="C1125" s="112" t="s">
        <v>1730</v>
      </c>
      <c r="D1125" s="89" t="s">
        <v>3066</v>
      </c>
      <c r="E1125" s="148" t="s">
        <v>3121</v>
      </c>
      <c r="F1125" s="89" t="s">
        <v>3121</v>
      </c>
      <c r="G1125" s="92">
        <v>600</v>
      </c>
      <c r="H1125" s="73">
        <v>40</v>
      </c>
      <c r="I1125" s="73">
        <f>Table223[[#This Row],[Qty]]-Table223[[#This Row],[Issue Qty]]</f>
        <v>560</v>
      </c>
      <c r="J1125" s="93">
        <v>1.1499999999999999</v>
      </c>
      <c r="K1125" s="10">
        <f t="shared" si="57"/>
        <v>690</v>
      </c>
      <c r="L1125" s="82"/>
      <c r="M1125" s="9">
        <f t="shared" si="58"/>
        <v>0</v>
      </c>
      <c r="N1125" s="95"/>
      <c r="O1125" s="95"/>
      <c r="P1125" s="10">
        <f t="shared" si="59"/>
        <v>690</v>
      </c>
      <c r="Q1125" s="3" t="s">
        <v>2887</v>
      </c>
      <c r="R1125" s="3" t="s">
        <v>1408</v>
      </c>
      <c r="S1125" s="89" t="s">
        <v>3009</v>
      </c>
      <c r="T1125" s="89" t="s">
        <v>3156</v>
      </c>
      <c r="U1125" s="89">
        <v>73181500</v>
      </c>
      <c r="V1125" s="90"/>
      <c r="W1125" s="21" t="s">
        <v>2993</v>
      </c>
      <c r="X1125" s="21"/>
      <c r="Y1125" s="21"/>
      <c r="Z1125" s="97"/>
      <c r="AA1125" s="120"/>
      <c r="AB1125" s="120"/>
      <c r="AC1125" s="120"/>
      <c r="AD1125" s="120"/>
    </row>
    <row r="1126" spans="1:30" x14ac:dyDescent="0.25">
      <c r="A1126" s="91">
        <v>46170</v>
      </c>
      <c r="B1126" s="91">
        <v>46170</v>
      </c>
      <c r="C1126" s="112" t="s">
        <v>1730</v>
      </c>
      <c r="D1126" s="89" t="s">
        <v>2715</v>
      </c>
      <c r="E1126" s="148" t="s">
        <v>1594</v>
      </c>
      <c r="F1126" s="89" t="s">
        <v>1594</v>
      </c>
      <c r="G1126" s="92">
        <v>600</v>
      </c>
      <c r="H1126" s="73">
        <v>40</v>
      </c>
      <c r="I1126" s="73">
        <f>Table223[[#This Row],[Qty]]-Table223[[#This Row],[Issue Qty]]</f>
        <v>560</v>
      </c>
      <c r="J1126" s="93">
        <v>12.34</v>
      </c>
      <c r="K1126" s="10">
        <f t="shared" si="57"/>
        <v>7404</v>
      </c>
      <c r="L1126" s="82"/>
      <c r="M1126" s="9">
        <f t="shared" si="58"/>
        <v>0</v>
      </c>
      <c r="N1126" s="95"/>
      <c r="O1126" s="95"/>
      <c r="P1126" s="10">
        <f t="shared" si="59"/>
        <v>7404</v>
      </c>
      <c r="Q1126" s="3" t="s">
        <v>2887</v>
      </c>
      <c r="R1126" s="3" t="s">
        <v>1408</v>
      </c>
      <c r="S1126" s="89" t="s">
        <v>3009</v>
      </c>
      <c r="T1126" s="89" t="s">
        <v>3156</v>
      </c>
      <c r="U1126" s="89">
        <v>73181500</v>
      </c>
      <c r="V1126" s="90"/>
      <c r="W1126" s="21" t="s">
        <v>2993</v>
      </c>
      <c r="X1126" s="21"/>
      <c r="Y1126" s="21"/>
      <c r="Z1126" s="97"/>
      <c r="AA1126" s="120"/>
      <c r="AB1126" s="120"/>
      <c r="AC1126" s="120"/>
      <c r="AD1126" s="120"/>
    </row>
    <row r="1127" spans="1:30" x14ac:dyDescent="0.25">
      <c r="A1127" s="91">
        <v>46170</v>
      </c>
      <c r="B1127" s="91">
        <v>46170</v>
      </c>
      <c r="C1127" s="112" t="s">
        <v>1730</v>
      </c>
      <c r="D1127" s="89" t="s">
        <v>3067</v>
      </c>
      <c r="E1127" s="89" t="s">
        <v>1653</v>
      </c>
      <c r="F1127" s="89" t="s">
        <v>1653</v>
      </c>
      <c r="G1127" s="92">
        <v>600</v>
      </c>
      <c r="H1127" s="73"/>
      <c r="I1127" s="73">
        <f>Table223[[#This Row],[Qty]]-Table223[[#This Row],[Issue Qty]]</f>
        <v>600</v>
      </c>
      <c r="J1127" s="93">
        <v>4.71</v>
      </c>
      <c r="K1127" s="10">
        <f t="shared" si="57"/>
        <v>2826</v>
      </c>
      <c r="L1127" s="82"/>
      <c r="M1127" s="9">
        <f t="shared" si="58"/>
        <v>0</v>
      </c>
      <c r="N1127" s="95"/>
      <c r="O1127" s="95"/>
      <c r="P1127" s="10">
        <f t="shared" si="59"/>
        <v>2826</v>
      </c>
      <c r="Q1127" s="3" t="s">
        <v>2887</v>
      </c>
      <c r="R1127" s="3" t="s">
        <v>1408</v>
      </c>
      <c r="S1127" s="89" t="s">
        <v>3009</v>
      </c>
      <c r="T1127" s="89" t="s">
        <v>3156</v>
      </c>
      <c r="U1127" s="89">
        <v>73181500</v>
      </c>
      <c r="V1127" s="90"/>
      <c r="W1127" s="21" t="s">
        <v>2993</v>
      </c>
      <c r="X1127" s="21"/>
      <c r="Y1127" s="21"/>
      <c r="Z1127" s="97"/>
      <c r="AA1127" s="120"/>
      <c r="AB1127" s="120"/>
      <c r="AC1127" s="120"/>
      <c r="AD1127" s="120"/>
    </row>
    <row r="1128" spans="1:30" x14ac:dyDescent="0.25">
      <c r="A1128" s="91">
        <v>46170</v>
      </c>
      <c r="B1128" s="91">
        <v>46170</v>
      </c>
      <c r="C1128" s="112" t="s">
        <v>1730</v>
      </c>
      <c r="D1128" s="89" t="s">
        <v>3068</v>
      </c>
      <c r="E1128" s="148" t="s">
        <v>3122</v>
      </c>
      <c r="F1128" s="89" t="s">
        <v>3122</v>
      </c>
      <c r="G1128" s="92">
        <v>600</v>
      </c>
      <c r="H1128" s="73">
        <v>80</v>
      </c>
      <c r="I1128" s="73">
        <f>Table223[[#This Row],[Qty]]-Table223[[#This Row],[Issue Qty]]</f>
        <v>520</v>
      </c>
      <c r="J1128" s="93">
        <v>0.75</v>
      </c>
      <c r="K1128" s="10">
        <f t="shared" si="57"/>
        <v>450</v>
      </c>
      <c r="L1128" s="82"/>
      <c r="M1128" s="9">
        <f t="shared" si="58"/>
        <v>0</v>
      </c>
      <c r="N1128" s="95"/>
      <c r="O1128" s="95"/>
      <c r="P1128" s="10">
        <f t="shared" si="59"/>
        <v>450</v>
      </c>
      <c r="Q1128" s="3" t="s">
        <v>2887</v>
      </c>
      <c r="R1128" s="3" t="s">
        <v>1408</v>
      </c>
      <c r="S1128" s="89" t="s">
        <v>3009</v>
      </c>
      <c r="T1128" s="89" t="s">
        <v>3156</v>
      </c>
      <c r="U1128" s="89">
        <v>73181500</v>
      </c>
      <c r="V1128" s="90"/>
      <c r="W1128" s="21" t="s">
        <v>2993</v>
      </c>
      <c r="X1128" s="21"/>
      <c r="Y1128" s="21"/>
      <c r="Z1128" s="97"/>
      <c r="AA1128" s="120"/>
      <c r="AB1128" s="120"/>
      <c r="AC1128" s="120"/>
      <c r="AD1128" s="120"/>
    </row>
    <row r="1129" spans="1:30" x14ac:dyDescent="0.25">
      <c r="A1129" s="91">
        <v>46170</v>
      </c>
      <c r="B1129" s="91">
        <v>46170</v>
      </c>
      <c r="C1129" s="112" t="s">
        <v>1730</v>
      </c>
      <c r="D1129" s="89" t="s">
        <v>3069</v>
      </c>
      <c r="E1129" s="89" t="s">
        <v>3123</v>
      </c>
      <c r="F1129" s="89" t="s">
        <v>3123</v>
      </c>
      <c r="G1129" s="92">
        <v>600</v>
      </c>
      <c r="H1129" s="73"/>
      <c r="I1129" s="73">
        <f>Table223[[#This Row],[Qty]]-Table223[[#This Row],[Issue Qty]]</f>
        <v>600</v>
      </c>
      <c r="J1129" s="93">
        <v>1.8</v>
      </c>
      <c r="K1129" s="10">
        <f t="shared" si="57"/>
        <v>1080</v>
      </c>
      <c r="L1129" s="82"/>
      <c r="M1129" s="9">
        <f t="shared" si="58"/>
        <v>0</v>
      </c>
      <c r="N1129" s="95"/>
      <c r="O1129" s="95"/>
      <c r="P1129" s="10">
        <f t="shared" si="59"/>
        <v>1080</v>
      </c>
      <c r="Q1129" s="3" t="s">
        <v>2887</v>
      </c>
      <c r="R1129" s="3" t="s">
        <v>1408</v>
      </c>
      <c r="S1129" s="89" t="s">
        <v>3009</v>
      </c>
      <c r="T1129" s="89" t="s">
        <v>3156</v>
      </c>
      <c r="U1129" s="89">
        <v>73181500</v>
      </c>
      <c r="V1129" s="90"/>
      <c r="W1129" s="21" t="s">
        <v>2993</v>
      </c>
      <c r="X1129" s="21"/>
      <c r="Y1129" s="96"/>
      <c r="Z1129" s="97"/>
      <c r="AA1129" s="120"/>
      <c r="AB1129" s="120"/>
      <c r="AC1129" s="120"/>
      <c r="AD1129" s="120"/>
    </row>
    <row r="1130" spans="1:30" x14ac:dyDescent="0.25">
      <c r="A1130" s="91">
        <v>46170</v>
      </c>
      <c r="B1130" s="91">
        <v>46170</v>
      </c>
      <c r="C1130" s="112" t="s">
        <v>1730</v>
      </c>
      <c r="D1130" s="89" t="s">
        <v>3070</v>
      </c>
      <c r="E1130" s="89" t="s">
        <v>1652</v>
      </c>
      <c r="F1130" s="89" t="s">
        <v>1652</v>
      </c>
      <c r="G1130" s="92">
        <v>600</v>
      </c>
      <c r="H1130" s="73"/>
      <c r="I1130" s="73">
        <f>Table223[[#This Row],[Qty]]-Table223[[#This Row],[Issue Qty]]</f>
        <v>600</v>
      </c>
      <c r="J1130" s="93">
        <v>2.92</v>
      </c>
      <c r="K1130" s="10">
        <f t="shared" si="57"/>
        <v>1752</v>
      </c>
      <c r="L1130" s="82"/>
      <c r="M1130" s="9">
        <f t="shared" si="58"/>
        <v>0</v>
      </c>
      <c r="N1130" s="95"/>
      <c r="O1130" s="95"/>
      <c r="P1130" s="10">
        <f t="shared" si="59"/>
        <v>1752</v>
      </c>
      <c r="Q1130" s="3" t="s">
        <v>2887</v>
      </c>
      <c r="R1130" s="3" t="s">
        <v>1408</v>
      </c>
      <c r="S1130" s="89" t="s">
        <v>3009</v>
      </c>
      <c r="T1130" s="89" t="s">
        <v>3156</v>
      </c>
      <c r="U1130" s="89">
        <v>73181500</v>
      </c>
      <c r="V1130" s="90"/>
      <c r="W1130" s="21" t="s">
        <v>2993</v>
      </c>
      <c r="X1130" s="21"/>
      <c r="Y1130" s="96"/>
      <c r="Z1130" s="97"/>
      <c r="AA1130" s="120"/>
      <c r="AB1130" s="120"/>
      <c r="AC1130" s="120"/>
      <c r="AD1130" s="120"/>
    </row>
    <row r="1131" spans="1:30" x14ac:dyDescent="0.25">
      <c r="A1131" s="91">
        <v>46170</v>
      </c>
      <c r="B1131" s="91">
        <v>46170</v>
      </c>
      <c r="C1131" s="112" t="s">
        <v>1730</v>
      </c>
      <c r="D1131" s="89" t="s">
        <v>3071</v>
      </c>
      <c r="E1131" s="148" t="s">
        <v>3124</v>
      </c>
      <c r="F1131" s="89" t="s">
        <v>3124</v>
      </c>
      <c r="G1131" s="92">
        <v>600</v>
      </c>
      <c r="H1131" s="73">
        <v>40</v>
      </c>
      <c r="I1131" s="73">
        <f>Table223[[#This Row],[Qty]]-Table223[[#This Row],[Issue Qty]]</f>
        <v>560</v>
      </c>
      <c r="J1131" s="93">
        <v>1.57</v>
      </c>
      <c r="K1131" s="10">
        <f t="shared" si="57"/>
        <v>942</v>
      </c>
      <c r="L1131" s="82"/>
      <c r="M1131" s="9">
        <f t="shared" si="58"/>
        <v>0</v>
      </c>
      <c r="N1131" s="95"/>
      <c r="O1131" s="95"/>
      <c r="P1131" s="10">
        <f t="shared" si="59"/>
        <v>942</v>
      </c>
      <c r="Q1131" s="3" t="s">
        <v>2887</v>
      </c>
      <c r="R1131" s="3" t="s">
        <v>1408</v>
      </c>
      <c r="S1131" s="89" t="s">
        <v>3009</v>
      </c>
      <c r="T1131" s="89" t="s">
        <v>3156</v>
      </c>
      <c r="U1131" s="89">
        <v>73181500</v>
      </c>
      <c r="V1131" s="90"/>
      <c r="W1131" s="21" t="s">
        <v>2993</v>
      </c>
      <c r="X1131" s="21"/>
      <c r="Y1131" s="96"/>
      <c r="Z1131" s="97"/>
      <c r="AA1131" s="120"/>
      <c r="AB1131" s="120"/>
      <c r="AC1131" s="120"/>
      <c r="AD1131" s="120"/>
    </row>
    <row r="1132" spans="1:30" x14ac:dyDescent="0.25">
      <c r="A1132" s="91">
        <v>46170</v>
      </c>
      <c r="B1132" s="91">
        <v>46170</v>
      </c>
      <c r="C1132" s="112" t="s">
        <v>1730</v>
      </c>
      <c r="D1132" s="89" t="s">
        <v>3072</v>
      </c>
      <c r="E1132" s="89" t="s">
        <v>1659</v>
      </c>
      <c r="F1132" s="89" t="s">
        <v>1659</v>
      </c>
      <c r="G1132" s="92">
        <v>1500</v>
      </c>
      <c r="H1132" s="73"/>
      <c r="I1132" s="73">
        <f>Table223[[#This Row],[Qty]]-Table223[[#This Row],[Issue Qty]]</f>
        <v>1500</v>
      </c>
      <c r="J1132" s="93">
        <v>2.02</v>
      </c>
      <c r="K1132" s="10">
        <f t="shared" si="57"/>
        <v>3030</v>
      </c>
      <c r="L1132" s="82"/>
      <c r="M1132" s="9">
        <f t="shared" si="58"/>
        <v>0</v>
      </c>
      <c r="N1132" s="95"/>
      <c r="O1132" s="95"/>
      <c r="P1132" s="10">
        <f t="shared" si="59"/>
        <v>3030</v>
      </c>
      <c r="Q1132" s="3" t="s">
        <v>2887</v>
      </c>
      <c r="R1132" s="3" t="s">
        <v>1408</v>
      </c>
      <c r="S1132" s="89" t="s">
        <v>3009</v>
      </c>
      <c r="T1132" s="89" t="s">
        <v>3156</v>
      </c>
      <c r="U1132" s="89">
        <v>73181500</v>
      </c>
      <c r="V1132" s="90"/>
      <c r="W1132" s="21" t="s">
        <v>2993</v>
      </c>
      <c r="X1132" s="21"/>
      <c r="Y1132" s="96"/>
      <c r="Z1132" s="97"/>
      <c r="AA1132" s="120"/>
      <c r="AB1132" s="120"/>
      <c r="AC1132" s="120"/>
      <c r="AD1132" s="120"/>
    </row>
    <row r="1133" spans="1:30" x14ac:dyDescent="0.25">
      <c r="A1133" s="91">
        <v>46170</v>
      </c>
      <c r="B1133" s="91">
        <v>46170</v>
      </c>
      <c r="C1133" s="112" t="s">
        <v>1730</v>
      </c>
      <c r="D1133" s="89" t="s">
        <v>3073</v>
      </c>
      <c r="E1133" s="89" t="s">
        <v>1649</v>
      </c>
      <c r="F1133" s="89" t="s">
        <v>1649</v>
      </c>
      <c r="G1133" s="92">
        <v>1500</v>
      </c>
      <c r="H1133" s="73"/>
      <c r="I1133" s="73">
        <f>Table223[[#This Row],[Qty]]-Table223[[#This Row],[Issue Qty]]</f>
        <v>1500</v>
      </c>
      <c r="J1133" s="93">
        <v>0.8</v>
      </c>
      <c r="K1133" s="10">
        <f t="shared" si="57"/>
        <v>1200</v>
      </c>
      <c r="L1133" s="82"/>
      <c r="M1133" s="9">
        <f t="shared" si="58"/>
        <v>0</v>
      </c>
      <c r="N1133" s="95"/>
      <c r="O1133" s="95"/>
      <c r="P1133" s="10">
        <f t="shared" si="59"/>
        <v>1200</v>
      </c>
      <c r="Q1133" s="3" t="s">
        <v>2887</v>
      </c>
      <c r="R1133" s="3" t="s">
        <v>1408</v>
      </c>
      <c r="S1133" s="89" t="s">
        <v>3009</v>
      </c>
      <c r="T1133" s="89" t="s">
        <v>3156</v>
      </c>
      <c r="U1133" s="89">
        <v>73181500</v>
      </c>
      <c r="V1133" s="90"/>
      <c r="W1133" s="21" t="s">
        <v>2993</v>
      </c>
      <c r="X1133" s="21"/>
      <c r="Y1133" s="96"/>
      <c r="Z1133" s="97"/>
      <c r="AA1133" s="120"/>
      <c r="AB1133" s="120"/>
      <c r="AC1133" s="120"/>
      <c r="AD1133" s="120"/>
    </row>
    <row r="1134" spans="1:30" x14ac:dyDescent="0.25">
      <c r="A1134" s="91">
        <v>46170</v>
      </c>
      <c r="B1134" s="91">
        <v>46170</v>
      </c>
      <c r="C1134" s="112" t="s">
        <v>1730</v>
      </c>
      <c r="D1134" s="89" t="s">
        <v>3074</v>
      </c>
      <c r="E1134" s="89" t="s">
        <v>3125</v>
      </c>
      <c r="F1134" s="89" t="s">
        <v>3125</v>
      </c>
      <c r="G1134" s="92">
        <v>600</v>
      </c>
      <c r="H1134" s="73"/>
      <c r="I1134" s="73">
        <f>Table223[[#This Row],[Qty]]-Table223[[#This Row],[Issue Qty]]</f>
        <v>600</v>
      </c>
      <c r="J1134" s="93">
        <v>2.02</v>
      </c>
      <c r="K1134" s="10">
        <f t="shared" si="57"/>
        <v>1212</v>
      </c>
      <c r="L1134" s="82"/>
      <c r="M1134" s="9">
        <f t="shared" si="58"/>
        <v>0</v>
      </c>
      <c r="N1134" s="95"/>
      <c r="O1134" s="95"/>
      <c r="P1134" s="10">
        <f t="shared" si="59"/>
        <v>1212</v>
      </c>
      <c r="Q1134" s="3" t="s">
        <v>2887</v>
      </c>
      <c r="R1134" s="3" t="s">
        <v>1408</v>
      </c>
      <c r="S1134" s="89" t="s">
        <v>3009</v>
      </c>
      <c r="T1134" s="89" t="s">
        <v>3156</v>
      </c>
      <c r="U1134" s="89">
        <v>73181500</v>
      </c>
      <c r="V1134" s="90"/>
      <c r="W1134" s="21" t="s">
        <v>2993</v>
      </c>
      <c r="X1134" s="21"/>
      <c r="Y1134" s="96"/>
      <c r="Z1134" s="97"/>
      <c r="AA1134" s="120"/>
      <c r="AB1134" s="120"/>
      <c r="AC1134" s="120"/>
      <c r="AD1134" s="120"/>
    </row>
    <row r="1135" spans="1:30" x14ac:dyDescent="0.25">
      <c r="A1135" s="91">
        <v>46170</v>
      </c>
      <c r="B1135" s="91">
        <v>46170</v>
      </c>
      <c r="C1135" s="112" t="s">
        <v>1730</v>
      </c>
      <c r="D1135" s="89" t="s">
        <v>3075</v>
      </c>
      <c r="E1135" s="89" t="s">
        <v>1648</v>
      </c>
      <c r="F1135" s="89" t="s">
        <v>1648</v>
      </c>
      <c r="G1135" s="92">
        <v>600</v>
      </c>
      <c r="H1135" s="73"/>
      <c r="I1135" s="73">
        <f>Table223[[#This Row],[Qty]]-Table223[[#This Row],[Issue Qty]]</f>
        <v>600</v>
      </c>
      <c r="J1135" s="93">
        <v>2.2400000000000002</v>
      </c>
      <c r="K1135" s="10">
        <f t="shared" si="57"/>
        <v>1344.0000000000002</v>
      </c>
      <c r="L1135" s="82"/>
      <c r="M1135" s="9">
        <f t="shared" si="58"/>
        <v>0</v>
      </c>
      <c r="N1135" s="95"/>
      <c r="O1135" s="95"/>
      <c r="P1135" s="10">
        <f t="shared" si="59"/>
        <v>1344.0000000000002</v>
      </c>
      <c r="Q1135" s="3" t="s">
        <v>2887</v>
      </c>
      <c r="R1135" s="3" t="s">
        <v>1408</v>
      </c>
      <c r="S1135" s="89" t="s">
        <v>3009</v>
      </c>
      <c r="T1135" s="89" t="s">
        <v>3156</v>
      </c>
      <c r="U1135" s="89">
        <v>73181500</v>
      </c>
      <c r="V1135" s="90"/>
      <c r="W1135" s="21" t="s">
        <v>2993</v>
      </c>
      <c r="X1135" s="21"/>
      <c r="Y1135" s="96"/>
      <c r="Z1135" s="97"/>
      <c r="AA1135" s="120"/>
      <c r="AB1135" s="120"/>
      <c r="AC1135" s="120"/>
      <c r="AD1135" s="120"/>
    </row>
    <row r="1136" spans="1:30" x14ac:dyDescent="0.25">
      <c r="A1136" s="91">
        <v>46170</v>
      </c>
      <c r="B1136" s="91">
        <v>46170</v>
      </c>
      <c r="C1136" s="112" t="s">
        <v>1730</v>
      </c>
      <c r="D1136" s="89" t="s">
        <v>3076</v>
      </c>
      <c r="E1136" s="148" t="s">
        <v>3126</v>
      </c>
      <c r="F1136" s="89" t="s">
        <v>3126</v>
      </c>
      <c r="G1136" s="92">
        <v>600</v>
      </c>
      <c r="H1136" s="73">
        <v>40</v>
      </c>
      <c r="I1136" s="73">
        <f>Table223[[#This Row],[Qty]]-Table223[[#This Row],[Issue Qty]]</f>
        <v>560</v>
      </c>
      <c r="J1136" s="93">
        <v>2.69</v>
      </c>
      <c r="K1136" s="10">
        <f t="shared" si="57"/>
        <v>1614</v>
      </c>
      <c r="L1136" s="82"/>
      <c r="M1136" s="9">
        <f t="shared" si="58"/>
        <v>0</v>
      </c>
      <c r="N1136" s="95"/>
      <c r="O1136" s="95"/>
      <c r="P1136" s="10">
        <f t="shared" si="59"/>
        <v>1614</v>
      </c>
      <c r="Q1136" s="3" t="s">
        <v>2887</v>
      </c>
      <c r="R1136" s="3" t="s">
        <v>1408</v>
      </c>
      <c r="S1136" s="89" t="s">
        <v>3009</v>
      </c>
      <c r="T1136" s="89" t="s">
        <v>3156</v>
      </c>
      <c r="U1136" s="89">
        <v>73181500</v>
      </c>
      <c r="V1136" s="90"/>
      <c r="W1136" s="21" t="s">
        <v>2993</v>
      </c>
      <c r="X1136" s="21"/>
      <c r="Y1136" s="96"/>
      <c r="Z1136" s="97"/>
      <c r="AA1136" s="120"/>
      <c r="AB1136" s="120"/>
      <c r="AC1136" s="120"/>
      <c r="AD1136" s="120"/>
    </row>
    <row r="1137" spans="1:30" x14ac:dyDescent="0.25">
      <c r="A1137" s="91">
        <v>46170</v>
      </c>
      <c r="B1137" s="91">
        <v>46170</v>
      </c>
      <c r="C1137" s="112" t="s">
        <v>1730</v>
      </c>
      <c r="D1137" s="89" t="s">
        <v>3077</v>
      </c>
      <c r="E1137" s="148" t="s">
        <v>1651</v>
      </c>
      <c r="F1137" s="89" t="s">
        <v>1651</v>
      </c>
      <c r="G1137" s="92">
        <v>600</v>
      </c>
      <c r="H1137" s="73">
        <v>80</v>
      </c>
      <c r="I1137" s="73">
        <f>Table223[[#This Row],[Qty]]-Table223[[#This Row],[Issue Qty]]</f>
        <v>520</v>
      </c>
      <c r="J1137" s="93">
        <v>3.14</v>
      </c>
      <c r="K1137" s="10">
        <f t="shared" si="57"/>
        <v>1884</v>
      </c>
      <c r="L1137" s="82"/>
      <c r="M1137" s="9">
        <f t="shared" si="58"/>
        <v>0</v>
      </c>
      <c r="N1137" s="95"/>
      <c r="O1137" s="95"/>
      <c r="P1137" s="10">
        <f t="shared" si="59"/>
        <v>1884</v>
      </c>
      <c r="Q1137" s="3" t="s">
        <v>2887</v>
      </c>
      <c r="R1137" s="3" t="s">
        <v>1408</v>
      </c>
      <c r="S1137" s="89" t="s">
        <v>3009</v>
      </c>
      <c r="T1137" s="89" t="s">
        <v>3156</v>
      </c>
      <c r="U1137" s="89">
        <v>73181500</v>
      </c>
      <c r="V1137" s="90"/>
      <c r="W1137" s="21" t="s">
        <v>2993</v>
      </c>
      <c r="X1137" s="21"/>
      <c r="Y1137" s="96"/>
      <c r="Z1137" s="97"/>
      <c r="AA1137" s="120"/>
      <c r="AB1137" s="120"/>
      <c r="AC1137" s="120"/>
      <c r="AD1137" s="120"/>
    </row>
    <row r="1138" spans="1:30" x14ac:dyDescent="0.25">
      <c r="A1138" s="91">
        <v>46170</v>
      </c>
      <c r="B1138" s="91">
        <v>46170</v>
      </c>
      <c r="C1138" s="112" t="s">
        <v>1730</v>
      </c>
      <c r="D1138" s="89" t="s">
        <v>3078</v>
      </c>
      <c r="E1138" s="148" t="s">
        <v>1654</v>
      </c>
      <c r="F1138" s="89" t="s">
        <v>1654</v>
      </c>
      <c r="G1138" s="92">
        <v>600</v>
      </c>
      <c r="H1138" s="73">
        <v>235</v>
      </c>
      <c r="I1138" s="73">
        <f>Table223[[#This Row],[Qty]]-Table223[[#This Row],[Issue Qty]]</f>
        <v>365</v>
      </c>
      <c r="J1138" s="93">
        <v>3.82</v>
      </c>
      <c r="K1138" s="10">
        <f t="shared" si="57"/>
        <v>2292</v>
      </c>
      <c r="L1138" s="82"/>
      <c r="M1138" s="9">
        <f t="shared" si="58"/>
        <v>0</v>
      </c>
      <c r="N1138" s="95"/>
      <c r="O1138" s="95"/>
      <c r="P1138" s="10">
        <f t="shared" si="59"/>
        <v>2292</v>
      </c>
      <c r="Q1138" s="3" t="s">
        <v>2887</v>
      </c>
      <c r="R1138" s="3" t="s">
        <v>1408</v>
      </c>
      <c r="S1138" s="89" t="s">
        <v>3009</v>
      </c>
      <c r="T1138" s="89" t="s">
        <v>3156</v>
      </c>
      <c r="U1138" s="89">
        <v>73181500</v>
      </c>
      <c r="V1138" s="90"/>
      <c r="W1138" s="21" t="s">
        <v>2993</v>
      </c>
      <c r="X1138" s="21"/>
      <c r="Y1138" s="96"/>
      <c r="Z1138" s="97"/>
      <c r="AA1138" s="120"/>
      <c r="AB1138" s="120"/>
      <c r="AC1138" s="120"/>
      <c r="AD1138" s="120"/>
    </row>
    <row r="1139" spans="1:30" x14ac:dyDescent="0.25">
      <c r="A1139" s="91">
        <v>46170</v>
      </c>
      <c r="B1139" s="91">
        <v>46170</v>
      </c>
      <c r="C1139" s="112" t="s">
        <v>1730</v>
      </c>
      <c r="D1139" s="89" t="s">
        <v>3079</v>
      </c>
      <c r="E1139" s="89" t="s">
        <v>1658</v>
      </c>
      <c r="F1139" s="89" t="s">
        <v>1658</v>
      </c>
      <c r="G1139" s="92">
        <v>600</v>
      </c>
      <c r="H1139" s="73"/>
      <c r="I1139" s="73">
        <f>Table223[[#This Row],[Qty]]-Table223[[#This Row],[Issue Qty]]</f>
        <v>600</v>
      </c>
      <c r="J1139" s="93">
        <v>5.16</v>
      </c>
      <c r="K1139" s="10">
        <f t="shared" si="57"/>
        <v>3096</v>
      </c>
      <c r="L1139" s="82"/>
      <c r="M1139" s="9">
        <f t="shared" si="58"/>
        <v>0</v>
      </c>
      <c r="N1139" s="95"/>
      <c r="O1139" s="95"/>
      <c r="P1139" s="10">
        <f t="shared" si="59"/>
        <v>3096</v>
      </c>
      <c r="Q1139" s="3" t="s">
        <v>2887</v>
      </c>
      <c r="R1139" s="3" t="s">
        <v>1408</v>
      </c>
      <c r="S1139" s="89" t="s">
        <v>3009</v>
      </c>
      <c r="T1139" s="89" t="s">
        <v>3156</v>
      </c>
      <c r="U1139" s="89">
        <v>73181500</v>
      </c>
      <c r="V1139" s="90"/>
      <c r="W1139" s="21" t="s">
        <v>2993</v>
      </c>
      <c r="X1139" s="21"/>
      <c r="Y1139" s="96"/>
      <c r="Z1139" s="97"/>
      <c r="AA1139" s="120"/>
      <c r="AB1139" s="120"/>
      <c r="AC1139" s="120"/>
      <c r="AD1139" s="120"/>
    </row>
    <row r="1140" spans="1:30" x14ac:dyDescent="0.25">
      <c r="A1140" s="91">
        <v>46170</v>
      </c>
      <c r="B1140" s="91">
        <v>46170</v>
      </c>
      <c r="C1140" s="112" t="s">
        <v>1730</v>
      </c>
      <c r="D1140" s="89" t="s">
        <v>3080</v>
      </c>
      <c r="E1140" s="89" t="s">
        <v>3127</v>
      </c>
      <c r="F1140" s="89" t="s">
        <v>3127</v>
      </c>
      <c r="G1140" s="92">
        <v>600</v>
      </c>
      <c r="H1140" s="73"/>
      <c r="I1140" s="73">
        <f>Table223[[#This Row],[Qty]]-Table223[[#This Row],[Issue Qty]]</f>
        <v>600</v>
      </c>
      <c r="J1140" s="93">
        <v>7.18</v>
      </c>
      <c r="K1140" s="10">
        <f t="shared" si="57"/>
        <v>4308</v>
      </c>
      <c r="L1140" s="82"/>
      <c r="M1140" s="9">
        <f t="shared" si="58"/>
        <v>0</v>
      </c>
      <c r="N1140" s="95"/>
      <c r="O1140" s="95"/>
      <c r="P1140" s="10">
        <f t="shared" si="59"/>
        <v>4308</v>
      </c>
      <c r="Q1140" s="3" t="s">
        <v>1408</v>
      </c>
      <c r="R1140" s="3" t="s">
        <v>1408</v>
      </c>
      <c r="S1140" s="89" t="s">
        <v>3009</v>
      </c>
      <c r="T1140" s="89" t="s">
        <v>3156</v>
      </c>
      <c r="U1140" s="89">
        <v>73181500</v>
      </c>
      <c r="V1140" s="90"/>
      <c r="W1140" s="21" t="s">
        <v>2993</v>
      </c>
      <c r="X1140" s="21"/>
      <c r="Y1140" s="96"/>
      <c r="Z1140" s="97"/>
      <c r="AA1140" s="120"/>
      <c r="AB1140" s="120"/>
      <c r="AC1140" s="120"/>
      <c r="AD1140" s="120"/>
    </row>
    <row r="1141" spans="1:30" x14ac:dyDescent="0.25">
      <c r="A1141" s="91">
        <v>46170</v>
      </c>
      <c r="B1141" s="91">
        <v>46170</v>
      </c>
      <c r="C1141" s="112" t="s">
        <v>1730</v>
      </c>
      <c r="D1141" s="89" t="s">
        <v>3081</v>
      </c>
      <c r="E1141" s="89" t="s">
        <v>1655</v>
      </c>
      <c r="F1141" s="89" t="s">
        <v>1655</v>
      </c>
      <c r="G1141" s="92">
        <v>600</v>
      </c>
      <c r="H1141" s="73"/>
      <c r="I1141" s="73">
        <f>Table223[[#This Row],[Qty]]-Table223[[#This Row],[Issue Qty]]</f>
        <v>600</v>
      </c>
      <c r="J1141" s="93">
        <v>2.02</v>
      </c>
      <c r="K1141" s="10">
        <f t="shared" si="57"/>
        <v>1212</v>
      </c>
      <c r="L1141" s="82"/>
      <c r="M1141" s="9">
        <f t="shared" si="58"/>
        <v>0</v>
      </c>
      <c r="N1141" s="95"/>
      <c r="O1141" s="95"/>
      <c r="P1141" s="10">
        <f t="shared" si="59"/>
        <v>1212</v>
      </c>
      <c r="Q1141" s="3" t="s">
        <v>1408</v>
      </c>
      <c r="R1141" s="3" t="s">
        <v>1408</v>
      </c>
      <c r="S1141" s="89" t="s">
        <v>3009</v>
      </c>
      <c r="T1141" s="89" t="s">
        <v>3156</v>
      </c>
      <c r="U1141" s="89">
        <v>73181500</v>
      </c>
      <c r="V1141" s="90"/>
      <c r="W1141" s="21" t="s">
        <v>2993</v>
      </c>
      <c r="X1141" s="21"/>
      <c r="Y1141" s="96"/>
      <c r="Z1141" s="97"/>
      <c r="AA1141" s="120"/>
      <c r="AB1141" s="120"/>
      <c r="AC1141" s="120"/>
      <c r="AD1141" s="120"/>
    </row>
    <row r="1142" spans="1:30" x14ac:dyDescent="0.25">
      <c r="A1142" s="91">
        <v>46170</v>
      </c>
      <c r="B1142" s="91">
        <v>46170</v>
      </c>
      <c r="C1142" s="112" t="s">
        <v>1730</v>
      </c>
      <c r="D1142" s="89" t="s">
        <v>3082</v>
      </c>
      <c r="E1142" s="89" t="s">
        <v>1650</v>
      </c>
      <c r="F1142" s="89" t="s">
        <v>1650</v>
      </c>
      <c r="G1142" s="92">
        <v>1000</v>
      </c>
      <c r="H1142" s="73"/>
      <c r="I1142" s="73">
        <f>Table223[[#This Row],[Qty]]-Table223[[#This Row],[Issue Qty]]</f>
        <v>1000</v>
      </c>
      <c r="J1142" s="93">
        <v>1.8</v>
      </c>
      <c r="K1142" s="10">
        <f t="shared" si="57"/>
        <v>1800</v>
      </c>
      <c r="L1142" s="82"/>
      <c r="M1142" s="9">
        <f t="shared" si="58"/>
        <v>0</v>
      </c>
      <c r="N1142" s="95"/>
      <c r="O1142" s="95"/>
      <c r="P1142" s="10">
        <f t="shared" si="59"/>
        <v>1800</v>
      </c>
      <c r="Q1142" s="3" t="s">
        <v>1408</v>
      </c>
      <c r="R1142" s="3" t="s">
        <v>1408</v>
      </c>
      <c r="S1142" s="89" t="s">
        <v>3009</v>
      </c>
      <c r="T1142" s="89" t="s">
        <v>3156</v>
      </c>
      <c r="U1142" s="89">
        <v>73181500</v>
      </c>
      <c r="V1142" s="90"/>
      <c r="W1142" s="21" t="s">
        <v>2993</v>
      </c>
      <c r="X1142" s="21"/>
      <c r="Y1142" s="96"/>
      <c r="Z1142" s="97"/>
      <c r="AA1142" s="120"/>
      <c r="AB1142" s="120"/>
      <c r="AC1142" s="120"/>
      <c r="AD1142" s="120"/>
    </row>
    <row r="1143" spans="1:30" x14ac:dyDescent="0.25">
      <c r="A1143" s="91">
        <v>46170</v>
      </c>
      <c r="B1143" s="91">
        <v>46170</v>
      </c>
      <c r="C1143" s="112" t="s">
        <v>1730</v>
      </c>
      <c r="D1143" s="89" t="s">
        <v>3083</v>
      </c>
      <c r="E1143" s="89" t="s">
        <v>1657</v>
      </c>
      <c r="F1143" s="89" t="s">
        <v>1657</v>
      </c>
      <c r="G1143" s="92">
        <v>1000</v>
      </c>
      <c r="H1143" s="73"/>
      <c r="I1143" s="73">
        <f>Table223[[#This Row],[Qty]]-Table223[[#This Row],[Issue Qty]]</f>
        <v>1000</v>
      </c>
      <c r="J1143" s="93">
        <v>0.9</v>
      </c>
      <c r="K1143" s="10">
        <f t="shared" si="57"/>
        <v>900</v>
      </c>
      <c r="L1143" s="82"/>
      <c r="M1143" s="9">
        <f t="shared" si="58"/>
        <v>0</v>
      </c>
      <c r="N1143" s="95"/>
      <c r="O1143" s="95"/>
      <c r="P1143" s="10">
        <f t="shared" si="59"/>
        <v>900</v>
      </c>
      <c r="Q1143" s="3" t="s">
        <v>1408</v>
      </c>
      <c r="R1143" s="3" t="s">
        <v>1408</v>
      </c>
      <c r="S1143" s="89" t="s">
        <v>3009</v>
      </c>
      <c r="T1143" s="89" t="s">
        <v>3156</v>
      </c>
      <c r="U1143" s="89">
        <v>73181500</v>
      </c>
      <c r="V1143" s="90"/>
      <c r="W1143" s="21" t="s">
        <v>2993</v>
      </c>
      <c r="X1143" s="21"/>
      <c r="Y1143" s="96"/>
      <c r="Z1143" s="97"/>
      <c r="AA1143" s="120"/>
      <c r="AB1143" s="120"/>
      <c r="AC1143" s="120"/>
      <c r="AD1143" s="120"/>
    </row>
    <row r="1144" spans="1:30" x14ac:dyDescent="0.25">
      <c r="A1144" s="91">
        <v>46170</v>
      </c>
      <c r="B1144" s="91">
        <v>46170</v>
      </c>
      <c r="C1144" s="112" t="s">
        <v>1730</v>
      </c>
      <c r="D1144" s="89" t="s">
        <v>3084</v>
      </c>
      <c r="E1144" s="89" t="s">
        <v>3128</v>
      </c>
      <c r="F1144" s="89" t="s">
        <v>3128</v>
      </c>
      <c r="G1144" s="92">
        <v>1000</v>
      </c>
      <c r="H1144" s="73"/>
      <c r="I1144" s="73">
        <f>Table223[[#This Row],[Qty]]-Table223[[#This Row],[Issue Qty]]</f>
        <v>1000</v>
      </c>
      <c r="J1144" s="93">
        <v>6.73</v>
      </c>
      <c r="K1144" s="10">
        <f t="shared" si="57"/>
        <v>6730</v>
      </c>
      <c r="L1144" s="82"/>
      <c r="M1144" s="9">
        <f t="shared" si="58"/>
        <v>0</v>
      </c>
      <c r="N1144" s="95"/>
      <c r="O1144" s="95"/>
      <c r="P1144" s="10">
        <f t="shared" si="59"/>
        <v>6730</v>
      </c>
      <c r="Q1144" s="3" t="s">
        <v>1408</v>
      </c>
      <c r="R1144" s="3" t="s">
        <v>1408</v>
      </c>
      <c r="S1144" s="89" t="s">
        <v>3009</v>
      </c>
      <c r="T1144" s="89" t="s">
        <v>3156</v>
      </c>
      <c r="U1144" s="89">
        <v>73181500</v>
      </c>
      <c r="V1144" s="90"/>
      <c r="W1144" s="21" t="s">
        <v>2993</v>
      </c>
      <c r="X1144" s="21"/>
      <c r="Y1144" s="96"/>
      <c r="Z1144" s="97"/>
      <c r="AA1144" s="120"/>
      <c r="AB1144" s="120"/>
      <c r="AC1144" s="120"/>
      <c r="AD1144" s="120"/>
    </row>
    <row r="1145" spans="1:30" x14ac:dyDescent="0.25">
      <c r="A1145" s="91">
        <v>46170</v>
      </c>
      <c r="B1145" s="91">
        <v>46170</v>
      </c>
      <c r="C1145" s="112" t="s">
        <v>1730</v>
      </c>
      <c r="D1145" s="89" t="s">
        <v>3039</v>
      </c>
      <c r="E1145" s="89" t="s">
        <v>3129</v>
      </c>
      <c r="F1145" s="89" t="s">
        <v>3129</v>
      </c>
      <c r="G1145" s="92">
        <v>600</v>
      </c>
      <c r="H1145" s="73"/>
      <c r="I1145" s="73">
        <f>Table223[[#This Row],[Qty]]-Table223[[#This Row],[Issue Qty]]</f>
        <v>600</v>
      </c>
      <c r="J1145" s="93">
        <v>3.8</v>
      </c>
      <c r="K1145" s="10">
        <f t="shared" si="57"/>
        <v>2280</v>
      </c>
      <c r="L1145" s="82"/>
      <c r="M1145" s="9">
        <f t="shared" si="58"/>
        <v>0</v>
      </c>
      <c r="N1145" s="95"/>
      <c r="O1145" s="95"/>
      <c r="P1145" s="10">
        <f t="shared" si="59"/>
        <v>2280</v>
      </c>
      <c r="Q1145" s="3" t="s">
        <v>1408</v>
      </c>
      <c r="R1145" s="3" t="s">
        <v>1408</v>
      </c>
      <c r="S1145" s="89" t="s">
        <v>3009</v>
      </c>
      <c r="T1145" s="89" t="s">
        <v>3156</v>
      </c>
      <c r="U1145" s="89">
        <v>73181500</v>
      </c>
      <c r="V1145" s="90"/>
      <c r="W1145" s="21" t="s">
        <v>2993</v>
      </c>
      <c r="X1145" s="21"/>
      <c r="Y1145" s="96"/>
      <c r="Z1145" s="97"/>
      <c r="AA1145" s="120"/>
      <c r="AB1145" s="120"/>
      <c r="AC1145" s="120"/>
      <c r="AD1145" s="120"/>
    </row>
    <row r="1146" spans="1:30" x14ac:dyDescent="0.25">
      <c r="A1146" s="91">
        <v>46170</v>
      </c>
      <c r="B1146" s="91">
        <v>46170</v>
      </c>
      <c r="C1146" s="112" t="s">
        <v>1730</v>
      </c>
      <c r="D1146" s="89" t="s">
        <v>3040</v>
      </c>
      <c r="E1146" s="89" t="s">
        <v>3130</v>
      </c>
      <c r="F1146" s="89" t="s">
        <v>3130</v>
      </c>
      <c r="G1146" s="92">
        <v>1000</v>
      </c>
      <c r="H1146" s="73"/>
      <c r="I1146" s="73">
        <f>Table223[[#This Row],[Qty]]-Table223[[#This Row],[Issue Qty]]</f>
        <v>1000</v>
      </c>
      <c r="J1146" s="93">
        <v>3.8</v>
      </c>
      <c r="K1146" s="10">
        <f t="shared" si="57"/>
        <v>3800</v>
      </c>
      <c r="L1146" s="82"/>
      <c r="M1146" s="9">
        <f t="shared" si="58"/>
        <v>0</v>
      </c>
      <c r="N1146" s="95"/>
      <c r="O1146" s="95"/>
      <c r="P1146" s="10">
        <f t="shared" si="59"/>
        <v>3800</v>
      </c>
      <c r="Q1146" s="3" t="s">
        <v>1408</v>
      </c>
      <c r="R1146" s="3" t="s">
        <v>1408</v>
      </c>
      <c r="S1146" s="89" t="s">
        <v>3009</v>
      </c>
      <c r="T1146" s="89" t="s">
        <v>3156</v>
      </c>
      <c r="U1146" s="89">
        <v>73181500</v>
      </c>
      <c r="V1146" s="90"/>
      <c r="W1146" s="21" t="s">
        <v>2993</v>
      </c>
      <c r="X1146" s="21"/>
      <c r="Y1146" s="96"/>
      <c r="Z1146" s="97"/>
      <c r="AA1146" s="120"/>
      <c r="AB1146" s="120"/>
      <c r="AC1146" s="120"/>
      <c r="AD1146" s="120"/>
    </row>
    <row r="1147" spans="1:30" x14ac:dyDescent="0.25">
      <c r="A1147" s="91">
        <v>46170</v>
      </c>
      <c r="B1147" s="91">
        <v>46170</v>
      </c>
      <c r="C1147" s="112" t="s">
        <v>1730</v>
      </c>
      <c r="D1147" s="89" t="s">
        <v>3085</v>
      </c>
      <c r="E1147" s="89" t="s">
        <v>3131</v>
      </c>
      <c r="F1147" s="89" t="s">
        <v>3131</v>
      </c>
      <c r="G1147" s="92">
        <v>600</v>
      </c>
      <c r="H1147" s="73">
        <v>10</v>
      </c>
      <c r="I1147" s="73">
        <f>Table223[[#This Row],[Qty]]-Table223[[#This Row],[Issue Qty]]</f>
        <v>590</v>
      </c>
      <c r="J1147" s="93">
        <v>75</v>
      </c>
      <c r="K1147" s="10">
        <f t="shared" si="57"/>
        <v>45000</v>
      </c>
      <c r="L1147" s="82"/>
      <c r="M1147" s="9">
        <f t="shared" si="58"/>
        <v>0</v>
      </c>
      <c r="N1147" s="95"/>
      <c r="O1147" s="95"/>
      <c r="P1147" s="10">
        <f t="shared" si="59"/>
        <v>45000</v>
      </c>
      <c r="Q1147" s="3" t="s">
        <v>2887</v>
      </c>
      <c r="R1147" s="3" t="s">
        <v>1408</v>
      </c>
      <c r="S1147" s="89" t="s">
        <v>3009</v>
      </c>
      <c r="T1147" s="89" t="s">
        <v>3156</v>
      </c>
      <c r="U1147" s="89">
        <v>73181500</v>
      </c>
      <c r="V1147" s="90"/>
      <c r="W1147" s="21" t="s">
        <v>2993</v>
      </c>
      <c r="X1147" s="21"/>
      <c r="Y1147" s="96"/>
      <c r="Z1147" s="97"/>
      <c r="AA1147" s="120"/>
      <c r="AB1147" s="120"/>
      <c r="AC1147" s="120"/>
      <c r="AD1147" s="120"/>
    </row>
    <row r="1148" spans="1:30" x14ac:dyDescent="0.25">
      <c r="A1148" s="91">
        <v>46170</v>
      </c>
      <c r="B1148" s="91">
        <v>46170</v>
      </c>
      <c r="C1148" s="112" t="s">
        <v>1730</v>
      </c>
      <c r="D1148" s="89" t="s">
        <v>3086</v>
      </c>
      <c r="E1148" s="89" t="s">
        <v>3132</v>
      </c>
      <c r="F1148" s="89" t="s">
        <v>3132</v>
      </c>
      <c r="G1148" s="92">
        <v>600</v>
      </c>
      <c r="H1148" s="73">
        <v>10</v>
      </c>
      <c r="I1148" s="73">
        <f>Table223[[#This Row],[Qty]]-Table223[[#This Row],[Issue Qty]]</f>
        <v>590</v>
      </c>
      <c r="J1148" s="93">
        <v>70</v>
      </c>
      <c r="K1148" s="10">
        <f t="shared" si="57"/>
        <v>42000</v>
      </c>
      <c r="L1148" s="82"/>
      <c r="M1148" s="9">
        <f t="shared" si="58"/>
        <v>0</v>
      </c>
      <c r="N1148" s="95"/>
      <c r="O1148" s="95"/>
      <c r="P1148" s="10">
        <f t="shared" si="59"/>
        <v>42000</v>
      </c>
      <c r="Q1148" s="3" t="s">
        <v>2887</v>
      </c>
      <c r="R1148" s="3" t="s">
        <v>1408</v>
      </c>
      <c r="S1148" s="89" t="s">
        <v>3009</v>
      </c>
      <c r="T1148" s="89" t="s">
        <v>3156</v>
      </c>
      <c r="U1148" s="89">
        <v>73181500</v>
      </c>
      <c r="V1148" s="90"/>
      <c r="W1148" s="21" t="s">
        <v>2993</v>
      </c>
      <c r="X1148" s="21"/>
      <c r="Y1148" s="96"/>
      <c r="Z1148" s="97"/>
      <c r="AA1148" s="120"/>
      <c r="AB1148" s="120"/>
      <c r="AC1148" s="120"/>
      <c r="AD1148" s="120"/>
    </row>
    <row r="1149" spans="1:30" x14ac:dyDescent="0.25">
      <c r="A1149" s="91">
        <v>46170</v>
      </c>
      <c r="B1149" s="91">
        <v>46170</v>
      </c>
      <c r="C1149" s="112" t="s">
        <v>1730</v>
      </c>
      <c r="D1149" s="89" t="s">
        <v>3087</v>
      </c>
      <c r="E1149" s="89" t="s">
        <v>3133</v>
      </c>
      <c r="F1149" s="89" t="s">
        <v>3133</v>
      </c>
      <c r="G1149" s="92">
        <v>600</v>
      </c>
      <c r="H1149" s="73"/>
      <c r="I1149" s="73">
        <f>Table223[[#This Row],[Qty]]-Table223[[#This Row],[Issue Qty]]</f>
        <v>600</v>
      </c>
      <c r="J1149" s="93">
        <v>80</v>
      </c>
      <c r="K1149" s="10">
        <f t="shared" si="57"/>
        <v>48000</v>
      </c>
      <c r="L1149" s="82">
        <v>0.18</v>
      </c>
      <c r="M1149" s="9">
        <f t="shared" si="58"/>
        <v>8640</v>
      </c>
      <c r="N1149" s="95"/>
      <c r="O1149" s="95"/>
      <c r="P1149" s="10">
        <f t="shared" si="59"/>
        <v>56640</v>
      </c>
      <c r="Q1149" s="3" t="s">
        <v>1408</v>
      </c>
      <c r="R1149" s="3" t="s">
        <v>1408</v>
      </c>
      <c r="S1149" s="89" t="s">
        <v>3009</v>
      </c>
      <c r="T1149" s="89" t="s">
        <v>3156</v>
      </c>
      <c r="U1149" s="89">
        <v>73181500</v>
      </c>
      <c r="V1149" s="90"/>
      <c r="W1149" s="21" t="s">
        <v>2993</v>
      </c>
      <c r="X1149" s="21"/>
      <c r="Y1149" s="96"/>
      <c r="Z1149" s="97"/>
      <c r="AA1149" s="120"/>
      <c r="AB1149" s="120"/>
      <c r="AC1149" s="120"/>
      <c r="AD1149" s="120"/>
    </row>
    <row r="1150" spans="1:30" x14ac:dyDescent="0.25">
      <c r="A1150" s="91">
        <v>46170</v>
      </c>
      <c r="B1150" s="91">
        <v>46170</v>
      </c>
      <c r="C1150" s="112" t="s">
        <v>1695</v>
      </c>
      <c r="D1150" s="89" t="s">
        <v>3088</v>
      </c>
      <c r="E1150" s="148" t="s">
        <v>3134</v>
      </c>
      <c r="F1150" s="89" t="s">
        <v>3134</v>
      </c>
      <c r="G1150" s="92">
        <v>10</v>
      </c>
      <c r="H1150" s="73">
        <v>10</v>
      </c>
      <c r="I1150" s="73">
        <f>Table223[[#This Row],[Qty]]-Table223[[#This Row],[Issue Qty]]</f>
        <v>0</v>
      </c>
      <c r="J1150" s="93">
        <v>7690</v>
      </c>
      <c r="K1150" s="10">
        <f t="shared" si="57"/>
        <v>76900</v>
      </c>
      <c r="L1150" s="82">
        <v>0.05</v>
      </c>
      <c r="M1150" s="9">
        <f t="shared" si="58"/>
        <v>3845</v>
      </c>
      <c r="N1150" s="95"/>
      <c r="O1150" s="95"/>
      <c r="P1150" s="10">
        <f t="shared" si="59"/>
        <v>80745</v>
      </c>
      <c r="Q1150" s="3" t="s">
        <v>3242</v>
      </c>
      <c r="R1150" s="3" t="s">
        <v>3242</v>
      </c>
      <c r="S1150" s="89" t="s">
        <v>3009</v>
      </c>
      <c r="T1150" s="89" t="s">
        <v>3157</v>
      </c>
      <c r="U1150" s="89">
        <v>8807</v>
      </c>
      <c r="V1150" s="90"/>
      <c r="W1150" s="21" t="s">
        <v>3168</v>
      </c>
      <c r="X1150" s="21"/>
      <c r="Y1150" s="96">
        <f>8+2</f>
        <v>10</v>
      </c>
      <c r="Z1150" s="97" t="s">
        <v>3303</v>
      </c>
      <c r="AA1150" s="120"/>
      <c r="AB1150" s="120"/>
      <c r="AC1150" s="120"/>
      <c r="AD1150" s="120"/>
    </row>
    <row r="1151" spans="1:30" x14ac:dyDescent="0.25">
      <c r="A1151" s="91">
        <v>46167</v>
      </c>
      <c r="B1151" s="91">
        <v>46172</v>
      </c>
      <c r="C1151" s="112" t="s">
        <v>1683</v>
      </c>
      <c r="D1151" s="89" t="s">
        <v>3089</v>
      </c>
      <c r="E1151" s="148" t="s">
        <v>3135</v>
      </c>
      <c r="F1151" s="89" t="s">
        <v>3135</v>
      </c>
      <c r="G1151" s="92">
        <v>60</v>
      </c>
      <c r="H1151" s="73">
        <v>10</v>
      </c>
      <c r="I1151" s="73">
        <f>Table223[[#This Row],[Qty]]-Table223[[#This Row],[Issue Qty]]</f>
        <v>50</v>
      </c>
      <c r="J1151" s="93">
        <v>45.084667000000003</v>
      </c>
      <c r="K1151" s="10">
        <f t="shared" si="57"/>
        <v>2705.0800200000003</v>
      </c>
      <c r="L1151" s="82">
        <v>0.18</v>
      </c>
      <c r="M1151" s="9">
        <f t="shared" si="58"/>
        <v>486.91440360000001</v>
      </c>
      <c r="N1151" s="95"/>
      <c r="O1151" s="95"/>
      <c r="P1151" s="10">
        <f t="shared" si="59"/>
        <v>3191.9944236000001</v>
      </c>
      <c r="Q1151" s="3" t="s">
        <v>2887</v>
      </c>
      <c r="R1151" s="3" t="s">
        <v>1408</v>
      </c>
      <c r="S1151" s="89" t="s">
        <v>634</v>
      </c>
      <c r="T1151" s="89" t="s">
        <v>3158</v>
      </c>
      <c r="U1151" s="89">
        <v>85444999</v>
      </c>
      <c r="V1151" s="90"/>
      <c r="W1151" s="21" t="s">
        <v>1345</v>
      </c>
      <c r="X1151" s="21"/>
      <c r="Y1151" s="96"/>
      <c r="Z1151" s="97"/>
      <c r="AA1151" s="120"/>
      <c r="AB1151" s="120"/>
      <c r="AC1151" s="120"/>
      <c r="AD1151" s="120"/>
    </row>
    <row r="1152" spans="1:30" x14ac:dyDescent="0.25">
      <c r="A1152" s="91">
        <v>46167</v>
      </c>
      <c r="B1152" s="91">
        <v>46172</v>
      </c>
      <c r="C1152" s="112" t="s">
        <v>1683</v>
      </c>
      <c r="D1152" s="89" t="s">
        <v>2549</v>
      </c>
      <c r="E1152" s="89" t="s">
        <v>1453</v>
      </c>
      <c r="F1152" s="89" t="s">
        <v>1453</v>
      </c>
      <c r="G1152" s="92">
        <v>60</v>
      </c>
      <c r="H1152" s="73"/>
      <c r="I1152" s="73">
        <f>Table223[[#This Row],[Qty]]-Table223[[#This Row],[Issue Qty]]</f>
        <v>60</v>
      </c>
      <c r="J1152" s="93">
        <v>16.838999999999999</v>
      </c>
      <c r="K1152" s="10">
        <f t="shared" si="57"/>
        <v>1010.3399999999999</v>
      </c>
      <c r="L1152" s="82">
        <v>0.18</v>
      </c>
      <c r="M1152" s="9">
        <f t="shared" si="58"/>
        <v>181.86119999999997</v>
      </c>
      <c r="N1152" s="95"/>
      <c r="O1152" s="95"/>
      <c r="P1152" s="10">
        <f t="shared" si="59"/>
        <v>1192.2012</v>
      </c>
      <c r="Q1152" s="3" t="s">
        <v>1408</v>
      </c>
      <c r="R1152" s="3" t="s">
        <v>1408</v>
      </c>
      <c r="S1152" s="89" t="s">
        <v>634</v>
      </c>
      <c r="T1152" s="89" t="s">
        <v>3158</v>
      </c>
      <c r="U1152" s="89">
        <v>85444999</v>
      </c>
      <c r="V1152" s="90"/>
      <c r="W1152" s="21" t="s">
        <v>1345</v>
      </c>
      <c r="X1152" s="21"/>
      <c r="Y1152" s="96"/>
      <c r="Z1152" s="97"/>
      <c r="AA1152" s="120"/>
      <c r="AB1152" s="120"/>
      <c r="AC1152" s="120"/>
      <c r="AD1152" s="120"/>
    </row>
    <row r="1153" spans="1:30" x14ac:dyDescent="0.25">
      <c r="A1153" s="91">
        <v>46167</v>
      </c>
      <c r="B1153" s="91">
        <v>46172</v>
      </c>
      <c r="C1153" s="112" t="s">
        <v>1683</v>
      </c>
      <c r="D1153" s="89" t="s">
        <v>2550</v>
      </c>
      <c r="E1153" s="89" t="s">
        <v>1455</v>
      </c>
      <c r="F1153" s="89" t="s">
        <v>1455</v>
      </c>
      <c r="G1153" s="92">
        <v>60</v>
      </c>
      <c r="H1153" s="73"/>
      <c r="I1153" s="73">
        <f>Table223[[#This Row],[Qty]]-Table223[[#This Row],[Issue Qty]]</f>
        <v>60</v>
      </c>
      <c r="J1153" s="93">
        <v>19.093167000000001</v>
      </c>
      <c r="K1153" s="10">
        <f t="shared" si="57"/>
        <v>1145.5900200000001</v>
      </c>
      <c r="L1153" s="82">
        <v>0.18</v>
      </c>
      <c r="M1153" s="9">
        <f t="shared" si="58"/>
        <v>206.20620360000001</v>
      </c>
      <c r="N1153" s="95"/>
      <c r="O1153" s="95"/>
      <c r="P1153" s="10">
        <f t="shared" si="59"/>
        <v>1351.7962236000001</v>
      </c>
      <c r="Q1153" s="3" t="s">
        <v>1408</v>
      </c>
      <c r="R1153" s="3" t="s">
        <v>1408</v>
      </c>
      <c r="S1153" s="89" t="s">
        <v>634</v>
      </c>
      <c r="T1153" s="89" t="s">
        <v>3158</v>
      </c>
      <c r="U1153" s="89">
        <v>85444999</v>
      </c>
      <c r="V1153" s="90"/>
      <c r="W1153" s="21" t="s">
        <v>1345</v>
      </c>
      <c r="X1153" s="21"/>
      <c r="Y1153" s="96"/>
      <c r="Z1153" s="97"/>
      <c r="AA1153" s="120"/>
      <c r="AB1153" s="120"/>
      <c r="AC1153" s="120"/>
      <c r="AD1153" s="120"/>
    </row>
    <row r="1154" spans="1:30" x14ac:dyDescent="0.25">
      <c r="A1154" s="91">
        <v>46167</v>
      </c>
      <c r="B1154" s="91">
        <v>46172</v>
      </c>
      <c r="C1154" s="112" t="s">
        <v>1683</v>
      </c>
      <c r="D1154" s="89" t="s">
        <v>3090</v>
      </c>
      <c r="E1154" s="89" t="s">
        <v>3136</v>
      </c>
      <c r="F1154" s="89" t="s">
        <v>3136</v>
      </c>
      <c r="G1154" s="92">
        <v>60</v>
      </c>
      <c r="H1154" s="73">
        <v>10</v>
      </c>
      <c r="I1154" s="73">
        <f>Table223[[#This Row],[Qty]]-Table223[[#This Row],[Issue Qty]]</f>
        <v>50</v>
      </c>
      <c r="J1154" s="93">
        <v>13.559333000000001</v>
      </c>
      <c r="K1154" s="10">
        <f t="shared" si="57"/>
        <v>813.55998</v>
      </c>
      <c r="L1154" s="82">
        <v>0.18</v>
      </c>
      <c r="M1154" s="9">
        <f t="shared" si="58"/>
        <v>146.44079639999998</v>
      </c>
      <c r="N1154" s="95"/>
      <c r="O1154" s="95"/>
      <c r="P1154" s="10">
        <f t="shared" si="59"/>
        <v>960.00077639999995</v>
      </c>
      <c r="Q1154" s="3" t="s">
        <v>1408</v>
      </c>
      <c r="R1154" s="3" t="s">
        <v>1408</v>
      </c>
      <c r="S1154" s="89" t="s">
        <v>634</v>
      </c>
      <c r="T1154" s="89" t="s">
        <v>3158</v>
      </c>
      <c r="U1154" s="89">
        <v>85444999</v>
      </c>
      <c r="V1154" s="90"/>
      <c r="W1154" s="21" t="s">
        <v>1345</v>
      </c>
      <c r="X1154" s="21"/>
      <c r="Y1154" s="96">
        <v>10</v>
      </c>
      <c r="Z1154" s="97" t="s">
        <v>3373</v>
      </c>
      <c r="AA1154" s="120"/>
      <c r="AB1154" s="120"/>
      <c r="AC1154" s="120"/>
      <c r="AD1154" s="120"/>
    </row>
    <row r="1155" spans="1:30" x14ac:dyDescent="0.25">
      <c r="A1155" s="91">
        <v>46167</v>
      </c>
      <c r="B1155" s="91">
        <v>46172</v>
      </c>
      <c r="C1155" s="112" t="s">
        <v>1683</v>
      </c>
      <c r="D1155" s="89" t="s">
        <v>2552</v>
      </c>
      <c r="E1155" s="89" t="s">
        <v>1459</v>
      </c>
      <c r="F1155" s="89" t="s">
        <v>1459</v>
      </c>
      <c r="G1155" s="92">
        <v>60</v>
      </c>
      <c r="H1155" s="73">
        <v>10</v>
      </c>
      <c r="I1155" s="73">
        <f>Table223[[#This Row],[Qty]]-Table223[[#This Row],[Issue Qty]]</f>
        <v>50</v>
      </c>
      <c r="J1155" s="93">
        <v>13.516999999999999</v>
      </c>
      <c r="K1155" s="10">
        <f t="shared" si="57"/>
        <v>811.02</v>
      </c>
      <c r="L1155" s="82">
        <v>0.18</v>
      </c>
      <c r="M1155" s="9">
        <f t="shared" si="58"/>
        <v>145.9836</v>
      </c>
      <c r="N1155" s="95"/>
      <c r="O1155" s="95"/>
      <c r="P1155" s="10">
        <f t="shared" si="59"/>
        <v>957.00360000000001</v>
      </c>
      <c r="Q1155" s="3" t="s">
        <v>1408</v>
      </c>
      <c r="R1155" s="3" t="s">
        <v>1408</v>
      </c>
      <c r="S1155" s="89" t="s">
        <v>634</v>
      </c>
      <c r="T1155" s="89" t="s">
        <v>3158</v>
      </c>
      <c r="U1155" s="89">
        <v>85444999</v>
      </c>
      <c r="V1155" s="90"/>
      <c r="W1155" s="21" t="s">
        <v>1345</v>
      </c>
      <c r="X1155" s="21"/>
      <c r="Y1155" s="96">
        <v>10</v>
      </c>
      <c r="Z1155" s="97" t="s">
        <v>3373</v>
      </c>
      <c r="AA1155" s="120"/>
      <c r="AB1155" s="120"/>
      <c r="AC1155" s="120"/>
      <c r="AD1155" s="120"/>
    </row>
    <row r="1156" spans="1:30" x14ac:dyDescent="0.25">
      <c r="A1156" s="91">
        <v>46167</v>
      </c>
      <c r="B1156" s="91">
        <v>46172</v>
      </c>
      <c r="C1156" s="112" t="s">
        <v>1683</v>
      </c>
      <c r="D1156" s="89" t="s">
        <v>3091</v>
      </c>
      <c r="E1156" s="179" t="s">
        <v>3137</v>
      </c>
      <c r="F1156" s="103" t="s">
        <v>3137</v>
      </c>
      <c r="G1156" s="92">
        <v>15</v>
      </c>
      <c r="H1156" s="73">
        <v>10</v>
      </c>
      <c r="I1156" s="73">
        <f>Table223[[#This Row],[Qty]]-Table223[[#This Row],[Issue Qty]]</f>
        <v>5</v>
      </c>
      <c r="J1156" s="93">
        <v>9.5426669999999998</v>
      </c>
      <c r="K1156" s="10">
        <f t="shared" si="57"/>
        <v>143.140005</v>
      </c>
      <c r="L1156" s="82">
        <v>0.18</v>
      </c>
      <c r="M1156" s="9">
        <f t="shared" si="58"/>
        <v>25.7652009</v>
      </c>
      <c r="N1156" s="95"/>
      <c r="O1156" s="95"/>
      <c r="P1156" s="10">
        <f t="shared" si="59"/>
        <v>168.9052059</v>
      </c>
      <c r="Q1156" s="3" t="s">
        <v>2887</v>
      </c>
      <c r="R1156" s="3" t="s">
        <v>1408</v>
      </c>
      <c r="S1156" s="89" t="s">
        <v>634</v>
      </c>
      <c r="T1156" s="89" t="s">
        <v>3158</v>
      </c>
      <c r="U1156" s="89">
        <v>85444999</v>
      </c>
      <c r="V1156" s="90"/>
      <c r="W1156" s="21" t="s">
        <v>1345</v>
      </c>
      <c r="X1156" s="21"/>
      <c r="Y1156" s="96"/>
      <c r="Z1156" s="97" t="s">
        <v>3373</v>
      </c>
      <c r="AA1156" s="120"/>
      <c r="AB1156" s="120"/>
      <c r="AC1156" s="120"/>
      <c r="AD1156" s="120"/>
    </row>
    <row r="1157" spans="1:30" x14ac:dyDescent="0.25">
      <c r="A1157" s="91">
        <v>46167</v>
      </c>
      <c r="B1157" s="91">
        <v>46172</v>
      </c>
      <c r="C1157" s="112" t="s">
        <v>1683</v>
      </c>
      <c r="D1157" s="89" t="s">
        <v>3092</v>
      </c>
      <c r="E1157" s="179" t="s">
        <v>3138</v>
      </c>
      <c r="F1157" s="103" t="s">
        <v>3138</v>
      </c>
      <c r="G1157" s="92">
        <v>15</v>
      </c>
      <c r="H1157" s="73">
        <v>10</v>
      </c>
      <c r="I1157" s="73">
        <f>Table223[[#This Row],[Qty]]-Table223[[#This Row],[Issue Qty]]</f>
        <v>5</v>
      </c>
      <c r="J1157" s="93">
        <v>9.5426669999999998</v>
      </c>
      <c r="K1157" s="10">
        <f t="shared" si="57"/>
        <v>143.140005</v>
      </c>
      <c r="L1157" s="82">
        <v>0.18</v>
      </c>
      <c r="M1157" s="9">
        <f t="shared" si="58"/>
        <v>25.7652009</v>
      </c>
      <c r="N1157" s="95"/>
      <c r="O1157" s="95"/>
      <c r="P1157" s="10">
        <f t="shared" si="59"/>
        <v>168.9052059</v>
      </c>
      <c r="Q1157" s="3" t="s">
        <v>2887</v>
      </c>
      <c r="R1157" s="3" t="s">
        <v>1408</v>
      </c>
      <c r="S1157" s="89" t="s">
        <v>634</v>
      </c>
      <c r="T1157" s="89" t="s">
        <v>3158</v>
      </c>
      <c r="U1157" s="89">
        <v>85444999</v>
      </c>
      <c r="V1157" s="90"/>
      <c r="W1157" s="21" t="s">
        <v>1345</v>
      </c>
      <c r="X1157" s="21"/>
      <c r="Y1157" s="96"/>
      <c r="Z1157" s="97" t="s">
        <v>3373</v>
      </c>
      <c r="AA1157" s="120"/>
      <c r="AB1157" s="120"/>
      <c r="AC1157" s="120"/>
      <c r="AD1157" s="120"/>
    </row>
    <row r="1158" spans="1:30" x14ac:dyDescent="0.25">
      <c r="A1158" s="91">
        <v>46167</v>
      </c>
      <c r="B1158" s="91">
        <v>46172</v>
      </c>
      <c r="C1158" s="112" t="s">
        <v>1683</v>
      </c>
      <c r="D1158" s="89" t="s">
        <v>3093</v>
      </c>
      <c r="E1158" s="89" t="s">
        <v>3139</v>
      </c>
      <c r="F1158" s="89" t="s">
        <v>3139</v>
      </c>
      <c r="G1158" s="92">
        <v>30</v>
      </c>
      <c r="H1158" s="73"/>
      <c r="I1158" s="73">
        <f>Table223[[#This Row],[Qty]]-Table223[[#This Row],[Issue Qty]]</f>
        <v>30</v>
      </c>
      <c r="J1158" s="93">
        <v>38.889667000000003</v>
      </c>
      <c r="K1158" s="10">
        <f t="shared" si="57"/>
        <v>1166.69001</v>
      </c>
      <c r="L1158" s="82">
        <v>0.18</v>
      </c>
      <c r="M1158" s="9">
        <f t="shared" si="58"/>
        <v>210.0042018</v>
      </c>
      <c r="N1158" s="141">
        <v>300</v>
      </c>
      <c r="O1158" s="95"/>
      <c r="P1158" s="10">
        <f t="shared" si="59"/>
        <v>1676.6942117999999</v>
      </c>
      <c r="Q1158" s="3" t="s">
        <v>1408</v>
      </c>
      <c r="R1158" s="3" t="s">
        <v>1408</v>
      </c>
      <c r="S1158" s="89" t="s">
        <v>634</v>
      </c>
      <c r="T1158" s="89" t="s">
        <v>3158</v>
      </c>
      <c r="U1158" s="89">
        <v>85444999</v>
      </c>
      <c r="V1158" s="90"/>
      <c r="W1158" s="21" t="s">
        <v>1345</v>
      </c>
      <c r="X1158" s="21"/>
      <c r="Y1158" s="96"/>
      <c r="Z1158" s="97"/>
      <c r="AA1158" s="120"/>
      <c r="AB1158" s="120"/>
      <c r="AC1158" s="120"/>
      <c r="AD1158" s="120"/>
    </row>
    <row r="1159" spans="1:30" ht="15" customHeight="1" x14ac:dyDescent="0.25">
      <c r="A1159" s="113">
        <v>46171</v>
      </c>
      <c r="B1159" s="113">
        <v>46175</v>
      </c>
      <c r="C1159" s="112" t="s">
        <v>1683</v>
      </c>
      <c r="D1159" s="114" t="s">
        <v>2548</v>
      </c>
      <c r="E1159" s="149" t="s">
        <v>1451</v>
      </c>
      <c r="F1159" s="114" t="s">
        <v>1451</v>
      </c>
      <c r="G1159" s="115">
        <v>50</v>
      </c>
      <c r="H1159" s="73">
        <v>20</v>
      </c>
      <c r="I1159" s="73">
        <f>Table223[[#This Row],[Qty]]-Table223[[#This Row],[Issue Qty]]</f>
        <v>30</v>
      </c>
      <c r="J1159" s="116">
        <v>41</v>
      </c>
      <c r="K1159" s="10">
        <f t="shared" si="57"/>
        <v>2050</v>
      </c>
      <c r="L1159" s="82">
        <v>0.18</v>
      </c>
      <c r="M1159" s="118">
        <f t="shared" si="58"/>
        <v>369</v>
      </c>
      <c r="N1159" s="135">
        <v>381</v>
      </c>
      <c r="O1159" s="119"/>
      <c r="P1159" s="10">
        <f t="shared" si="59"/>
        <v>2800</v>
      </c>
      <c r="Q1159" s="3" t="s">
        <v>2887</v>
      </c>
      <c r="R1159" s="3" t="s">
        <v>1408</v>
      </c>
      <c r="S1159" s="114" t="s">
        <v>746</v>
      </c>
      <c r="T1159" s="114">
        <v>13433</v>
      </c>
      <c r="U1159" s="114"/>
      <c r="V1159" s="120"/>
      <c r="W1159" s="21" t="s">
        <v>1345</v>
      </c>
      <c r="X1159" s="21"/>
      <c r="Y1159" s="121"/>
      <c r="Z1159" s="123" t="s">
        <v>3374</v>
      </c>
      <c r="AA1159" s="120"/>
      <c r="AB1159" s="120"/>
      <c r="AC1159" s="120"/>
      <c r="AD1159" s="120"/>
    </row>
    <row r="1160" spans="1:30" ht="15" customHeight="1" x14ac:dyDescent="0.25">
      <c r="A1160" s="113">
        <v>46172</v>
      </c>
      <c r="B1160" s="113">
        <v>46177</v>
      </c>
      <c r="C1160" s="112" t="s">
        <v>3200</v>
      </c>
      <c r="D1160" s="114" t="s">
        <v>3201</v>
      </c>
      <c r="E1160" s="114" t="s">
        <v>3202</v>
      </c>
      <c r="F1160" s="114" t="s">
        <v>3202</v>
      </c>
      <c r="G1160" s="115">
        <v>100</v>
      </c>
      <c r="H1160" s="73">
        <v>100</v>
      </c>
      <c r="I1160" s="73">
        <f>Table223[[#This Row],[Qty]]-Table223[[#This Row],[Issue Qty]]</f>
        <v>0</v>
      </c>
      <c r="J1160" s="116">
        <v>1.4</v>
      </c>
      <c r="K1160" s="10">
        <f t="shared" si="57"/>
        <v>140</v>
      </c>
      <c r="L1160" s="82">
        <v>0.18</v>
      </c>
      <c r="M1160" s="118">
        <f t="shared" si="58"/>
        <v>25.2</v>
      </c>
      <c r="N1160" s="135">
        <v>60</v>
      </c>
      <c r="O1160" s="146"/>
      <c r="P1160" s="116">
        <f t="shared" si="59"/>
        <v>225.2</v>
      </c>
      <c r="Q1160" s="3" t="s">
        <v>1408</v>
      </c>
      <c r="R1160" s="3" t="s">
        <v>1408</v>
      </c>
      <c r="S1160" s="114" t="s">
        <v>1626</v>
      </c>
      <c r="T1160" s="114" t="s">
        <v>3203</v>
      </c>
      <c r="U1160" s="114">
        <v>731811</v>
      </c>
      <c r="V1160" s="120"/>
      <c r="W1160" s="21" t="s">
        <v>3204</v>
      </c>
      <c r="X1160" s="21"/>
      <c r="Y1160" s="121">
        <v>100</v>
      </c>
      <c r="Z1160" s="123" t="s">
        <v>3304</v>
      </c>
      <c r="AA1160" s="120"/>
      <c r="AB1160" s="120"/>
      <c r="AC1160" s="120"/>
      <c r="AD1160" s="120"/>
    </row>
    <row r="1161" spans="1:30" ht="15" customHeight="1" x14ac:dyDescent="0.25">
      <c r="A1161" s="113">
        <v>46176</v>
      </c>
      <c r="B1161" s="113">
        <v>46176</v>
      </c>
      <c r="C1161" s="112" t="s">
        <v>3200</v>
      </c>
      <c r="D1161" s="114" t="s">
        <v>3205</v>
      </c>
      <c r="E1161" s="114" t="s">
        <v>3206</v>
      </c>
      <c r="F1161" s="114" t="s">
        <v>3206</v>
      </c>
      <c r="G1161" s="115">
        <v>100</v>
      </c>
      <c r="H1161" s="73">
        <v>100</v>
      </c>
      <c r="I1161" s="73">
        <f>Table223[[#This Row],[Qty]]-Table223[[#This Row],[Issue Qty]]</f>
        <v>0</v>
      </c>
      <c r="J1161" s="116">
        <v>1.2</v>
      </c>
      <c r="K1161" s="10">
        <f t="shared" si="57"/>
        <v>120</v>
      </c>
      <c r="L1161" s="82">
        <v>0.18</v>
      </c>
      <c r="M1161" s="118">
        <f t="shared" si="58"/>
        <v>21.599999999999998</v>
      </c>
      <c r="N1161" s="135"/>
      <c r="O1161" s="146"/>
      <c r="P1161" s="116">
        <f t="shared" si="59"/>
        <v>141.6</v>
      </c>
      <c r="Q1161" s="3" t="s">
        <v>1408</v>
      </c>
      <c r="R1161" s="3" t="s">
        <v>1408</v>
      </c>
      <c r="S1161" s="114" t="s">
        <v>1626</v>
      </c>
      <c r="T1161" s="114" t="s">
        <v>3207</v>
      </c>
      <c r="U1161" s="114">
        <v>731811</v>
      </c>
      <c r="V1161" s="120"/>
      <c r="W1161" s="21" t="s">
        <v>3204</v>
      </c>
      <c r="X1161" s="21"/>
      <c r="Y1161" s="121">
        <v>100</v>
      </c>
      <c r="Z1161" s="123" t="s">
        <v>3304</v>
      </c>
      <c r="AA1161" s="120"/>
      <c r="AB1161" s="21"/>
      <c r="AC1161" s="21"/>
      <c r="AD1161" s="120"/>
    </row>
    <row r="1162" spans="1:30" ht="15" customHeight="1" x14ac:dyDescent="0.25">
      <c r="A1162" s="113">
        <v>46177</v>
      </c>
      <c r="B1162" s="113">
        <v>46177</v>
      </c>
      <c r="C1162" s="112" t="s">
        <v>54</v>
      </c>
      <c r="D1162" s="114" t="s">
        <v>2983</v>
      </c>
      <c r="E1162" s="114" t="s">
        <v>2986</v>
      </c>
      <c r="F1162" s="114" t="s">
        <v>2986</v>
      </c>
      <c r="G1162" s="115">
        <v>11</v>
      </c>
      <c r="H1162" s="92">
        <v>11</v>
      </c>
      <c r="I1162" s="115">
        <f>Table223[[#This Row],[Qty]]-Table223[[#This Row],[Issue Qty]]</f>
        <v>0</v>
      </c>
      <c r="J1162" s="116">
        <v>10500</v>
      </c>
      <c r="K1162" s="10">
        <f t="shared" si="57"/>
        <v>115500</v>
      </c>
      <c r="L1162" s="82">
        <v>0.18</v>
      </c>
      <c r="M1162" s="118">
        <f t="shared" si="58"/>
        <v>20790</v>
      </c>
      <c r="N1162" s="135"/>
      <c r="O1162" s="146"/>
      <c r="P1162" s="116">
        <f t="shared" si="59"/>
        <v>136290</v>
      </c>
      <c r="Q1162" s="1" t="s">
        <v>2887</v>
      </c>
      <c r="R1162" s="135" t="s">
        <v>2816</v>
      </c>
      <c r="S1162" s="114" t="s">
        <v>2990</v>
      </c>
      <c r="T1162" s="114">
        <v>29</v>
      </c>
      <c r="U1162" s="114"/>
      <c r="V1162" s="120"/>
      <c r="W1162" s="21" t="s">
        <v>2777</v>
      </c>
      <c r="X1162" s="21"/>
      <c r="Y1162" s="121">
        <v>11</v>
      </c>
      <c r="Z1162" s="123" t="s">
        <v>3376</v>
      </c>
      <c r="AA1162" s="120"/>
      <c r="AB1162" s="21"/>
      <c r="AC1162" s="21"/>
      <c r="AD1162" s="120"/>
    </row>
    <row r="1163" spans="1:30" ht="15" customHeight="1" x14ac:dyDescent="0.25">
      <c r="A1163" s="113">
        <v>46177</v>
      </c>
      <c r="B1163" s="113">
        <v>46177</v>
      </c>
      <c r="C1163" s="112" t="s">
        <v>54</v>
      </c>
      <c r="D1163" s="114" t="s">
        <v>3208</v>
      </c>
      <c r="E1163" s="173" t="s">
        <v>3209</v>
      </c>
      <c r="F1163" s="114" t="s">
        <v>3209</v>
      </c>
      <c r="G1163" s="115">
        <v>3</v>
      </c>
      <c r="H1163" s="92">
        <v>3</v>
      </c>
      <c r="I1163" s="115">
        <f>Table223[[#This Row],[Qty]]-Table223[[#This Row],[Issue Qty]]</f>
        <v>0</v>
      </c>
      <c r="J1163" s="116">
        <v>9500</v>
      </c>
      <c r="K1163" s="10">
        <f t="shared" si="57"/>
        <v>28500</v>
      </c>
      <c r="L1163" s="82">
        <v>0.18</v>
      </c>
      <c r="M1163" s="118">
        <f t="shared" si="58"/>
        <v>5130</v>
      </c>
      <c r="N1163" s="135"/>
      <c r="O1163" s="146"/>
      <c r="P1163" s="116">
        <f t="shared" si="59"/>
        <v>33630</v>
      </c>
      <c r="Q1163" s="1" t="s">
        <v>2887</v>
      </c>
      <c r="R1163" s="135" t="s">
        <v>2816</v>
      </c>
      <c r="S1163" s="114" t="s">
        <v>2990</v>
      </c>
      <c r="T1163" s="114">
        <v>29</v>
      </c>
      <c r="U1163" s="114"/>
      <c r="V1163" s="120"/>
      <c r="W1163" s="21" t="s">
        <v>2993</v>
      </c>
      <c r="X1163" s="21" t="s">
        <v>3183</v>
      </c>
      <c r="Y1163" s="121">
        <v>3</v>
      </c>
      <c r="Z1163" s="123" t="s">
        <v>3247</v>
      </c>
      <c r="AA1163" s="120"/>
      <c r="AB1163" s="21"/>
      <c r="AC1163" s="21"/>
      <c r="AD1163" s="120"/>
    </row>
    <row r="1164" spans="1:30" ht="15" customHeight="1" x14ac:dyDescent="0.25">
      <c r="A1164" s="113">
        <v>46177</v>
      </c>
      <c r="B1164" s="113">
        <v>46177</v>
      </c>
      <c r="C1164" s="112" t="s">
        <v>54</v>
      </c>
      <c r="D1164" s="114" t="s">
        <v>2983</v>
      </c>
      <c r="E1164" s="114" t="s">
        <v>2986</v>
      </c>
      <c r="F1164" s="114" t="s">
        <v>2986</v>
      </c>
      <c r="G1164" s="115">
        <v>1</v>
      </c>
      <c r="H1164" s="92">
        <v>1</v>
      </c>
      <c r="I1164" s="115">
        <f>Table223[[#This Row],[Qty]]-Table223[[#This Row],[Issue Qty]]</f>
        <v>0</v>
      </c>
      <c r="J1164" s="116">
        <v>10500</v>
      </c>
      <c r="K1164" s="10">
        <f t="shared" si="57"/>
        <v>10500</v>
      </c>
      <c r="L1164" s="82">
        <v>0.18</v>
      </c>
      <c r="M1164" s="118">
        <f t="shared" si="58"/>
        <v>1890</v>
      </c>
      <c r="N1164" s="135"/>
      <c r="O1164" s="146"/>
      <c r="P1164" s="116">
        <f t="shared" si="59"/>
        <v>12390</v>
      </c>
      <c r="Q1164" s="1" t="s">
        <v>2887</v>
      </c>
      <c r="R1164" s="135" t="s">
        <v>2816</v>
      </c>
      <c r="S1164" s="114" t="s">
        <v>2990</v>
      </c>
      <c r="T1164" s="114">
        <v>28</v>
      </c>
      <c r="U1164" s="114"/>
      <c r="V1164" s="120"/>
      <c r="W1164" s="21" t="s">
        <v>2777</v>
      </c>
      <c r="X1164" s="21"/>
      <c r="Y1164" s="121">
        <v>1</v>
      </c>
      <c r="Z1164" s="123" t="s">
        <v>3376</v>
      </c>
      <c r="AA1164" s="120"/>
      <c r="AB1164" s="21"/>
      <c r="AC1164" s="21"/>
      <c r="AD1164" s="120"/>
    </row>
    <row r="1165" spans="1:30" ht="15" customHeight="1" x14ac:dyDescent="0.25">
      <c r="A1165" s="113">
        <v>46177</v>
      </c>
      <c r="B1165" s="113">
        <v>46177</v>
      </c>
      <c r="C1165" s="112" t="s">
        <v>54</v>
      </c>
      <c r="D1165" s="114" t="s">
        <v>3208</v>
      </c>
      <c r="E1165" s="173" t="s">
        <v>3209</v>
      </c>
      <c r="F1165" s="114" t="s">
        <v>3209</v>
      </c>
      <c r="G1165" s="115">
        <v>1</v>
      </c>
      <c r="H1165" s="92">
        <v>1</v>
      </c>
      <c r="I1165" s="115">
        <f>Table223[[#This Row],[Qty]]-Table223[[#This Row],[Issue Qty]]</f>
        <v>0</v>
      </c>
      <c r="J1165" s="116">
        <v>9500</v>
      </c>
      <c r="K1165" s="10">
        <f t="shared" si="57"/>
        <v>9500</v>
      </c>
      <c r="L1165" s="82">
        <v>0.18</v>
      </c>
      <c r="M1165" s="118">
        <f t="shared" si="58"/>
        <v>1710</v>
      </c>
      <c r="N1165" s="135"/>
      <c r="O1165" s="146"/>
      <c r="P1165" s="116">
        <f t="shared" si="59"/>
        <v>11210</v>
      </c>
      <c r="Q1165" s="1" t="s">
        <v>2887</v>
      </c>
      <c r="R1165" s="135" t="s">
        <v>2816</v>
      </c>
      <c r="S1165" s="114" t="s">
        <v>2990</v>
      </c>
      <c r="T1165" s="114">
        <v>28</v>
      </c>
      <c r="U1165" s="114"/>
      <c r="V1165" s="120"/>
      <c r="W1165" s="21" t="s">
        <v>2993</v>
      </c>
      <c r="X1165" s="21" t="s">
        <v>3183</v>
      </c>
      <c r="Y1165" s="121">
        <v>1</v>
      </c>
      <c r="Z1165" s="123" t="s">
        <v>3247</v>
      </c>
      <c r="AA1165" s="120"/>
      <c r="AB1165" s="21"/>
      <c r="AC1165" s="21"/>
      <c r="AD1165" s="120"/>
    </row>
    <row r="1166" spans="1:30" ht="15" customHeight="1" x14ac:dyDescent="0.25">
      <c r="A1166" s="113">
        <v>46177</v>
      </c>
      <c r="B1166" s="113">
        <v>46177</v>
      </c>
      <c r="C1166" s="112" t="s">
        <v>54</v>
      </c>
      <c r="D1166" s="114" t="s">
        <v>3036</v>
      </c>
      <c r="E1166" s="114" t="s">
        <v>3002</v>
      </c>
      <c r="F1166" s="114" t="s">
        <v>3002</v>
      </c>
      <c r="G1166" s="115">
        <v>8</v>
      </c>
      <c r="H1166" s="73">
        <v>2</v>
      </c>
      <c r="I1166" s="73">
        <f>Table223[[#This Row],[Qty]]-Table223[[#This Row],[Issue Qty]]</f>
        <v>6</v>
      </c>
      <c r="J1166" s="116">
        <v>1200</v>
      </c>
      <c r="K1166" s="10">
        <f t="shared" si="57"/>
        <v>9600</v>
      </c>
      <c r="L1166" s="82">
        <v>0.18</v>
      </c>
      <c r="M1166" s="118">
        <f t="shared" si="58"/>
        <v>1728</v>
      </c>
      <c r="N1166" s="135"/>
      <c r="O1166" s="146"/>
      <c r="P1166" s="116">
        <f t="shared" si="59"/>
        <v>11328</v>
      </c>
      <c r="Q1166" s="1" t="s">
        <v>2887</v>
      </c>
      <c r="R1166" s="135" t="s">
        <v>2816</v>
      </c>
      <c r="S1166" s="114" t="s">
        <v>2990</v>
      </c>
      <c r="T1166" s="114">
        <v>28</v>
      </c>
      <c r="U1166" s="114"/>
      <c r="V1166" s="120"/>
      <c r="W1166" s="21" t="s">
        <v>268</v>
      </c>
      <c r="X1166" s="21"/>
      <c r="Y1166" s="121">
        <v>2</v>
      </c>
      <c r="Z1166" s="97" t="s">
        <v>2887</v>
      </c>
      <c r="AA1166" s="120"/>
      <c r="AB1166" s="21"/>
      <c r="AC1166" s="21"/>
      <c r="AD1166" s="120"/>
    </row>
    <row r="1167" spans="1:30" ht="15" customHeight="1" x14ac:dyDescent="0.25">
      <c r="A1167" s="113">
        <v>46177</v>
      </c>
      <c r="B1167" s="113">
        <v>46177</v>
      </c>
      <c r="C1167" s="112" t="s">
        <v>54</v>
      </c>
      <c r="D1167" s="114" t="s">
        <v>2985</v>
      </c>
      <c r="E1167" s="114" t="s">
        <v>3003</v>
      </c>
      <c r="F1167" s="114" t="s">
        <v>3003</v>
      </c>
      <c r="G1167" s="115">
        <v>8</v>
      </c>
      <c r="H1167" s="73">
        <v>2</v>
      </c>
      <c r="I1167" s="73">
        <f>Table223[[#This Row],[Qty]]-Table223[[#This Row],[Issue Qty]]</f>
        <v>6</v>
      </c>
      <c r="J1167" s="116">
        <v>1200</v>
      </c>
      <c r="K1167" s="10">
        <f t="shared" si="57"/>
        <v>9600</v>
      </c>
      <c r="L1167" s="82">
        <v>0.18</v>
      </c>
      <c r="M1167" s="118">
        <f t="shared" si="58"/>
        <v>1728</v>
      </c>
      <c r="N1167" s="135"/>
      <c r="O1167" s="146"/>
      <c r="P1167" s="116">
        <f t="shared" si="59"/>
        <v>11328</v>
      </c>
      <c r="Q1167" s="1" t="s">
        <v>2887</v>
      </c>
      <c r="R1167" s="135" t="s">
        <v>2816</v>
      </c>
      <c r="S1167" s="114" t="s">
        <v>2990</v>
      </c>
      <c r="T1167" s="114">
        <v>28</v>
      </c>
      <c r="U1167" s="114"/>
      <c r="V1167" s="120"/>
      <c r="W1167" s="21" t="s">
        <v>268</v>
      </c>
      <c r="X1167" s="21"/>
      <c r="Y1167" s="121">
        <v>2</v>
      </c>
      <c r="Z1167" s="97" t="s">
        <v>2887</v>
      </c>
      <c r="AA1167" s="120"/>
      <c r="AB1167" s="21"/>
      <c r="AC1167" s="21"/>
      <c r="AD1167" s="120"/>
    </row>
    <row r="1168" spans="1:30" ht="15" customHeight="1" x14ac:dyDescent="0.25">
      <c r="A1168" s="113">
        <v>46172</v>
      </c>
      <c r="B1168" s="113">
        <v>46178</v>
      </c>
      <c r="C1168" s="112" t="s">
        <v>3200</v>
      </c>
      <c r="D1168" s="114" t="s">
        <v>3210</v>
      </c>
      <c r="E1168" s="114" t="s">
        <v>3211</v>
      </c>
      <c r="F1168" s="114" t="s">
        <v>3211</v>
      </c>
      <c r="G1168" s="115">
        <v>9</v>
      </c>
      <c r="H1168" s="73">
        <v>9</v>
      </c>
      <c r="I1168" s="73">
        <f>Table223[[#This Row],[Qty]]-Table223[[#This Row],[Issue Qty]]</f>
        <v>0</v>
      </c>
      <c r="J1168" s="116">
        <v>253.39</v>
      </c>
      <c r="K1168" s="10">
        <f t="shared" si="57"/>
        <v>2280.5099999999998</v>
      </c>
      <c r="L1168" s="82">
        <v>0.18</v>
      </c>
      <c r="M1168" s="118">
        <f t="shared" si="58"/>
        <v>410.49179999999996</v>
      </c>
      <c r="N1168" s="135"/>
      <c r="O1168" s="146"/>
      <c r="P1168" s="116">
        <f t="shared" si="59"/>
        <v>2691.0017999999995</v>
      </c>
      <c r="Q1168" s="135" t="s">
        <v>3243</v>
      </c>
      <c r="R1168" s="135" t="s">
        <v>3243</v>
      </c>
      <c r="S1168" s="114" t="s">
        <v>384</v>
      </c>
      <c r="T1168" s="114" t="s">
        <v>3212</v>
      </c>
      <c r="U1168" s="114"/>
      <c r="V1168" s="120"/>
      <c r="W1168" s="21" t="s">
        <v>268</v>
      </c>
      <c r="X1168" s="21"/>
      <c r="Y1168" s="121">
        <v>3</v>
      </c>
      <c r="Z1168" s="123" t="s">
        <v>2991</v>
      </c>
      <c r="AA1168" s="120"/>
      <c r="AB1168" s="21"/>
      <c r="AC1168" s="21"/>
      <c r="AD1168" s="120"/>
    </row>
    <row r="1169" spans="1:30" ht="15" customHeight="1" x14ac:dyDescent="0.25">
      <c r="A1169" s="113"/>
      <c r="B1169" s="113">
        <v>46178</v>
      </c>
      <c r="C1169" s="112" t="s">
        <v>1693</v>
      </c>
      <c r="D1169" s="114" t="s">
        <v>2414</v>
      </c>
      <c r="E1169" s="114" t="s">
        <v>1313</v>
      </c>
      <c r="F1169" s="114" t="s">
        <v>1313</v>
      </c>
      <c r="G1169" s="115">
        <v>2</v>
      </c>
      <c r="H1169" s="73"/>
      <c r="I1169" s="73">
        <f>Table223[[#This Row],[Qty]]-Table223[[#This Row],[Issue Qty]]</f>
        <v>2</v>
      </c>
      <c r="J1169" s="116">
        <v>1150</v>
      </c>
      <c r="K1169" s="10">
        <f t="shared" si="57"/>
        <v>2300</v>
      </c>
      <c r="L1169" s="82">
        <v>0.18</v>
      </c>
      <c r="M1169" s="118">
        <f>K1169*L1169</f>
        <v>414</v>
      </c>
      <c r="N1169" s="135"/>
      <c r="O1169" s="146"/>
      <c r="P1169" s="116">
        <f t="shared" si="59"/>
        <v>2714</v>
      </c>
      <c r="Q1169" s="1" t="s">
        <v>2887</v>
      </c>
      <c r="R1169" s="135" t="s">
        <v>2816</v>
      </c>
      <c r="S1169" s="114" t="s">
        <v>1314</v>
      </c>
      <c r="T1169" s="114"/>
      <c r="U1169" s="114"/>
      <c r="V1169" s="120"/>
      <c r="W1169" s="21" t="s">
        <v>29</v>
      </c>
      <c r="X1169" s="21"/>
      <c r="Y1169" s="121"/>
      <c r="Z1169" s="123"/>
      <c r="AA1169" s="120"/>
      <c r="AB1169" s="21"/>
      <c r="AC1169" s="21"/>
      <c r="AD1169" s="120"/>
    </row>
    <row r="1170" spans="1:30" ht="15" customHeight="1" x14ac:dyDescent="0.25">
      <c r="A1170" s="113">
        <v>46179</v>
      </c>
      <c r="B1170" s="113">
        <v>46179</v>
      </c>
      <c r="C1170" s="112" t="s">
        <v>54</v>
      </c>
      <c r="D1170" s="114" t="s">
        <v>3213</v>
      </c>
      <c r="E1170" s="114" t="s">
        <v>3214</v>
      </c>
      <c r="F1170" s="114" t="s">
        <v>3214</v>
      </c>
      <c r="G1170" s="115">
        <v>2</v>
      </c>
      <c r="H1170" s="73">
        <v>2</v>
      </c>
      <c r="I1170" s="73">
        <f>Table223[[#This Row],[Qty]]-Table223[[#This Row],[Issue Qty]]</f>
        <v>0</v>
      </c>
      <c r="J1170" s="116">
        <v>3510</v>
      </c>
      <c r="K1170" s="10">
        <f t="shared" si="57"/>
        <v>7020</v>
      </c>
      <c r="L1170" s="82">
        <v>0.18</v>
      </c>
      <c r="M1170" s="118">
        <f t="shared" si="58"/>
        <v>1263.5999999999999</v>
      </c>
      <c r="N1170" s="135"/>
      <c r="O1170" s="135">
        <v>0.4</v>
      </c>
      <c r="P1170" s="116">
        <f t="shared" si="59"/>
        <v>8284</v>
      </c>
      <c r="Q1170" s="135" t="s">
        <v>3243</v>
      </c>
      <c r="R1170" s="135" t="s">
        <v>3243</v>
      </c>
      <c r="S1170" s="114" t="s">
        <v>3215</v>
      </c>
      <c r="T1170" s="114" t="s">
        <v>3216</v>
      </c>
      <c r="U1170" s="114"/>
      <c r="V1170" s="120"/>
      <c r="W1170" s="21" t="s">
        <v>268</v>
      </c>
      <c r="X1170" s="21"/>
      <c r="Y1170" s="121">
        <v>2</v>
      </c>
      <c r="Z1170" s="123" t="s">
        <v>2991</v>
      </c>
      <c r="AA1170" s="120"/>
      <c r="AB1170" s="21"/>
      <c r="AC1170" s="21"/>
      <c r="AD1170" s="120"/>
    </row>
    <row r="1171" spans="1:30" ht="15" customHeight="1" x14ac:dyDescent="0.25">
      <c r="A1171" s="113">
        <v>46178</v>
      </c>
      <c r="B1171" s="113">
        <v>46179</v>
      </c>
      <c r="C1171" s="112" t="s">
        <v>54</v>
      </c>
      <c r="D1171" s="114" t="s">
        <v>3217</v>
      </c>
      <c r="E1171" s="149" t="s">
        <v>3218</v>
      </c>
      <c r="F1171" s="114" t="s">
        <v>3218</v>
      </c>
      <c r="G1171" s="115">
        <v>2</v>
      </c>
      <c r="H1171" s="73">
        <v>2</v>
      </c>
      <c r="I1171" s="73">
        <f>Table223[[#This Row],[Qty]]-Table223[[#This Row],[Issue Qty]]</f>
        <v>0</v>
      </c>
      <c r="J1171" s="116">
        <v>5280.95</v>
      </c>
      <c r="K1171" s="10">
        <f t="shared" si="57"/>
        <v>10561.9</v>
      </c>
      <c r="L1171" s="82">
        <v>0.05</v>
      </c>
      <c r="M1171" s="118">
        <f t="shared" si="58"/>
        <v>528.09500000000003</v>
      </c>
      <c r="N1171" s="135">
        <v>99</v>
      </c>
      <c r="O1171" s="146"/>
      <c r="P1171" s="116">
        <f t="shared" si="59"/>
        <v>11188.994999999999</v>
      </c>
      <c r="Q1171" s="135" t="s">
        <v>3244</v>
      </c>
      <c r="R1171" s="135" t="s">
        <v>3244</v>
      </c>
      <c r="S1171" s="114" t="s">
        <v>634</v>
      </c>
      <c r="T1171" s="114" t="s">
        <v>3219</v>
      </c>
      <c r="U1171" s="114"/>
      <c r="V1171" s="120"/>
      <c r="W1171" s="21" t="s">
        <v>126</v>
      </c>
      <c r="X1171" s="21"/>
      <c r="Y1171" s="121">
        <v>2</v>
      </c>
      <c r="Z1171" s="123" t="s">
        <v>3303</v>
      </c>
      <c r="AA1171" s="120"/>
      <c r="AB1171" s="21"/>
      <c r="AC1171" s="21"/>
      <c r="AD1171" s="120"/>
    </row>
    <row r="1172" spans="1:30" ht="15" customHeight="1" x14ac:dyDescent="0.25">
      <c r="A1172" s="113">
        <v>46177</v>
      </c>
      <c r="B1172" s="113">
        <v>46182</v>
      </c>
      <c r="C1172" s="112" t="s">
        <v>3200</v>
      </c>
      <c r="D1172" s="114" t="s">
        <v>3220</v>
      </c>
      <c r="E1172" s="149" t="s">
        <v>3221</v>
      </c>
      <c r="F1172" s="114" t="s">
        <v>3221</v>
      </c>
      <c r="G1172" s="115">
        <v>1</v>
      </c>
      <c r="H1172" s="73">
        <v>1</v>
      </c>
      <c r="I1172" s="73">
        <f>Table223[[#This Row],[Qty]]-Table223[[#This Row],[Issue Qty]]</f>
        <v>0</v>
      </c>
      <c r="J1172" s="116">
        <v>9000</v>
      </c>
      <c r="K1172" s="10">
        <f t="shared" si="57"/>
        <v>9000</v>
      </c>
      <c r="L1172" s="82">
        <v>0.18</v>
      </c>
      <c r="M1172" s="118">
        <f t="shared" si="58"/>
        <v>1620</v>
      </c>
      <c r="N1172" s="135">
        <v>1888</v>
      </c>
      <c r="O1172" s="146"/>
      <c r="P1172" s="116">
        <f t="shared" si="59"/>
        <v>12508</v>
      </c>
      <c r="Q1172" s="135" t="s">
        <v>3244</v>
      </c>
      <c r="R1172" s="135" t="s">
        <v>3244</v>
      </c>
      <c r="S1172" s="114" t="s">
        <v>1210</v>
      </c>
      <c r="T1172" s="114" t="s">
        <v>3222</v>
      </c>
      <c r="U1172" s="114"/>
      <c r="V1172" s="120"/>
      <c r="W1172" s="21" t="s">
        <v>3179</v>
      </c>
      <c r="X1172" s="21"/>
      <c r="Y1172" s="121">
        <v>1</v>
      </c>
      <c r="Z1172" s="123" t="s">
        <v>3303</v>
      </c>
      <c r="AA1172" s="120"/>
      <c r="AB1172" s="21"/>
      <c r="AC1172" s="21"/>
      <c r="AD1172" s="120"/>
    </row>
    <row r="1173" spans="1:30" ht="15" customHeight="1" x14ac:dyDescent="0.25">
      <c r="A1173" s="113">
        <v>46186</v>
      </c>
      <c r="B1173" s="113">
        <v>46182</v>
      </c>
      <c r="C1173" s="112" t="s">
        <v>3200</v>
      </c>
      <c r="D1173" s="114" t="s">
        <v>3223</v>
      </c>
      <c r="E1173" s="149" t="s">
        <v>3224</v>
      </c>
      <c r="F1173" s="114" t="s">
        <v>3224</v>
      </c>
      <c r="G1173" s="115">
        <v>600</v>
      </c>
      <c r="H1173" s="73">
        <v>150</v>
      </c>
      <c r="I1173" s="73">
        <f>Table223[[#This Row],[Qty]]-Table223[[#This Row],[Issue Qty]]</f>
        <v>450</v>
      </c>
      <c r="J1173" s="116">
        <v>3.2</v>
      </c>
      <c r="K1173" s="10">
        <f t="shared" si="57"/>
        <v>1920</v>
      </c>
      <c r="L1173" s="82">
        <v>0.18</v>
      </c>
      <c r="M1173" s="118">
        <f t="shared" si="58"/>
        <v>345.59999999999997</v>
      </c>
      <c r="N1173" s="135"/>
      <c r="O1173" s="146"/>
      <c r="P1173" s="116">
        <f t="shared" si="59"/>
        <v>2265.6</v>
      </c>
      <c r="Q1173" s="135" t="s">
        <v>3245</v>
      </c>
      <c r="R1173" s="135" t="s">
        <v>3245</v>
      </c>
      <c r="S1173" s="114" t="s">
        <v>3009</v>
      </c>
      <c r="T1173" s="114" t="s">
        <v>3258</v>
      </c>
      <c r="U1173" s="114"/>
      <c r="V1173" s="120"/>
      <c r="W1173" s="21" t="s">
        <v>2993</v>
      </c>
      <c r="X1173" s="21" t="s">
        <v>3183</v>
      </c>
      <c r="Y1173" s="121">
        <v>140</v>
      </c>
      <c r="Z1173" s="123" t="s">
        <v>3303</v>
      </c>
      <c r="AA1173" s="120"/>
      <c r="AB1173" s="21"/>
      <c r="AC1173" s="21"/>
      <c r="AD1173" s="120"/>
    </row>
    <row r="1174" spans="1:30" ht="15" customHeight="1" x14ac:dyDescent="0.25">
      <c r="A1174" s="113">
        <v>46185</v>
      </c>
      <c r="B1174" s="113">
        <v>46182</v>
      </c>
      <c r="C1174" s="114" t="s">
        <v>1693</v>
      </c>
      <c r="D1174" s="114" t="s">
        <v>2651</v>
      </c>
      <c r="E1174" s="149" t="s">
        <v>1553</v>
      </c>
      <c r="F1174" s="114" t="s">
        <v>1553</v>
      </c>
      <c r="G1174" s="115">
        <v>45</v>
      </c>
      <c r="H1174" s="69">
        <v>11</v>
      </c>
      <c r="I1174" s="69">
        <f>Table223[[#This Row],[Qty]]-Table223[[#This Row],[Issue Qty]]</f>
        <v>34</v>
      </c>
      <c r="J1174" s="116">
        <v>840</v>
      </c>
      <c r="K1174" s="10">
        <f t="shared" si="57"/>
        <v>37800</v>
      </c>
      <c r="L1174" s="82">
        <v>0.05</v>
      </c>
      <c r="M1174" s="118">
        <f t="shared" si="58"/>
        <v>1890</v>
      </c>
      <c r="N1174" s="116"/>
      <c r="O1174" s="130"/>
      <c r="P1174" s="116">
        <f t="shared" si="59"/>
        <v>39690</v>
      </c>
      <c r="Q1174" s="135" t="s">
        <v>3244</v>
      </c>
      <c r="R1174" s="135" t="s">
        <v>3244</v>
      </c>
      <c r="S1174" s="114" t="s">
        <v>3009</v>
      </c>
      <c r="T1174" s="114" t="s">
        <v>3301</v>
      </c>
      <c r="U1174" s="114"/>
      <c r="V1174" s="120"/>
      <c r="W1174" s="21" t="s">
        <v>2808</v>
      </c>
      <c r="X1174" s="21" t="s">
        <v>3183</v>
      </c>
      <c r="Y1174" s="121">
        <v>11</v>
      </c>
      <c r="Z1174" s="123" t="s">
        <v>3372</v>
      </c>
      <c r="AA1174" s="120"/>
      <c r="AB1174" s="121"/>
      <c r="AC1174" s="121"/>
      <c r="AD1174" s="120"/>
    </row>
    <row r="1175" spans="1:30" ht="15" customHeight="1" x14ac:dyDescent="0.25">
      <c r="A1175" s="113">
        <v>46185</v>
      </c>
      <c r="B1175" s="113">
        <v>46182</v>
      </c>
      <c r="C1175" s="114" t="s">
        <v>1693</v>
      </c>
      <c r="D1175" s="114" t="s">
        <v>2648</v>
      </c>
      <c r="E1175" s="149" t="s">
        <v>1550</v>
      </c>
      <c r="F1175" s="114" t="s">
        <v>1550</v>
      </c>
      <c r="G1175" s="115">
        <v>45</v>
      </c>
      <c r="H1175" s="69">
        <v>11</v>
      </c>
      <c r="I1175" s="69">
        <f>Table223[[#This Row],[Qty]]-Table223[[#This Row],[Issue Qty]]</f>
        <v>34</v>
      </c>
      <c r="J1175" s="116">
        <v>840</v>
      </c>
      <c r="K1175" s="10">
        <f t="shared" si="57"/>
        <v>37800</v>
      </c>
      <c r="L1175" s="82">
        <v>0.05</v>
      </c>
      <c r="M1175" s="118">
        <f t="shared" si="58"/>
        <v>1890</v>
      </c>
      <c r="N1175" s="116"/>
      <c r="O1175" s="130"/>
      <c r="P1175" s="116">
        <f t="shared" si="59"/>
        <v>39690</v>
      </c>
      <c r="Q1175" s="135" t="s">
        <v>3244</v>
      </c>
      <c r="R1175" s="135" t="s">
        <v>3244</v>
      </c>
      <c r="S1175" s="114" t="s">
        <v>3009</v>
      </c>
      <c r="T1175" s="114" t="s">
        <v>3301</v>
      </c>
      <c r="U1175" s="114"/>
      <c r="V1175" s="120"/>
      <c r="W1175" s="21" t="s">
        <v>2808</v>
      </c>
      <c r="X1175" s="21" t="s">
        <v>3183</v>
      </c>
      <c r="Y1175" s="121">
        <v>11</v>
      </c>
      <c r="Z1175" s="123" t="s">
        <v>3372</v>
      </c>
      <c r="AA1175" s="120"/>
      <c r="AB1175" s="121"/>
      <c r="AC1175" s="121"/>
      <c r="AD1175" s="120"/>
    </row>
    <row r="1176" spans="1:30" ht="15" customHeight="1" x14ac:dyDescent="0.25">
      <c r="A1176" s="113">
        <v>46185</v>
      </c>
      <c r="B1176" s="113">
        <v>46182</v>
      </c>
      <c r="C1176" s="114" t="s">
        <v>1693</v>
      </c>
      <c r="D1176" s="114" t="s">
        <v>2650</v>
      </c>
      <c r="E1176" s="149" t="s">
        <v>1552</v>
      </c>
      <c r="F1176" s="114" t="s">
        <v>1552</v>
      </c>
      <c r="G1176" s="115">
        <v>46</v>
      </c>
      <c r="H1176" s="69">
        <v>11</v>
      </c>
      <c r="I1176" s="69">
        <f>Table223[[#This Row],[Qty]]-Table223[[#This Row],[Issue Qty]]</f>
        <v>35</v>
      </c>
      <c r="J1176" s="116">
        <v>840</v>
      </c>
      <c r="K1176" s="10">
        <f t="shared" si="57"/>
        <v>38640</v>
      </c>
      <c r="L1176" s="82">
        <v>0.05</v>
      </c>
      <c r="M1176" s="118">
        <f t="shared" si="58"/>
        <v>1932</v>
      </c>
      <c r="N1176" s="116"/>
      <c r="O1176" s="130"/>
      <c r="P1176" s="116">
        <f t="shared" si="59"/>
        <v>40572</v>
      </c>
      <c r="Q1176" s="135" t="s">
        <v>3244</v>
      </c>
      <c r="R1176" s="135" t="s">
        <v>3244</v>
      </c>
      <c r="S1176" s="114" t="s">
        <v>3009</v>
      </c>
      <c r="T1176" s="114" t="s">
        <v>3301</v>
      </c>
      <c r="U1176" s="114"/>
      <c r="V1176" s="120"/>
      <c r="W1176" s="21" t="s">
        <v>2808</v>
      </c>
      <c r="X1176" s="21" t="s">
        <v>3183</v>
      </c>
      <c r="Y1176" s="121">
        <v>11</v>
      </c>
      <c r="Z1176" s="123" t="s">
        <v>3372</v>
      </c>
      <c r="AA1176" s="120"/>
      <c r="AB1176" s="121"/>
      <c r="AC1176" s="121"/>
      <c r="AD1176" s="120"/>
    </row>
    <row r="1177" spans="1:30" ht="15" customHeight="1" x14ac:dyDescent="0.25">
      <c r="A1177" s="113">
        <v>46172</v>
      </c>
      <c r="B1177" s="113">
        <v>46183</v>
      </c>
      <c r="C1177" s="112" t="s">
        <v>3200</v>
      </c>
      <c r="D1177" s="114" t="s">
        <v>3225</v>
      </c>
      <c r="E1177" s="149" t="s">
        <v>3226</v>
      </c>
      <c r="F1177" s="114" t="s">
        <v>3226</v>
      </c>
      <c r="G1177" s="115">
        <v>1</v>
      </c>
      <c r="H1177" s="73">
        <v>1</v>
      </c>
      <c r="I1177" s="73">
        <f>Table223[[#This Row],[Qty]]-Table223[[#This Row],[Issue Qty]]</f>
        <v>0</v>
      </c>
      <c r="J1177" s="116">
        <v>152.38</v>
      </c>
      <c r="K1177" s="10">
        <f t="shared" si="57"/>
        <v>152.38</v>
      </c>
      <c r="L1177" s="82">
        <v>0.05</v>
      </c>
      <c r="M1177" s="118">
        <f t="shared" si="58"/>
        <v>7.6189999999999998</v>
      </c>
      <c r="N1177" s="135"/>
      <c r="O1177" s="146"/>
      <c r="P1177" s="116">
        <f t="shared" si="59"/>
        <v>159.999</v>
      </c>
      <c r="Q1177" s="135" t="s">
        <v>3242</v>
      </c>
      <c r="R1177" s="135" t="s">
        <v>3242</v>
      </c>
      <c r="S1177" s="114" t="s">
        <v>384</v>
      </c>
      <c r="T1177" s="114" t="s">
        <v>3227</v>
      </c>
      <c r="U1177" s="114"/>
      <c r="V1177" s="120"/>
      <c r="W1177" s="21" t="s">
        <v>244</v>
      </c>
      <c r="X1177" s="21"/>
      <c r="Y1177" s="121">
        <v>1</v>
      </c>
      <c r="Z1177" s="123" t="s">
        <v>3303</v>
      </c>
      <c r="AA1177" s="120"/>
      <c r="AB1177" s="21"/>
      <c r="AC1177" s="21"/>
      <c r="AD1177" s="120"/>
    </row>
    <row r="1178" spans="1:30" ht="15" customHeight="1" x14ac:dyDescent="0.25">
      <c r="A1178" s="113">
        <v>46179</v>
      </c>
      <c r="B1178" s="113">
        <v>46183</v>
      </c>
      <c r="C1178" s="112" t="s">
        <v>1683</v>
      </c>
      <c r="D1178" s="114" t="s">
        <v>3228</v>
      </c>
      <c r="E1178" s="149" t="s">
        <v>3229</v>
      </c>
      <c r="F1178" s="114" t="s">
        <v>3229</v>
      </c>
      <c r="G1178" s="115">
        <v>28</v>
      </c>
      <c r="H1178" s="73">
        <v>24</v>
      </c>
      <c r="I1178" s="73">
        <f>Table223[[#This Row],[Qty]]-Table223[[#This Row],[Issue Qty]]</f>
        <v>4</v>
      </c>
      <c r="J1178" s="116">
        <v>9930</v>
      </c>
      <c r="K1178" s="10">
        <f t="shared" si="57"/>
        <v>278040</v>
      </c>
      <c r="L1178" s="82">
        <v>0.18</v>
      </c>
      <c r="M1178" s="118">
        <f t="shared" si="58"/>
        <v>50047.199999999997</v>
      </c>
      <c r="N1178" s="135"/>
      <c r="O1178" s="146"/>
      <c r="P1178" s="116">
        <f t="shared" si="59"/>
        <v>328087.2</v>
      </c>
      <c r="Q1178" s="135" t="s">
        <v>3244</v>
      </c>
      <c r="R1178" s="135" t="s">
        <v>3244</v>
      </c>
      <c r="S1178" s="114" t="s">
        <v>792</v>
      </c>
      <c r="T1178" s="114" t="s">
        <v>3230</v>
      </c>
      <c r="U1178" s="114"/>
      <c r="V1178" s="120"/>
      <c r="W1178" s="21" t="s">
        <v>3253</v>
      </c>
      <c r="X1178" s="21" t="s">
        <v>3183</v>
      </c>
      <c r="Y1178" s="121">
        <f>16+8</f>
        <v>24</v>
      </c>
      <c r="Z1178" s="123" t="s">
        <v>3303</v>
      </c>
      <c r="AA1178" s="120"/>
      <c r="AB1178" s="21"/>
      <c r="AC1178" s="21"/>
      <c r="AD1178" s="120"/>
    </row>
    <row r="1179" spans="1:30" ht="15" customHeight="1" x14ac:dyDescent="0.25">
      <c r="A1179" s="113">
        <v>46184</v>
      </c>
      <c r="B1179" s="113">
        <v>46184</v>
      </c>
      <c r="C1179" s="112" t="s">
        <v>54</v>
      </c>
      <c r="D1179" s="114" t="s">
        <v>3231</v>
      </c>
      <c r="E1179" s="149" t="s">
        <v>3232</v>
      </c>
      <c r="F1179" s="114" t="s">
        <v>3232</v>
      </c>
      <c r="G1179" s="115">
        <v>10</v>
      </c>
      <c r="H1179" s="73">
        <v>10</v>
      </c>
      <c r="I1179" s="73">
        <f>Table223[[#This Row],[Qty]]-Table223[[#This Row],[Issue Qty]]</f>
        <v>0</v>
      </c>
      <c r="J1179" s="116">
        <v>4050</v>
      </c>
      <c r="K1179" s="10">
        <f t="shared" ref="K1179:K1236" si="60">G1179*J1179</f>
        <v>40500</v>
      </c>
      <c r="L1179" s="82">
        <v>0.18</v>
      </c>
      <c r="M1179" s="118">
        <f t="shared" ref="M1179:M1236" si="61">K1179*L1179</f>
        <v>7290</v>
      </c>
      <c r="N1179" s="135"/>
      <c r="O1179" s="146"/>
      <c r="P1179" s="116">
        <f t="shared" ref="P1179:P1236" si="62">K1179+M1179+N1179+O1179</f>
        <v>47790</v>
      </c>
      <c r="Q1179" s="135" t="s">
        <v>3244</v>
      </c>
      <c r="R1179" s="135" t="s">
        <v>3244</v>
      </c>
      <c r="S1179" s="114" t="s">
        <v>3020</v>
      </c>
      <c r="T1179" s="114" t="s">
        <v>3255</v>
      </c>
      <c r="U1179" s="114">
        <v>39264019</v>
      </c>
      <c r="V1179" s="120"/>
      <c r="W1179" s="21" t="s">
        <v>3168</v>
      </c>
      <c r="X1179" s="21" t="s">
        <v>3183</v>
      </c>
      <c r="Y1179" s="121">
        <v>10</v>
      </c>
      <c r="Z1179" s="123" t="s">
        <v>3303</v>
      </c>
      <c r="AA1179" s="120"/>
      <c r="AB1179" s="21"/>
      <c r="AC1179" s="21"/>
      <c r="AD1179" s="120"/>
    </row>
    <row r="1180" spans="1:30" ht="15" customHeight="1" x14ac:dyDescent="0.25">
      <c r="A1180" s="113">
        <v>46184</v>
      </c>
      <c r="B1180" s="113">
        <v>46184</v>
      </c>
      <c r="C1180" s="112" t="s">
        <v>54</v>
      </c>
      <c r="D1180" s="114" t="s">
        <v>3233</v>
      </c>
      <c r="E1180" s="149" t="s">
        <v>3234</v>
      </c>
      <c r="F1180" s="114" t="s">
        <v>3234</v>
      </c>
      <c r="G1180" s="115">
        <v>10</v>
      </c>
      <c r="H1180" s="73">
        <v>10</v>
      </c>
      <c r="I1180" s="73">
        <f>Table223[[#This Row],[Qty]]-Table223[[#This Row],[Issue Qty]]</f>
        <v>0</v>
      </c>
      <c r="J1180" s="116">
        <v>3060</v>
      </c>
      <c r="K1180" s="10">
        <f t="shared" si="60"/>
        <v>30600</v>
      </c>
      <c r="L1180" s="82">
        <v>0.18</v>
      </c>
      <c r="M1180" s="118">
        <f t="shared" si="61"/>
        <v>5508</v>
      </c>
      <c r="N1180" s="135">
        <v>300</v>
      </c>
      <c r="O1180" s="146"/>
      <c r="P1180" s="116">
        <f t="shared" si="62"/>
        <v>36408</v>
      </c>
      <c r="Q1180" s="135" t="s">
        <v>3244</v>
      </c>
      <c r="R1180" s="135" t="s">
        <v>3244</v>
      </c>
      <c r="S1180" s="114" t="s">
        <v>3020</v>
      </c>
      <c r="T1180" s="114" t="s">
        <v>3255</v>
      </c>
      <c r="U1180" s="114">
        <v>39264019</v>
      </c>
      <c r="V1180" s="120"/>
      <c r="W1180" s="21" t="s">
        <v>3168</v>
      </c>
      <c r="X1180" s="21" t="s">
        <v>3183</v>
      </c>
      <c r="Y1180" s="121">
        <v>10</v>
      </c>
      <c r="Z1180" s="123" t="s">
        <v>3303</v>
      </c>
      <c r="AA1180" s="120"/>
      <c r="AB1180" s="21"/>
      <c r="AC1180" s="21"/>
      <c r="AD1180" s="120"/>
    </row>
    <row r="1181" spans="1:30" ht="15" customHeight="1" x14ac:dyDescent="0.25">
      <c r="A1181" s="113">
        <v>46184</v>
      </c>
      <c r="B1181" s="113">
        <v>46185</v>
      </c>
      <c r="C1181" s="112" t="s">
        <v>3200</v>
      </c>
      <c r="D1181" s="114" t="s">
        <v>1644</v>
      </c>
      <c r="E1181" s="114" t="s">
        <v>3235</v>
      </c>
      <c r="F1181" s="114" t="s">
        <v>3235</v>
      </c>
      <c r="G1181" s="115">
        <v>1</v>
      </c>
      <c r="H1181" s="73"/>
      <c r="I1181" s="73">
        <f>Table223[[#This Row],[Qty]]-Table223[[#This Row],[Issue Qty]]</f>
        <v>1</v>
      </c>
      <c r="J1181" s="116">
        <v>0</v>
      </c>
      <c r="K1181" s="10">
        <f t="shared" si="60"/>
        <v>0</v>
      </c>
      <c r="L1181" s="82"/>
      <c r="M1181" s="118">
        <f t="shared" si="61"/>
        <v>0</v>
      </c>
      <c r="N1181" s="135"/>
      <c r="O1181" s="146"/>
      <c r="P1181" s="116">
        <f t="shared" si="62"/>
        <v>0</v>
      </c>
      <c r="Q1181" s="135" t="s">
        <v>2887</v>
      </c>
      <c r="R1181" s="135" t="s">
        <v>1408</v>
      </c>
      <c r="S1181" s="114" t="s">
        <v>3236</v>
      </c>
      <c r="T1181" s="114">
        <v>73</v>
      </c>
      <c r="U1181" s="114"/>
      <c r="V1181" s="120"/>
      <c r="W1181" s="21" t="s">
        <v>944</v>
      </c>
      <c r="X1181" s="21"/>
      <c r="Y1181" s="121"/>
      <c r="Z1181" s="123"/>
      <c r="AA1181" s="120"/>
      <c r="AB1181" s="21"/>
      <c r="AC1181" s="21"/>
      <c r="AD1181" s="120"/>
    </row>
    <row r="1182" spans="1:30" ht="15" customHeight="1" x14ac:dyDescent="0.25">
      <c r="A1182" s="113"/>
      <c r="B1182" s="113">
        <v>46185</v>
      </c>
      <c r="C1182" s="112" t="s">
        <v>3200</v>
      </c>
      <c r="D1182" s="114" t="s">
        <v>3036</v>
      </c>
      <c r="E1182" s="181" t="s">
        <v>3002</v>
      </c>
      <c r="F1182" s="114" t="s">
        <v>3002</v>
      </c>
      <c r="G1182" s="115">
        <v>1</v>
      </c>
      <c r="H1182" s="73">
        <v>1</v>
      </c>
      <c r="I1182" s="73">
        <f>Table223[[#This Row],[Qty]]-Table223[[#This Row],[Issue Qty]]</f>
        <v>0</v>
      </c>
      <c r="J1182" s="116">
        <v>0</v>
      </c>
      <c r="K1182" s="10">
        <f t="shared" si="60"/>
        <v>0</v>
      </c>
      <c r="L1182" s="82"/>
      <c r="M1182" s="118">
        <f t="shared" si="61"/>
        <v>0</v>
      </c>
      <c r="N1182" s="135"/>
      <c r="O1182" s="146"/>
      <c r="P1182" s="116">
        <f t="shared" si="62"/>
        <v>0</v>
      </c>
      <c r="Q1182" s="135" t="s">
        <v>3244</v>
      </c>
      <c r="R1182" s="135" t="s">
        <v>3244</v>
      </c>
      <c r="S1182" s="114" t="s">
        <v>2990</v>
      </c>
      <c r="T1182" s="114" t="s">
        <v>1644</v>
      </c>
      <c r="U1182" s="114"/>
      <c r="V1182" s="120"/>
      <c r="W1182" s="21" t="s">
        <v>268</v>
      </c>
      <c r="X1182" s="21"/>
      <c r="Y1182" s="121">
        <v>1</v>
      </c>
      <c r="Z1182" s="123" t="s">
        <v>3254</v>
      </c>
      <c r="AA1182" s="120"/>
      <c r="AB1182" s="21"/>
      <c r="AC1182" s="21"/>
      <c r="AD1182" s="120"/>
    </row>
    <row r="1183" spans="1:30" ht="15" customHeight="1" x14ac:dyDescent="0.25">
      <c r="A1183" s="113"/>
      <c r="B1183" s="113">
        <v>46185</v>
      </c>
      <c r="C1183" s="112" t="s">
        <v>3200</v>
      </c>
      <c r="D1183" s="114" t="s">
        <v>2985</v>
      </c>
      <c r="E1183" s="181" t="s">
        <v>3237</v>
      </c>
      <c r="F1183" s="114" t="s">
        <v>3237</v>
      </c>
      <c r="G1183" s="115">
        <v>1</v>
      </c>
      <c r="H1183" s="73">
        <v>1</v>
      </c>
      <c r="I1183" s="73">
        <f>Table223[[#This Row],[Qty]]-Table223[[#This Row],[Issue Qty]]</f>
        <v>0</v>
      </c>
      <c r="J1183" s="116">
        <v>0</v>
      </c>
      <c r="K1183" s="10">
        <f t="shared" si="60"/>
        <v>0</v>
      </c>
      <c r="L1183" s="82"/>
      <c r="M1183" s="118">
        <f t="shared" si="61"/>
        <v>0</v>
      </c>
      <c r="N1183" s="135"/>
      <c r="O1183" s="146"/>
      <c r="P1183" s="116">
        <f t="shared" si="62"/>
        <v>0</v>
      </c>
      <c r="Q1183" s="135" t="s">
        <v>3244</v>
      </c>
      <c r="R1183" s="135" t="s">
        <v>3244</v>
      </c>
      <c r="S1183" s="114" t="s">
        <v>2990</v>
      </c>
      <c r="T1183" s="114" t="s">
        <v>1644</v>
      </c>
      <c r="U1183" s="114"/>
      <c r="V1183" s="120"/>
      <c r="W1183" s="21" t="s">
        <v>268</v>
      </c>
      <c r="X1183" s="21"/>
      <c r="Y1183" s="121">
        <v>1</v>
      </c>
      <c r="Z1183" s="123" t="s">
        <v>3254</v>
      </c>
      <c r="AA1183" s="120"/>
      <c r="AB1183" s="21"/>
      <c r="AC1183" s="21"/>
      <c r="AD1183" s="120"/>
    </row>
    <row r="1184" spans="1:30" ht="15" customHeight="1" x14ac:dyDescent="0.25">
      <c r="A1184" s="113">
        <v>46185</v>
      </c>
      <c r="B1184" s="113">
        <v>46185</v>
      </c>
      <c r="C1184" s="112" t="s">
        <v>54</v>
      </c>
      <c r="D1184" s="114" t="s">
        <v>3238</v>
      </c>
      <c r="E1184" s="149" t="s">
        <v>3239</v>
      </c>
      <c r="F1184" s="114" t="s">
        <v>3239</v>
      </c>
      <c r="G1184" s="115">
        <v>10</v>
      </c>
      <c r="H1184" s="92">
        <v>2</v>
      </c>
      <c r="I1184" s="115">
        <f>Table223[[#This Row],[Qty]]-Table223[[#This Row],[Issue Qty]]</f>
        <v>8</v>
      </c>
      <c r="J1184" s="116">
        <v>805.5</v>
      </c>
      <c r="K1184" s="10">
        <f t="shared" si="60"/>
        <v>8055</v>
      </c>
      <c r="L1184" s="82">
        <v>0.18</v>
      </c>
      <c r="M1184" s="118">
        <f t="shared" si="61"/>
        <v>1449.8999999999999</v>
      </c>
      <c r="N1184" s="146"/>
      <c r="O1184" s="146"/>
      <c r="P1184" s="116">
        <f t="shared" si="62"/>
        <v>9504.9</v>
      </c>
      <c r="Q1184" s="135" t="s">
        <v>3244</v>
      </c>
      <c r="R1184" s="135" t="s">
        <v>3244</v>
      </c>
      <c r="S1184" s="114" t="s">
        <v>358</v>
      </c>
      <c r="T1184" s="114" t="s">
        <v>3240</v>
      </c>
      <c r="U1184" s="114"/>
      <c r="V1184" s="120"/>
      <c r="W1184" s="21" t="s">
        <v>3165</v>
      </c>
      <c r="X1184" s="21" t="s">
        <v>3183</v>
      </c>
      <c r="Y1184" s="121">
        <v>2</v>
      </c>
      <c r="Z1184" s="123" t="s">
        <v>3303</v>
      </c>
      <c r="AA1184" s="120"/>
      <c r="AB1184" s="21"/>
      <c r="AC1184" s="21"/>
      <c r="AD1184" s="120"/>
    </row>
    <row r="1185" spans="1:30" ht="15" customHeight="1" x14ac:dyDescent="0.25">
      <c r="A1185" s="113">
        <v>46185</v>
      </c>
      <c r="B1185" s="113">
        <v>46185</v>
      </c>
      <c r="C1185" s="112" t="s">
        <v>54</v>
      </c>
      <c r="D1185" s="114" t="s">
        <v>3037</v>
      </c>
      <c r="E1185" s="114" t="s">
        <v>3241</v>
      </c>
      <c r="F1185" s="114" t="s">
        <v>3241</v>
      </c>
      <c r="G1185" s="115">
        <v>40</v>
      </c>
      <c r="H1185" s="92">
        <v>40</v>
      </c>
      <c r="I1185" s="115">
        <f>Table223[[#This Row],[Qty]]-Table223[[#This Row],[Issue Qty]]</f>
        <v>0</v>
      </c>
      <c r="J1185" s="116">
        <v>112.5</v>
      </c>
      <c r="K1185" s="10">
        <f t="shared" si="60"/>
        <v>4500</v>
      </c>
      <c r="L1185" s="82">
        <v>0.18</v>
      </c>
      <c r="M1185" s="118">
        <f t="shared" si="61"/>
        <v>810</v>
      </c>
      <c r="N1185" s="146"/>
      <c r="O1185" s="146"/>
      <c r="P1185" s="116">
        <f t="shared" si="62"/>
        <v>5310</v>
      </c>
      <c r="Q1185" s="135" t="s">
        <v>3244</v>
      </c>
      <c r="R1185" s="135" t="s">
        <v>3244</v>
      </c>
      <c r="S1185" s="114" t="s">
        <v>358</v>
      </c>
      <c r="T1185" s="114" t="s">
        <v>3240</v>
      </c>
      <c r="U1185" s="114"/>
      <c r="V1185" s="120"/>
      <c r="W1185" s="21" t="s">
        <v>3165</v>
      </c>
      <c r="X1185" s="21" t="s">
        <v>3161</v>
      </c>
      <c r="Y1185" s="121">
        <v>40</v>
      </c>
      <c r="Z1185" s="123" t="s">
        <v>3303</v>
      </c>
      <c r="AA1185" s="120"/>
      <c r="AB1185" s="21"/>
      <c r="AC1185" s="21"/>
      <c r="AD1185" s="120"/>
    </row>
    <row r="1186" spans="1:30" x14ac:dyDescent="0.25">
      <c r="A1186" s="91">
        <v>46186</v>
      </c>
      <c r="B1186" s="91">
        <v>46188</v>
      </c>
      <c r="C1186" s="89" t="s">
        <v>1683</v>
      </c>
      <c r="D1186" s="89" t="s">
        <v>3249</v>
      </c>
      <c r="E1186" s="89" t="s">
        <v>3250</v>
      </c>
      <c r="F1186" s="89" t="s">
        <v>3250</v>
      </c>
      <c r="G1186" s="92">
        <v>100</v>
      </c>
      <c r="H1186" s="92"/>
      <c r="I1186" s="115">
        <f>Table223[[#This Row],[Qty]]-Table223[[#This Row],[Issue Qty]]</f>
        <v>100</v>
      </c>
      <c r="J1186" s="116">
        <v>35</v>
      </c>
      <c r="K1186" s="124">
        <f t="shared" si="60"/>
        <v>3500</v>
      </c>
      <c r="L1186" s="82">
        <v>0.18</v>
      </c>
      <c r="M1186" s="125">
        <f t="shared" si="61"/>
        <v>630</v>
      </c>
      <c r="N1186" s="135">
        <v>1180</v>
      </c>
      <c r="O1186" s="95"/>
      <c r="P1186" s="93">
        <f t="shared" si="62"/>
        <v>5310</v>
      </c>
      <c r="Q1186" s="141" t="s">
        <v>1408</v>
      </c>
      <c r="R1186" s="141" t="s">
        <v>1408</v>
      </c>
      <c r="S1186" s="89" t="s">
        <v>1420</v>
      </c>
      <c r="T1186" s="89" t="s">
        <v>3252</v>
      </c>
      <c r="U1186" s="89">
        <v>85367000</v>
      </c>
      <c r="V1186" s="90"/>
      <c r="W1186" s="21" t="s">
        <v>268</v>
      </c>
      <c r="X1186" s="21"/>
      <c r="Y1186" s="96"/>
      <c r="Z1186" s="97"/>
      <c r="AA1186" s="90"/>
      <c r="AB1186" s="90"/>
      <c r="AC1186" s="90"/>
      <c r="AD1186" s="90"/>
    </row>
    <row r="1187" spans="1:30" x14ac:dyDescent="0.25">
      <c r="A1187" s="91">
        <v>46185</v>
      </c>
      <c r="B1187" s="91">
        <v>46188</v>
      </c>
      <c r="C1187" s="89" t="s">
        <v>1693</v>
      </c>
      <c r="D1187" s="89" t="s">
        <v>1986</v>
      </c>
      <c r="E1187" s="148" t="s">
        <v>3251</v>
      </c>
      <c r="F1187" s="89" t="s">
        <v>3251</v>
      </c>
      <c r="G1187" s="92">
        <v>15</v>
      </c>
      <c r="H1187" s="92">
        <v>5</v>
      </c>
      <c r="I1187" s="115">
        <f>Table223[[#This Row],[Qty]]-Table223[[#This Row],[Issue Qty]]</f>
        <v>10</v>
      </c>
      <c r="J1187" s="116">
        <v>58</v>
      </c>
      <c r="K1187" s="124">
        <f t="shared" si="60"/>
        <v>870</v>
      </c>
      <c r="L1187" s="82">
        <v>0.18</v>
      </c>
      <c r="M1187" s="125">
        <f t="shared" si="61"/>
        <v>156.6</v>
      </c>
      <c r="N1187" s="135">
        <v>45</v>
      </c>
      <c r="O1187" s="95"/>
      <c r="P1187" s="93">
        <f t="shared" si="62"/>
        <v>1071.5999999999999</v>
      </c>
      <c r="Q1187" s="141" t="s">
        <v>3245</v>
      </c>
      <c r="R1187" s="141" t="s">
        <v>3245</v>
      </c>
      <c r="S1187" s="1" t="s">
        <v>2817</v>
      </c>
      <c r="T1187" s="1" t="s">
        <v>3316</v>
      </c>
      <c r="U1187" s="1">
        <v>85411000</v>
      </c>
      <c r="V1187" s="90"/>
      <c r="W1187" s="21" t="s">
        <v>268</v>
      </c>
      <c r="X1187" s="21"/>
      <c r="Y1187" s="96">
        <v>5</v>
      </c>
      <c r="Z1187" s="97" t="s">
        <v>3303</v>
      </c>
      <c r="AA1187" s="90"/>
      <c r="AB1187" s="90"/>
      <c r="AC1187" s="90"/>
      <c r="AD1187" s="90"/>
    </row>
    <row r="1188" spans="1:30" x14ac:dyDescent="0.25">
      <c r="A1188" s="113">
        <v>46172</v>
      </c>
      <c r="B1188" s="113">
        <v>46188</v>
      </c>
      <c r="C1188" s="114" t="s">
        <v>54</v>
      </c>
      <c r="D1188" s="114" t="s">
        <v>3208</v>
      </c>
      <c r="E1188" s="149" t="s">
        <v>3209</v>
      </c>
      <c r="F1188" s="114" t="s">
        <v>3209</v>
      </c>
      <c r="G1188" s="115">
        <v>40</v>
      </c>
      <c r="H1188" s="115">
        <v>40</v>
      </c>
      <c r="I1188" s="115">
        <f>Table223[[#This Row],[Qty]]-Table223[[#This Row],[Issue Qty]]</f>
        <v>0</v>
      </c>
      <c r="J1188" s="116">
        <v>9500</v>
      </c>
      <c r="K1188" s="124">
        <f t="shared" si="60"/>
        <v>380000</v>
      </c>
      <c r="L1188" s="82">
        <v>0.18</v>
      </c>
      <c r="M1188" s="125">
        <f t="shared" si="61"/>
        <v>68400</v>
      </c>
      <c r="N1188" s="119"/>
      <c r="O1188" s="119"/>
      <c r="P1188" s="93">
        <f t="shared" si="62"/>
        <v>448400</v>
      </c>
      <c r="Q1188" s="135" t="s">
        <v>3244</v>
      </c>
      <c r="R1188" s="135" t="s">
        <v>3244</v>
      </c>
      <c r="S1188" s="114" t="s">
        <v>2990</v>
      </c>
      <c r="T1188" s="89">
        <v>31</v>
      </c>
      <c r="U1188" s="120"/>
      <c r="V1188" s="120"/>
      <c r="W1188" s="21" t="s">
        <v>2993</v>
      </c>
      <c r="X1188" s="21" t="s">
        <v>3183</v>
      </c>
      <c r="Y1188" s="121">
        <v>40</v>
      </c>
      <c r="Z1188" s="123" t="s">
        <v>3303</v>
      </c>
      <c r="AA1188" s="120"/>
      <c r="AB1188" s="120"/>
      <c r="AC1188" s="120"/>
      <c r="AD1188" s="120"/>
    </row>
    <row r="1189" spans="1:30" x14ac:dyDescent="0.25">
      <c r="A1189" s="113">
        <v>46172</v>
      </c>
      <c r="B1189" s="113">
        <v>46188</v>
      </c>
      <c r="C1189" s="114" t="s">
        <v>54</v>
      </c>
      <c r="D1189" s="114" t="s">
        <v>3256</v>
      </c>
      <c r="E1189" s="114" t="s">
        <v>3257</v>
      </c>
      <c r="F1189" s="114" t="s">
        <v>3257</v>
      </c>
      <c r="G1189" s="115">
        <v>1</v>
      </c>
      <c r="H1189" s="116"/>
      <c r="I1189" s="163">
        <f>Table223[[#This Row],[Qty]]-Table223[[#This Row],[Issue Qty]]</f>
        <v>1</v>
      </c>
      <c r="J1189" s="116">
        <v>4750</v>
      </c>
      <c r="K1189" s="124">
        <f t="shared" si="60"/>
        <v>4750</v>
      </c>
      <c r="L1189" s="82">
        <v>0.18</v>
      </c>
      <c r="M1189" s="125">
        <f t="shared" si="61"/>
        <v>855</v>
      </c>
      <c r="N1189" s="119"/>
      <c r="O1189" s="119"/>
      <c r="P1189" s="93">
        <f t="shared" si="62"/>
        <v>5605</v>
      </c>
      <c r="Q1189" s="135" t="s">
        <v>3244</v>
      </c>
      <c r="R1189" s="135" t="s">
        <v>3244</v>
      </c>
      <c r="S1189" s="114" t="s">
        <v>2990</v>
      </c>
      <c r="T1189" s="89">
        <v>31</v>
      </c>
      <c r="U1189" s="120"/>
      <c r="V1189" s="120"/>
      <c r="W1189" s="21" t="s">
        <v>2993</v>
      </c>
      <c r="X1189" s="21" t="s">
        <v>3183</v>
      </c>
      <c r="Y1189" s="121"/>
      <c r="Z1189" s="123"/>
      <c r="AA1189" s="120"/>
      <c r="AB1189" s="120"/>
      <c r="AC1189" s="120"/>
      <c r="AD1189" s="120"/>
    </row>
    <row r="1190" spans="1:30" ht="30" x14ac:dyDescent="0.25">
      <c r="A1190" s="113">
        <v>46172</v>
      </c>
      <c r="B1190" s="113">
        <v>46188</v>
      </c>
      <c r="C1190" s="114" t="s">
        <v>54</v>
      </c>
      <c r="D1190" s="114" t="s">
        <v>2616</v>
      </c>
      <c r="E1190" s="149" t="s">
        <v>1518</v>
      </c>
      <c r="F1190" s="114" t="s">
        <v>1518</v>
      </c>
      <c r="G1190" s="115">
        <v>20</v>
      </c>
      <c r="H1190" s="115">
        <v>20</v>
      </c>
      <c r="I1190" s="115">
        <f>Table223[[#This Row],[Qty]]-Table223[[#This Row],[Issue Qty]]</f>
        <v>0</v>
      </c>
      <c r="J1190" s="116">
        <v>4250</v>
      </c>
      <c r="K1190" s="124">
        <f t="shared" si="60"/>
        <v>85000</v>
      </c>
      <c r="L1190" s="82">
        <v>0.18</v>
      </c>
      <c r="M1190" s="125">
        <f t="shared" si="61"/>
        <v>15300</v>
      </c>
      <c r="N1190" s="119"/>
      <c r="O1190" s="119"/>
      <c r="P1190" s="93">
        <f t="shared" si="62"/>
        <v>100300</v>
      </c>
      <c r="Q1190" s="135" t="s">
        <v>3244</v>
      </c>
      <c r="R1190" s="135" t="s">
        <v>3244</v>
      </c>
      <c r="S1190" s="114" t="s">
        <v>2990</v>
      </c>
      <c r="T1190" s="89">
        <v>31</v>
      </c>
      <c r="U1190" s="120"/>
      <c r="V1190" s="120"/>
      <c r="W1190" s="21" t="s">
        <v>3350</v>
      </c>
      <c r="X1190" s="21"/>
      <c r="Y1190" s="121">
        <v>20</v>
      </c>
      <c r="Z1190" s="123" t="s">
        <v>3303</v>
      </c>
      <c r="AA1190" s="120"/>
      <c r="AB1190" s="120"/>
      <c r="AC1190" s="120"/>
      <c r="AD1190" s="120"/>
    </row>
    <row r="1191" spans="1:30" x14ac:dyDescent="0.25">
      <c r="A1191" s="113">
        <v>46186</v>
      </c>
      <c r="B1191" s="113">
        <v>46188</v>
      </c>
      <c r="C1191" s="114" t="s">
        <v>1683</v>
      </c>
      <c r="D1191" s="114" t="s">
        <v>2660</v>
      </c>
      <c r="E1191" s="114" t="s">
        <v>1557</v>
      </c>
      <c r="F1191" s="114" t="s">
        <v>1557</v>
      </c>
      <c r="G1191" s="115">
        <v>500</v>
      </c>
      <c r="H1191" s="116"/>
      <c r="I1191" s="115">
        <f>Table223[[#This Row],[Qty]]-Table223[[#This Row],[Issue Qty]]</f>
        <v>500</v>
      </c>
      <c r="J1191" s="116">
        <v>2.2999999999999998</v>
      </c>
      <c r="K1191" s="124">
        <f t="shared" si="60"/>
        <v>1150</v>
      </c>
      <c r="L1191" s="82">
        <v>0.05</v>
      </c>
      <c r="M1191" s="125">
        <f t="shared" si="61"/>
        <v>57.5</v>
      </c>
      <c r="N1191" s="119"/>
      <c r="O1191" s="119"/>
      <c r="P1191" s="93">
        <f t="shared" si="62"/>
        <v>1207.5</v>
      </c>
      <c r="Q1191" s="1" t="s">
        <v>2887</v>
      </c>
      <c r="R1191" s="141" t="s">
        <v>2816</v>
      </c>
      <c r="S1191" s="114" t="s">
        <v>3009</v>
      </c>
      <c r="T1191" s="114" t="s">
        <v>3266</v>
      </c>
      <c r="U1191" s="114">
        <v>88073020</v>
      </c>
      <c r="V1191" s="120"/>
      <c r="W1191" s="21" t="s">
        <v>3248</v>
      </c>
      <c r="X1191" s="21" t="s">
        <v>3183</v>
      </c>
      <c r="Y1191" s="121"/>
      <c r="Z1191" s="123"/>
      <c r="AA1191" s="120"/>
      <c r="AB1191" s="120"/>
      <c r="AC1191" s="120"/>
      <c r="AD1191" s="120"/>
    </row>
    <row r="1192" spans="1:30" x14ac:dyDescent="0.25">
      <c r="A1192" s="113">
        <v>46186</v>
      </c>
      <c r="B1192" s="113">
        <v>46188</v>
      </c>
      <c r="C1192" s="114" t="s">
        <v>1683</v>
      </c>
      <c r="D1192" s="114" t="s">
        <v>2594</v>
      </c>
      <c r="E1192" s="114" t="s">
        <v>1498</v>
      </c>
      <c r="F1192" s="114" t="s">
        <v>1498</v>
      </c>
      <c r="G1192" s="115">
        <v>500</v>
      </c>
      <c r="H1192" s="116"/>
      <c r="I1192" s="115">
        <f>Table223[[#This Row],[Qty]]-Table223[[#This Row],[Issue Qty]]</f>
        <v>500</v>
      </c>
      <c r="J1192" s="116">
        <v>2.2000000000000002</v>
      </c>
      <c r="K1192" s="124">
        <f t="shared" si="60"/>
        <v>1100</v>
      </c>
      <c r="L1192" s="82">
        <v>0.05</v>
      </c>
      <c r="M1192" s="125">
        <f t="shared" si="61"/>
        <v>55</v>
      </c>
      <c r="N1192" s="119"/>
      <c r="O1192" s="119"/>
      <c r="P1192" s="93">
        <f t="shared" si="62"/>
        <v>1155</v>
      </c>
      <c r="Q1192" s="1" t="s">
        <v>2887</v>
      </c>
      <c r="R1192" s="141" t="s">
        <v>2816</v>
      </c>
      <c r="S1192" s="114" t="s">
        <v>3009</v>
      </c>
      <c r="T1192" s="114" t="s">
        <v>3266</v>
      </c>
      <c r="U1192" s="114">
        <v>88073020</v>
      </c>
      <c r="V1192" s="120"/>
      <c r="W1192" s="21" t="s">
        <v>3248</v>
      </c>
      <c r="X1192" s="21" t="s">
        <v>3183</v>
      </c>
      <c r="Y1192" s="121"/>
      <c r="Z1192" s="123"/>
      <c r="AA1192" s="120"/>
      <c r="AB1192" s="120"/>
      <c r="AC1192" s="120"/>
      <c r="AD1192" s="120"/>
    </row>
    <row r="1193" spans="1:30" x14ac:dyDescent="0.25">
      <c r="A1193" s="113">
        <v>46186</v>
      </c>
      <c r="B1193" s="113">
        <v>46188</v>
      </c>
      <c r="C1193" s="114" t="s">
        <v>1683</v>
      </c>
      <c r="D1193" s="114" t="s">
        <v>2589</v>
      </c>
      <c r="E1193" s="114" t="s">
        <v>1493</v>
      </c>
      <c r="F1193" s="114" t="s">
        <v>1493</v>
      </c>
      <c r="G1193" s="115">
        <v>500</v>
      </c>
      <c r="H1193" s="116"/>
      <c r="I1193" s="115">
        <f>Table223[[#This Row],[Qty]]-Table223[[#This Row],[Issue Qty]]</f>
        <v>500</v>
      </c>
      <c r="J1193" s="116">
        <v>2.2000000000000002</v>
      </c>
      <c r="K1193" s="124">
        <f t="shared" si="60"/>
        <v>1100</v>
      </c>
      <c r="L1193" s="82">
        <v>0.05</v>
      </c>
      <c r="M1193" s="125">
        <f t="shared" si="61"/>
        <v>55</v>
      </c>
      <c r="N1193" s="119"/>
      <c r="O1193" s="119"/>
      <c r="P1193" s="93">
        <f t="shared" si="62"/>
        <v>1155</v>
      </c>
      <c r="Q1193" s="1" t="s">
        <v>2887</v>
      </c>
      <c r="R1193" s="141" t="s">
        <v>2816</v>
      </c>
      <c r="S1193" s="114" t="s">
        <v>3009</v>
      </c>
      <c r="T1193" s="114" t="s">
        <v>3266</v>
      </c>
      <c r="U1193" s="114">
        <v>88073020</v>
      </c>
      <c r="V1193" s="120"/>
      <c r="W1193" s="21" t="s">
        <v>3248</v>
      </c>
      <c r="X1193" s="21" t="s">
        <v>3183</v>
      </c>
      <c r="Y1193" s="121"/>
      <c r="Z1193" s="123"/>
      <c r="AA1193" s="120"/>
      <c r="AB1193" s="120"/>
      <c r="AC1193" s="120"/>
      <c r="AD1193" s="120"/>
    </row>
    <row r="1194" spans="1:30" x14ac:dyDescent="0.25">
      <c r="A1194" s="113">
        <v>46186</v>
      </c>
      <c r="B1194" s="113">
        <v>46188</v>
      </c>
      <c r="C1194" s="114" t="s">
        <v>1683</v>
      </c>
      <c r="D1194" s="114" t="s">
        <v>2195</v>
      </c>
      <c r="E1194" s="114" t="s">
        <v>988</v>
      </c>
      <c r="F1194" s="114" t="s">
        <v>988</v>
      </c>
      <c r="G1194" s="115">
        <v>500</v>
      </c>
      <c r="H1194" s="116"/>
      <c r="I1194" s="115">
        <f>Table223[[#This Row],[Qty]]-Table223[[#This Row],[Issue Qty]]</f>
        <v>500</v>
      </c>
      <c r="J1194" s="116">
        <v>2.4</v>
      </c>
      <c r="K1194" s="124">
        <f t="shared" si="60"/>
        <v>1200</v>
      </c>
      <c r="L1194" s="82">
        <v>0.05</v>
      </c>
      <c r="M1194" s="125">
        <f t="shared" si="61"/>
        <v>60</v>
      </c>
      <c r="N1194" s="119"/>
      <c r="O1194" s="119"/>
      <c r="P1194" s="93">
        <f t="shared" si="62"/>
        <v>1260</v>
      </c>
      <c r="Q1194" s="1" t="s">
        <v>2887</v>
      </c>
      <c r="R1194" s="141" t="s">
        <v>2816</v>
      </c>
      <c r="S1194" s="114" t="s">
        <v>3009</v>
      </c>
      <c r="T1194" s="114" t="s">
        <v>3266</v>
      </c>
      <c r="U1194" s="114">
        <v>88073020</v>
      </c>
      <c r="V1194" s="120"/>
      <c r="W1194" s="21" t="s">
        <v>3248</v>
      </c>
      <c r="X1194" s="21" t="s">
        <v>3183</v>
      </c>
      <c r="Y1194" s="121"/>
      <c r="Z1194" s="123"/>
      <c r="AA1194" s="120"/>
      <c r="AB1194" s="120"/>
      <c r="AC1194" s="120"/>
      <c r="AD1194" s="120"/>
    </row>
    <row r="1195" spans="1:30" x14ac:dyDescent="0.25">
      <c r="A1195" s="113">
        <v>46186</v>
      </c>
      <c r="B1195" s="113">
        <v>46188</v>
      </c>
      <c r="C1195" s="114" t="s">
        <v>1683</v>
      </c>
      <c r="D1195" s="114" t="s">
        <v>2590</v>
      </c>
      <c r="E1195" s="114" t="s">
        <v>1494</v>
      </c>
      <c r="F1195" s="114" t="s">
        <v>1494</v>
      </c>
      <c r="G1195" s="115">
        <v>500</v>
      </c>
      <c r="H1195" s="116"/>
      <c r="I1195" s="115">
        <f>Table223[[#This Row],[Qty]]-Table223[[#This Row],[Issue Qty]]</f>
        <v>500</v>
      </c>
      <c r="J1195" s="116">
        <v>2.6</v>
      </c>
      <c r="K1195" s="124">
        <f t="shared" si="60"/>
        <v>1300</v>
      </c>
      <c r="L1195" s="82">
        <v>0.05</v>
      </c>
      <c r="M1195" s="125">
        <f t="shared" si="61"/>
        <v>65</v>
      </c>
      <c r="N1195" s="119"/>
      <c r="O1195" s="119"/>
      <c r="P1195" s="93">
        <f t="shared" si="62"/>
        <v>1365</v>
      </c>
      <c r="Q1195" s="1" t="s">
        <v>2887</v>
      </c>
      <c r="R1195" s="141" t="s">
        <v>2816</v>
      </c>
      <c r="S1195" s="114" t="s">
        <v>3009</v>
      </c>
      <c r="T1195" s="114" t="s">
        <v>3266</v>
      </c>
      <c r="U1195" s="114">
        <v>88073020</v>
      </c>
      <c r="V1195" s="120"/>
      <c r="W1195" s="21" t="s">
        <v>3248</v>
      </c>
      <c r="X1195" s="21" t="s">
        <v>3183</v>
      </c>
      <c r="Y1195" s="121"/>
      <c r="Z1195" s="123"/>
      <c r="AA1195" s="120"/>
      <c r="AB1195" s="120"/>
      <c r="AC1195" s="120"/>
      <c r="AD1195" s="120"/>
    </row>
    <row r="1196" spans="1:30" x14ac:dyDescent="0.25">
      <c r="A1196" s="113">
        <v>46186</v>
      </c>
      <c r="B1196" s="113">
        <v>46188</v>
      </c>
      <c r="C1196" s="114" t="s">
        <v>1683</v>
      </c>
      <c r="D1196" s="114" t="s">
        <v>2588</v>
      </c>
      <c r="E1196" s="114" t="s">
        <v>1492</v>
      </c>
      <c r="F1196" s="114" t="s">
        <v>1492</v>
      </c>
      <c r="G1196" s="115">
        <v>500</v>
      </c>
      <c r="H1196" s="116"/>
      <c r="I1196" s="115">
        <f>Table223[[#This Row],[Qty]]-Table223[[#This Row],[Issue Qty]]</f>
        <v>500</v>
      </c>
      <c r="J1196" s="116">
        <v>2.8</v>
      </c>
      <c r="K1196" s="124">
        <f t="shared" si="60"/>
        <v>1400</v>
      </c>
      <c r="L1196" s="82">
        <v>0.05</v>
      </c>
      <c r="M1196" s="125">
        <f t="shared" si="61"/>
        <v>70</v>
      </c>
      <c r="N1196" s="119"/>
      <c r="O1196" s="119"/>
      <c r="P1196" s="93">
        <f t="shared" si="62"/>
        <v>1470</v>
      </c>
      <c r="Q1196" s="1" t="s">
        <v>2887</v>
      </c>
      <c r="R1196" s="141" t="s">
        <v>2816</v>
      </c>
      <c r="S1196" s="114" t="s">
        <v>3009</v>
      </c>
      <c r="T1196" s="114" t="s">
        <v>3266</v>
      </c>
      <c r="U1196" s="114">
        <v>88073020</v>
      </c>
      <c r="V1196" s="120"/>
      <c r="W1196" s="21" t="s">
        <v>3248</v>
      </c>
      <c r="X1196" s="21" t="s">
        <v>3183</v>
      </c>
      <c r="Y1196" s="121"/>
      <c r="Z1196" s="123"/>
      <c r="AA1196" s="120"/>
      <c r="AB1196" s="120"/>
      <c r="AC1196" s="120"/>
      <c r="AD1196" s="120"/>
    </row>
    <row r="1197" spans="1:30" ht="45" x14ac:dyDescent="0.25">
      <c r="A1197" s="113">
        <v>46186</v>
      </c>
      <c r="B1197" s="113">
        <v>46188</v>
      </c>
      <c r="C1197" s="114" t="s">
        <v>1683</v>
      </c>
      <c r="D1197" s="114" t="s">
        <v>2889</v>
      </c>
      <c r="E1197" s="114" t="s">
        <v>2890</v>
      </c>
      <c r="F1197" s="114" t="s">
        <v>2890</v>
      </c>
      <c r="G1197" s="115">
        <v>500</v>
      </c>
      <c r="H1197" s="116"/>
      <c r="I1197" s="115">
        <f>Table223[[#This Row],[Qty]]-Table223[[#This Row],[Issue Qty]]</f>
        <v>500</v>
      </c>
      <c r="J1197" s="116">
        <v>2.7</v>
      </c>
      <c r="K1197" s="124">
        <f t="shared" si="60"/>
        <v>1350</v>
      </c>
      <c r="L1197" s="82">
        <v>0.05</v>
      </c>
      <c r="M1197" s="125">
        <f t="shared" si="61"/>
        <v>67.5</v>
      </c>
      <c r="N1197" s="119"/>
      <c r="O1197" s="119"/>
      <c r="P1197" s="93">
        <f t="shared" si="62"/>
        <v>1417.5</v>
      </c>
      <c r="Q1197" s="1" t="s">
        <v>2887</v>
      </c>
      <c r="R1197" s="141" t="s">
        <v>2816</v>
      </c>
      <c r="S1197" s="114" t="s">
        <v>3009</v>
      </c>
      <c r="T1197" s="114" t="s">
        <v>3266</v>
      </c>
      <c r="U1197" s="114">
        <v>88073020</v>
      </c>
      <c r="V1197" s="120"/>
      <c r="W1197" s="21" t="s">
        <v>3248</v>
      </c>
      <c r="X1197" s="21" t="s">
        <v>3183</v>
      </c>
      <c r="Y1197" s="121"/>
      <c r="Z1197" s="123"/>
      <c r="AA1197" s="120"/>
      <c r="AB1197" s="120"/>
      <c r="AC1197" s="120"/>
      <c r="AD1197" s="120"/>
    </row>
    <row r="1198" spans="1:30" x14ac:dyDescent="0.25">
      <c r="A1198" s="113">
        <v>46186</v>
      </c>
      <c r="B1198" s="113">
        <v>46188</v>
      </c>
      <c r="C1198" s="114" t="s">
        <v>1683</v>
      </c>
      <c r="D1198" s="114" t="s">
        <v>2198</v>
      </c>
      <c r="E1198" s="148" t="s">
        <v>991</v>
      </c>
      <c r="F1198" s="114" t="s">
        <v>991</v>
      </c>
      <c r="G1198" s="115">
        <v>500</v>
      </c>
      <c r="H1198" s="115">
        <v>150</v>
      </c>
      <c r="I1198" s="115">
        <f>Table223[[#This Row],[Qty]]-Table223[[#This Row],[Issue Qty]]</f>
        <v>350</v>
      </c>
      <c r="J1198" s="116">
        <v>15</v>
      </c>
      <c r="K1198" s="124">
        <f t="shared" si="60"/>
        <v>7500</v>
      </c>
      <c r="L1198" s="82">
        <v>0.05</v>
      </c>
      <c r="M1198" s="125">
        <f t="shared" si="61"/>
        <v>375</v>
      </c>
      <c r="N1198" s="119"/>
      <c r="O1198" s="119"/>
      <c r="P1198" s="93">
        <f t="shared" si="62"/>
        <v>7875</v>
      </c>
      <c r="Q1198" s="141" t="s">
        <v>2887</v>
      </c>
      <c r="R1198" s="141" t="s">
        <v>3245</v>
      </c>
      <c r="S1198" s="114" t="s">
        <v>3009</v>
      </c>
      <c r="T1198" s="114" t="s">
        <v>3266</v>
      </c>
      <c r="U1198" s="114">
        <v>88073020</v>
      </c>
      <c r="V1198" s="120"/>
      <c r="W1198" s="21" t="s">
        <v>3248</v>
      </c>
      <c r="X1198" s="21" t="s">
        <v>3183</v>
      </c>
      <c r="Y1198" s="121"/>
      <c r="Z1198" s="123"/>
      <c r="AA1198" s="120"/>
      <c r="AB1198" s="120"/>
      <c r="AC1198" s="120"/>
      <c r="AD1198" s="120"/>
    </row>
    <row r="1199" spans="1:30" ht="30" x14ac:dyDescent="0.25">
      <c r="A1199" s="113">
        <v>46186</v>
      </c>
      <c r="B1199" s="113">
        <v>46188</v>
      </c>
      <c r="C1199" s="114" t="s">
        <v>1683</v>
      </c>
      <c r="D1199" s="114" t="s">
        <v>2771</v>
      </c>
      <c r="E1199" s="114" t="s">
        <v>1630</v>
      </c>
      <c r="F1199" s="114" t="s">
        <v>1630</v>
      </c>
      <c r="G1199" s="115">
        <v>500</v>
      </c>
      <c r="H1199" s="116"/>
      <c r="I1199" s="115">
        <f>Table223[[#This Row],[Qty]]-Table223[[#This Row],[Issue Qty]]</f>
        <v>500</v>
      </c>
      <c r="J1199" s="116">
        <v>15</v>
      </c>
      <c r="K1199" s="124">
        <f t="shared" si="60"/>
        <v>7500</v>
      </c>
      <c r="L1199" s="82">
        <v>0.05</v>
      </c>
      <c r="M1199" s="125">
        <f t="shared" si="61"/>
        <v>375</v>
      </c>
      <c r="N1199" s="119"/>
      <c r="O1199" s="119"/>
      <c r="P1199" s="93">
        <f t="shared" si="62"/>
        <v>7875</v>
      </c>
      <c r="Q1199" s="1" t="s">
        <v>2887</v>
      </c>
      <c r="R1199" s="141" t="s">
        <v>3245</v>
      </c>
      <c r="S1199" s="114" t="s">
        <v>3009</v>
      </c>
      <c r="T1199" s="114" t="s">
        <v>3266</v>
      </c>
      <c r="U1199" s="114">
        <v>88073020</v>
      </c>
      <c r="V1199" s="120"/>
      <c r="W1199" s="21" t="s">
        <v>3248</v>
      </c>
      <c r="X1199" s="21" t="s">
        <v>3183</v>
      </c>
      <c r="Y1199" s="121"/>
      <c r="Z1199" s="123"/>
      <c r="AA1199" s="120"/>
      <c r="AB1199" s="120"/>
      <c r="AC1199" s="120"/>
      <c r="AD1199" s="120"/>
    </row>
    <row r="1200" spans="1:30" x14ac:dyDescent="0.25">
      <c r="A1200" s="113">
        <v>46186</v>
      </c>
      <c r="B1200" s="113">
        <v>46188</v>
      </c>
      <c r="C1200" s="114" t="s">
        <v>1683</v>
      </c>
      <c r="D1200" s="114" t="s">
        <v>2593</v>
      </c>
      <c r="E1200" s="114" t="s">
        <v>1497</v>
      </c>
      <c r="F1200" s="114" t="s">
        <v>1497</v>
      </c>
      <c r="G1200" s="115">
        <v>500</v>
      </c>
      <c r="H1200" s="7">
        <v>30</v>
      </c>
      <c r="I1200" s="115">
        <f>Table223[[#This Row],[Qty]]-Table223[[#This Row],[Issue Qty]]</f>
        <v>470</v>
      </c>
      <c r="J1200" s="116">
        <v>15</v>
      </c>
      <c r="K1200" s="124">
        <f t="shared" si="60"/>
        <v>7500</v>
      </c>
      <c r="L1200" s="82">
        <v>0.05</v>
      </c>
      <c r="M1200" s="125">
        <f t="shared" si="61"/>
        <v>375</v>
      </c>
      <c r="N1200" s="119"/>
      <c r="O1200" s="119"/>
      <c r="P1200" s="93">
        <f t="shared" si="62"/>
        <v>7875</v>
      </c>
      <c r="Q1200" s="1" t="s">
        <v>2887</v>
      </c>
      <c r="R1200" s="141" t="s">
        <v>3245</v>
      </c>
      <c r="S1200" s="114" t="s">
        <v>3009</v>
      </c>
      <c r="T1200" s="114" t="s">
        <v>3266</v>
      </c>
      <c r="U1200" s="114">
        <v>88073020</v>
      </c>
      <c r="V1200" s="120"/>
      <c r="W1200" s="21" t="s">
        <v>3180</v>
      </c>
      <c r="X1200" s="21" t="s">
        <v>3183</v>
      </c>
      <c r="Y1200" s="121"/>
      <c r="Z1200" s="123"/>
      <c r="AA1200" s="120"/>
      <c r="AB1200" s="120"/>
      <c r="AC1200" s="120"/>
      <c r="AD1200" s="120"/>
    </row>
    <row r="1201" spans="1:30" x14ac:dyDescent="0.25">
      <c r="A1201" s="113">
        <v>46186</v>
      </c>
      <c r="B1201" s="113">
        <v>46188</v>
      </c>
      <c r="C1201" s="114" t="s">
        <v>1683</v>
      </c>
      <c r="D1201" s="114" t="s">
        <v>3264</v>
      </c>
      <c r="E1201" s="114" t="s">
        <v>3262</v>
      </c>
      <c r="F1201" s="114" t="s">
        <v>3262</v>
      </c>
      <c r="G1201" s="115">
        <v>500</v>
      </c>
      <c r="H1201" s="116"/>
      <c r="I1201" s="115">
        <f>Table223[[#This Row],[Qty]]-Table223[[#This Row],[Issue Qty]]</f>
        <v>500</v>
      </c>
      <c r="J1201" s="116">
        <v>58.48</v>
      </c>
      <c r="K1201" s="124">
        <f t="shared" si="60"/>
        <v>29240</v>
      </c>
      <c r="L1201" s="82">
        <v>0.05</v>
      </c>
      <c r="M1201" s="125">
        <f t="shared" si="61"/>
        <v>1462</v>
      </c>
      <c r="N1201" s="119"/>
      <c r="O1201" s="119"/>
      <c r="P1201" s="93">
        <f t="shared" si="62"/>
        <v>30702</v>
      </c>
      <c r="Q1201" s="1" t="s">
        <v>2887</v>
      </c>
      <c r="R1201" s="141" t="s">
        <v>3245</v>
      </c>
      <c r="S1201" s="114" t="s">
        <v>3009</v>
      </c>
      <c r="T1201" s="114" t="s">
        <v>3266</v>
      </c>
      <c r="U1201" s="114">
        <v>88073020</v>
      </c>
      <c r="V1201" s="120"/>
      <c r="W1201" s="21" t="s">
        <v>3248</v>
      </c>
      <c r="X1201" s="21" t="s">
        <v>3183</v>
      </c>
      <c r="Y1201" s="121"/>
      <c r="Z1201" s="123"/>
      <c r="AA1201" s="120"/>
      <c r="AB1201" s="120"/>
      <c r="AC1201" s="120"/>
      <c r="AD1201" s="120"/>
    </row>
    <row r="1202" spans="1:30" x14ac:dyDescent="0.25">
      <c r="A1202" s="113">
        <v>46186</v>
      </c>
      <c r="B1202" s="113">
        <v>46188</v>
      </c>
      <c r="C1202" s="114" t="s">
        <v>1683</v>
      </c>
      <c r="D1202" s="114" t="s">
        <v>3265</v>
      </c>
      <c r="E1202" s="114" t="s">
        <v>3263</v>
      </c>
      <c r="F1202" s="114" t="s">
        <v>3263</v>
      </c>
      <c r="G1202" s="115">
        <v>500</v>
      </c>
      <c r="H1202" s="116"/>
      <c r="I1202" s="115">
        <f>Table223[[#This Row],[Qty]]-Table223[[#This Row],[Issue Qty]]</f>
        <v>500</v>
      </c>
      <c r="J1202" s="116">
        <v>58.48</v>
      </c>
      <c r="K1202" s="124">
        <f t="shared" si="60"/>
        <v>29240</v>
      </c>
      <c r="L1202" s="82">
        <v>0.05</v>
      </c>
      <c r="M1202" s="125">
        <f t="shared" si="61"/>
        <v>1462</v>
      </c>
      <c r="N1202" s="119"/>
      <c r="O1202" s="119"/>
      <c r="P1202" s="93">
        <f t="shared" si="62"/>
        <v>30702</v>
      </c>
      <c r="Q1202" s="1" t="s">
        <v>2887</v>
      </c>
      <c r="R1202" s="141" t="s">
        <v>3245</v>
      </c>
      <c r="S1202" s="114" t="s">
        <v>3009</v>
      </c>
      <c r="T1202" s="114" t="s">
        <v>3266</v>
      </c>
      <c r="U1202" s="114">
        <v>88073020</v>
      </c>
      <c r="V1202" s="120"/>
      <c r="W1202" s="21" t="s">
        <v>3248</v>
      </c>
      <c r="X1202" s="21" t="s">
        <v>3183</v>
      </c>
      <c r="Y1202" s="121"/>
      <c r="Z1202" s="123"/>
      <c r="AA1202" s="120"/>
      <c r="AB1202" s="120"/>
      <c r="AC1202" s="120"/>
      <c r="AD1202" s="120"/>
    </row>
    <row r="1203" spans="1:30" x14ac:dyDescent="0.25">
      <c r="A1203" s="113">
        <v>46186</v>
      </c>
      <c r="B1203" s="113">
        <v>46188</v>
      </c>
      <c r="C1203" s="114" t="s">
        <v>1683</v>
      </c>
      <c r="D1203" s="114" t="s">
        <v>2592</v>
      </c>
      <c r="E1203" s="114" t="s">
        <v>1496</v>
      </c>
      <c r="F1203" s="114" t="s">
        <v>1496</v>
      </c>
      <c r="G1203" s="115">
        <v>500</v>
      </c>
      <c r="H1203" s="115"/>
      <c r="I1203" s="115">
        <f>Table223[[#This Row],[Qty]]-Table223[[#This Row],[Issue Qty]]</f>
        <v>500</v>
      </c>
      <c r="J1203" s="116">
        <v>116.62</v>
      </c>
      <c r="K1203" s="124">
        <f t="shared" si="60"/>
        <v>58310</v>
      </c>
      <c r="L1203" s="82">
        <v>0.05</v>
      </c>
      <c r="M1203" s="125">
        <f t="shared" si="61"/>
        <v>2915.5</v>
      </c>
      <c r="N1203" s="119"/>
      <c r="O1203" s="119"/>
      <c r="P1203" s="93">
        <f t="shared" si="62"/>
        <v>61225.5</v>
      </c>
      <c r="Q1203" s="1" t="s">
        <v>2887</v>
      </c>
      <c r="R1203" s="141" t="s">
        <v>3245</v>
      </c>
      <c r="S1203" s="114" t="s">
        <v>3009</v>
      </c>
      <c r="T1203" s="114" t="s">
        <v>3266</v>
      </c>
      <c r="U1203" s="114">
        <v>88073020</v>
      </c>
      <c r="V1203" s="120"/>
      <c r="W1203" s="21" t="s">
        <v>3248</v>
      </c>
      <c r="X1203" s="21" t="s">
        <v>3183</v>
      </c>
      <c r="Y1203" s="121"/>
      <c r="Z1203" s="123"/>
      <c r="AA1203" s="120"/>
      <c r="AB1203" s="120"/>
      <c r="AC1203" s="120"/>
      <c r="AD1203" s="120"/>
    </row>
    <row r="1204" spans="1:30" x14ac:dyDescent="0.25">
      <c r="A1204" s="113">
        <v>46188</v>
      </c>
      <c r="B1204" s="113">
        <v>46189</v>
      </c>
      <c r="C1204" s="114" t="s">
        <v>1683</v>
      </c>
      <c r="D1204" s="114" t="s">
        <v>2532</v>
      </c>
      <c r="E1204" s="114" t="s">
        <v>1436</v>
      </c>
      <c r="F1204" s="114" t="s">
        <v>1436</v>
      </c>
      <c r="G1204" s="115">
        <v>20</v>
      </c>
      <c r="H1204" s="115"/>
      <c r="I1204" s="115">
        <f>Table223[[#This Row],[Qty]]-Table223[[#This Row],[Issue Qty]]</f>
        <v>20</v>
      </c>
      <c r="J1204" s="116">
        <v>10900</v>
      </c>
      <c r="K1204" s="124">
        <f t="shared" si="60"/>
        <v>218000</v>
      </c>
      <c r="L1204" s="82">
        <v>0.05</v>
      </c>
      <c r="M1204" s="125">
        <f t="shared" si="61"/>
        <v>10900</v>
      </c>
      <c r="N1204" s="119"/>
      <c r="O1204" s="119"/>
      <c r="P1204" s="93">
        <f t="shared" si="62"/>
        <v>228900</v>
      </c>
      <c r="Q1204" s="3" t="s">
        <v>3242</v>
      </c>
      <c r="R1204" s="3" t="s">
        <v>3242</v>
      </c>
      <c r="S1204" s="114" t="s">
        <v>1420</v>
      </c>
      <c r="T1204" s="114" t="s">
        <v>3260</v>
      </c>
      <c r="U1204" s="114">
        <v>88073020</v>
      </c>
      <c r="V1204" s="120"/>
      <c r="W1204" s="21" t="s">
        <v>3248</v>
      </c>
      <c r="X1204" s="21" t="s">
        <v>3183</v>
      </c>
      <c r="Y1204" s="121"/>
      <c r="Z1204" s="123"/>
      <c r="AA1204" s="120"/>
      <c r="AB1204" s="120"/>
      <c r="AC1204" s="120"/>
      <c r="AD1204" s="120"/>
    </row>
    <row r="1205" spans="1:30" x14ac:dyDescent="0.25">
      <c r="A1205" s="113">
        <v>46188</v>
      </c>
      <c r="B1205" s="113">
        <v>46189</v>
      </c>
      <c r="C1205" s="114" t="s">
        <v>54</v>
      </c>
      <c r="D1205" s="114" t="s">
        <v>3261</v>
      </c>
      <c r="E1205" s="114" t="s">
        <v>3259</v>
      </c>
      <c r="F1205" s="114" t="s">
        <v>3259</v>
      </c>
      <c r="G1205" s="115">
        <v>4</v>
      </c>
      <c r="H1205" s="115"/>
      <c r="I1205" s="115">
        <f>Table223[[#This Row],[Qty]]-Table223[[#This Row],[Issue Qty]]</f>
        <v>4</v>
      </c>
      <c r="J1205" s="116">
        <v>7850</v>
      </c>
      <c r="K1205" s="124">
        <f t="shared" si="60"/>
        <v>31400</v>
      </c>
      <c r="L1205" s="82">
        <v>0.05</v>
      </c>
      <c r="M1205" s="125">
        <f t="shared" si="61"/>
        <v>1570</v>
      </c>
      <c r="N1205" s="119"/>
      <c r="O1205" s="119"/>
      <c r="P1205" s="93">
        <f t="shared" si="62"/>
        <v>32970</v>
      </c>
      <c r="Q1205" s="1" t="s">
        <v>2887</v>
      </c>
      <c r="R1205" s="135" t="s">
        <v>2816</v>
      </c>
      <c r="S1205" s="114" t="s">
        <v>1420</v>
      </c>
      <c r="T1205" s="114" t="s">
        <v>3260</v>
      </c>
      <c r="U1205" s="114">
        <v>88073020</v>
      </c>
      <c r="V1205" s="120"/>
      <c r="W1205" s="21" t="s">
        <v>126</v>
      </c>
      <c r="X1205" s="21"/>
      <c r="Y1205" s="121"/>
      <c r="Z1205" s="123"/>
      <c r="AA1205" s="120"/>
      <c r="AB1205" s="120"/>
      <c r="AC1205" s="120"/>
      <c r="AD1205" s="120"/>
    </row>
    <row r="1206" spans="1:30" x14ac:dyDescent="0.25">
      <c r="A1206" s="113">
        <v>46188</v>
      </c>
      <c r="B1206" s="113">
        <v>46189</v>
      </c>
      <c r="C1206" s="114" t="s">
        <v>54</v>
      </c>
      <c r="D1206" s="114" t="s">
        <v>2565</v>
      </c>
      <c r="E1206" s="114" t="s">
        <v>1472</v>
      </c>
      <c r="F1206" s="114" t="s">
        <v>1472</v>
      </c>
      <c r="G1206" s="115">
        <v>4</v>
      </c>
      <c r="H1206" s="115"/>
      <c r="I1206" s="115">
        <f>Table223[[#This Row],[Qty]]-Table223[[#This Row],[Issue Qty]]</f>
        <v>4</v>
      </c>
      <c r="J1206" s="116">
        <v>22560</v>
      </c>
      <c r="K1206" s="124">
        <f t="shared" si="60"/>
        <v>90240</v>
      </c>
      <c r="L1206" s="82">
        <v>0.05</v>
      </c>
      <c r="M1206" s="125">
        <f t="shared" si="61"/>
        <v>4512</v>
      </c>
      <c r="N1206" s="119"/>
      <c r="O1206" s="119"/>
      <c r="P1206" s="93">
        <f t="shared" si="62"/>
        <v>94752</v>
      </c>
      <c r="Q1206" s="1" t="s">
        <v>2887</v>
      </c>
      <c r="R1206" s="135" t="s">
        <v>2816</v>
      </c>
      <c r="S1206" s="114" t="s">
        <v>1420</v>
      </c>
      <c r="T1206" s="114" t="s">
        <v>3260</v>
      </c>
      <c r="U1206" s="114">
        <v>88073020</v>
      </c>
      <c r="V1206" s="120"/>
      <c r="W1206" s="21" t="s">
        <v>126</v>
      </c>
      <c r="X1206" s="21"/>
      <c r="Y1206" s="121"/>
      <c r="Z1206" s="123"/>
      <c r="AA1206" s="120"/>
      <c r="AB1206" s="120"/>
      <c r="AC1206" s="120"/>
      <c r="AD1206" s="120"/>
    </row>
    <row r="1207" spans="1:30" x14ac:dyDescent="0.25">
      <c r="A1207" s="113">
        <v>46188</v>
      </c>
      <c r="B1207" s="113">
        <v>46189</v>
      </c>
      <c r="C1207" s="114" t="s">
        <v>54</v>
      </c>
      <c r="D1207" s="114" t="s">
        <v>1902</v>
      </c>
      <c r="E1207" s="114" t="s">
        <v>537</v>
      </c>
      <c r="F1207" s="114" t="s">
        <v>537</v>
      </c>
      <c r="G1207" s="115">
        <v>4</v>
      </c>
      <c r="H1207" s="115">
        <v>1</v>
      </c>
      <c r="I1207" s="115">
        <f>Table223[[#This Row],[Qty]]-Table223[[#This Row],[Issue Qty]]</f>
        <v>3</v>
      </c>
      <c r="J1207" s="116">
        <v>28080</v>
      </c>
      <c r="K1207" s="126">
        <f t="shared" si="60"/>
        <v>112320</v>
      </c>
      <c r="L1207" s="82">
        <v>0.05</v>
      </c>
      <c r="M1207" s="118">
        <f t="shared" si="61"/>
        <v>5616</v>
      </c>
      <c r="N1207" s="119"/>
      <c r="O1207" s="119"/>
      <c r="P1207" s="116">
        <f t="shared" si="62"/>
        <v>117936</v>
      </c>
      <c r="Q1207" s="1" t="s">
        <v>2887</v>
      </c>
      <c r="R1207" s="135" t="s">
        <v>2816</v>
      </c>
      <c r="S1207" s="114" t="s">
        <v>1420</v>
      </c>
      <c r="T1207" s="114" t="s">
        <v>3260</v>
      </c>
      <c r="U1207" s="114">
        <v>88073020</v>
      </c>
      <c r="V1207" s="120"/>
      <c r="W1207" s="21" t="s">
        <v>126</v>
      </c>
      <c r="X1207" s="21"/>
      <c r="Y1207" s="121"/>
      <c r="Z1207" s="123"/>
      <c r="AA1207" s="120"/>
      <c r="AB1207" s="120"/>
      <c r="AC1207" s="120"/>
      <c r="AD1207" s="120"/>
    </row>
    <row r="1208" spans="1:30" x14ac:dyDescent="0.25">
      <c r="A1208" s="113">
        <v>46188</v>
      </c>
      <c r="B1208" s="113">
        <v>46189</v>
      </c>
      <c r="C1208" s="114" t="s">
        <v>1683</v>
      </c>
      <c r="D1208" s="114" t="s">
        <v>2891</v>
      </c>
      <c r="E1208" s="114" t="s">
        <v>2892</v>
      </c>
      <c r="F1208" s="114" t="s">
        <v>2892</v>
      </c>
      <c r="G1208" s="115">
        <v>4</v>
      </c>
      <c r="H1208" s="115"/>
      <c r="I1208" s="115">
        <f>Table223[[#This Row],[Qty]]-Table223[[#This Row],[Issue Qty]]</f>
        <v>4</v>
      </c>
      <c r="J1208" s="116">
        <v>8500</v>
      </c>
      <c r="K1208" s="126">
        <f t="shared" si="60"/>
        <v>34000</v>
      </c>
      <c r="L1208" s="82">
        <v>0.05</v>
      </c>
      <c r="M1208" s="118">
        <f t="shared" si="61"/>
        <v>1700</v>
      </c>
      <c r="N1208" s="119"/>
      <c r="O1208" s="119"/>
      <c r="P1208" s="116">
        <f t="shared" si="62"/>
        <v>35700</v>
      </c>
      <c r="Q1208" s="1" t="s">
        <v>2887</v>
      </c>
      <c r="R1208" s="135" t="s">
        <v>2816</v>
      </c>
      <c r="S1208" s="114" t="s">
        <v>1420</v>
      </c>
      <c r="T1208" s="114" t="s">
        <v>3260</v>
      </c>
      <c r="U1208" s="114">
        <v>88073020</v>
      </c>
      <c r="V1208" s="120"/>
      <c r="W1208" s="21" t="s">
        <v>573</v>
      </c>
      <c r="X1208" s="21" t="s">
        <v>2793</v>
      </c>
      <c r="Y1208" s="121"/>
      <c r="Z1208" s="123"/>
      <c r="AA1208" s="120"/>
      <c r="AB1208" s="120"/>
      <c r="AC1208" s="120"/>
      <c r="AD1208" s="120"/>
    </row>
    <row r="1209" spans="1:30" x14ac:dyDescent="0.25">
      <c r="A1209" s="113">
        <v>46181</v>
      </c>
      <c r="B1209" s="113">
        <v>46190</v>
      </c>
      <c r="C1209" s="114" t="s">
        <v>3200</v>
      </c>
      <c r="D1209" s="114" t="s">
        <v>3036</v>
      </c>
      <c r="E1209" s="182" t="s">
        <v>3002</v>
      </c>
      <c r="F1209" s="29" t="s">
        <v>3002</v>
      </c>
      <c r="G1209" s="115">
        <v>20</v>
      </c>
      <c r="H1209" s="115">
        <v>20</v>
      </c>
      <c r="I1209" s="115">
        <f>Table223[[#This Row],[Qty]]-Table223[[#This Row],[Issue Qty]]</f>
        <v>0</v>
      </c>
      <c r="J1209" s="116">
        <v>1300</v>
      </c>
      <c r="K1209" s="126">
        <f t="shared" si="60"/>
        <v>26000</v>
      </c>
      <c r="L1209" s="82">
        <v>0.18</v>
      </c>
      <c r="M1209" s="118">
        <f t="shared" si="61"/>
        <v>4680</v>
      </c>
      <c r="N1209" s="119"/>
      <c r="O1209" s="119"/>
      <c r="P1209" s="116">
        <f t="shared" si="62"/>
        <v>30680</v>
      </c>
      <c r="Q1209" s="135" t="s">
        <v>3242</v>
      </c>
      <c r="R1209" s="135" t="s">
        <v>3242</v>
      </c>
      <c r="S1209" s="114" t="s">
        <v>2990</v>
      </c>
      <c r="T1209" s="114">
        <v>32</v>
      </c>
      <c r="U1209" s="114"/>
      <c r="V1209" s="114"/>
      <c r="W1209" s="21" t="s">
        <v>3166</v>
      </c>
      <c r="X1209" s="21"/>
      <c r="Y1209" s="121"/>
      <c r="Z1209" s="123"/>
      <c r="AA1209" s="120"/>
      <c r="AB1209" s="120"/>
      <c r="AC1209" s="120"/>
      <c r="AD1209" s="120"/>
    </row>
    <row r="1210" spans="1:30" x14ac:dyDescent="0.25">
      <c r="A1210" s="113">
        <v>46181</v>
      </c>
      <c r="B1210" s="113">
        <v>46190</v>
      </c>
      <c r="C1210" s="114" t="s">
        <v>3200</v>
      </c>
      <c r="D1210" s="114" t="s">
        <v>2985</v>
      </c>
      <c r="E1210" s="182" t="s">
        <v>3237</v>
      </c>
      <c r="F1210" s="29" t="s">
        <v>3237</v>
      </c>
      <c r="G1210" s="115">
        <v>20</v>
      </c>
      <c r="H1210" s="115">
        <v>20</v>
      </c>
      <c r="I1210" s="115">
        <f>Table223[[#This Row],[Qty]]-Table223[[#This Row],[Issue Qty]]</f>
        <v>0</v>
      </c>
      <c r="J1210" s="116">
        <v>1200</v>
      </c>
      <c r="K1210" s="126">
        <f t="shared" si="60"/>
        <v>24000</v>
      </c>
      <c r="L1210" s="82">
        <v>0.18</v>
      </c>
      <c r="M1210" s="118">
        <f t="shared" si="61"/>
        <v>4320</v>
      </c>
      <c r="N1210" s="119"/>
      <c r="O1210" s="119"/>
      <c r="P1210" s="116">
        <f t="shared" si="62"/>
        <v>28320</v>
      </c>
      <c r="Q1210" s="135" t="s">
        <v>3242</v>
      </c>
      <c r="R1210" s="135" t="s">
        <v>3242</v>
      </c>
      <c r="S1210" s="114" t="s">
        <v>2990</v>
      </c>
      <c r="T1210" s="114">
        <v>32</v>
      </c>
      <c r="U1210" s="120"/>
      <c r="V1210" s="120"/>
      <c r="W1210" s="21" t="s">
        <v>3166</v>
      </c>
      <c r="X1210" s="21"/>
      <c r="Y1210" s="121"/>
      <c r="Z1210" s="123"/>
      <c r="AA1210" s="120"/>
      <c r="AB1210" s="120"/>
      <c r="AC1210" s="120"/>
      <c r="AD1210" s="120"/>
    </row>
    <row r="1211" spans="1:30" ht="30" x14ac:dyDescent="0.25">
      <c r="A1211" s="113">
        <v>46186</v>
      </c>
      <c r="B1211" s="113">
        <v>46191</v>
      </c>
      <c r="C1211" s="114" t="s">
        <v>1683</v>
      </c>
      <c r="D1211" s="114" t="s">
        <v>3287</v>
      </c>
      <c r="E1211" s="114" t="s">
        <v>3270</v>
      </c>
      <c r="F1211" s="29" t="s">
        <v>3270</v>
      </c>
      <c r="G1211" s="115">
        <v>60</v>
      </c>
      <c r="H1211" s="115"/>
      <c r="I1211" s="115">
        <f>Table223[[#This Row],[Qty]]-Table223[[#This Row],[Issue Qty]]</f>
        <v>60</v>
      </c>
      <c r="J1211" s="116">
        <v>30.508500000000002</v>
      </c>
      <c r="K1211" s="126">
        <f t="shared" si="60"/>
        <v>1830.51</v>
      </c>
      <c r="L1211" s="82">
        <v>0.18</v>
      </c>
      <c r="M1211" s="118">
        <f t="shared" si="61"/>
        <v>329.49180000000001</v>
      </c>
      <c r="N1211" s="119"/>
      <c r="O1211" s="119"/>
      <c r="P1211" s="116">
        <f t="shared" si="62"/>
        <v>2160.0018</v>
      </c>
      <c r="Q1211" s="135" t="s">
        <v>2887</v>
      </c>
      <c r="R1211" s="135" t="s">
        <v>3245</v>
      </c>
      <c r="S1211" s="114" t="s">
        <v>634</v>
      </c>
      <c r="T1211" s="114" t="s">
        <v>3283</v>
      </c>
      <c r="U1211" s="114">
        <v>85444999</v>
      </c>
      <c r="V1211" s="120"/>
      <c r="W1211" s="21" t="s">
        <v>1345</v>
      </c>
      <c r="X1211" s="21"/>
      <c r="Y1211" s="121"/>
      <c r="Z1211" s="123"/>
      <c r="AA1211" s="120"/>
      <c r="AB1211" s="120"/>
      <c r="AC1211" s="120"/>
      <c r="AD1211" s="120"/>
    </row>
    <row r="1212" spans="1:30" ht="30" x14ac:dyDescent="0.25">
      <c r="A1212" s="113">
        <v>46186</v>
      </c>
      <c r="B1212" s="113">
        <v>46191</v>
      </c>
      <c r="C1212" s="114" t="s">
        <v>1683</v>
      </c>
      <c r="D1212" s="114" t="s">
        <v>3288</v>
      </c>
      <c r="E1212" s="114" t="s">
        <v>3271</v>
      </c>
      <c r="F1212" s="29" t="s">
        <v>3271</v>
      </c>
      <c r="G1212" s="115">
        <v>15</v>
      </c>
      <c r="H1212" s="115">
        <v>9</v>
      </c>
      <c r="I1212" s="115">
        <f>Table223[[#This Row],[Qty]]-Table223[[#This Row],[Issue Qty]]</f>
        <v>6</v>
      </c>
      <c r="J1212" s="116">
        <v>81.355999999999995</v>
      </c>
      <c r="K1212" s="126">
        <f t="shared" si="60"/>
        <v>1220.3399999999999</v>
      </c>
      <c r="L1212" s="82">
        <v>0.18</v>
      </c>
      <c r="M1212" s="118">
        <f t="shared" si="61"/>
        <v>219.66119999999998</v>
      </c>
      <c r="N1212" s="119"/>
      <c r="O1212" s="119"/>
      <c r="P1212" s="116">
        <f t="shared" si="62"/>
        <v>1440.0011999999999</v>
      </c>
      <c r="Q1212" s="135" t="s">
        <v>3245</v>
      </c>
      <c r="R1212" s="135" t="s">
        <v>3245</v>
      </c>
      <c r="S1212" s="114" t="s">
        <v>634</v>
      </c>
      <c r="T1212" s="114" t="s">
        <v>3283</v>
      </c>
      <c r="U1212" s="114">
        <v>85439000</v>
      </c>
      <c r="V1212" s="120"/>
      <c r="W1212" s="21" t="s">
        <v>2808</v>
      </c>
      <c r="X1212" s="21" t="s">
        <v>3183</v>
      </c>
      <c r="Y1212" s="121">
        <v>9</v>
      </c>
      <c r="Z1212" s="123" t="s">
        <v>3303</v>
      </c>
      <c r="AA1212" s="120" t="s">
        <v>3406</v>
      </c>
      <c r="AB1212" s="120"/>
      <c r="AC1212" s="120"/>
      <c r="AD1212" s="120"/>
    </row>
    <row r="1213" spans="1:30" x14ac:dyDescent="0.25">
      <c r="A1213" s="113">
        <v>46186</v>
      </c>
      <c r="B1213" s="113">
        <v>46191</v>
      </c>
      <c r="C1213" s="114" t="s">
        <v>3200</v>
      </c>
      <c r="D1213" s="114" t="s">
        <v>3289</v>
      </c>
      <c r="E1213" s="114" t="s">
        <v>3272</v>
      </c>
      <c r="F1213" s="29" t="s">
        <v>3272</v>
      </c>
      <c r="G1213" s="115">
        <v>3</v>
      </c>
      <c r="H1213" s="115">
        <v>1</v>
      </c>
      <c r="I1213" s="115">
        <f>Table223[[#This Row],[Qty]]-Table223[[#This Row],[Issue Qty]]</f>
        <v>2</v>
      </c>
      <c r="J1213" s="116">
        <v>1093.22</v>
      </c>
      <c r="K1213" s="126">
        <f t="shared" si="60"/>
        <v>3279.66</v>
      </c>
      <c r="L1213" s="82">
        <v>0.18</v>
      </c>
      <c r="M1213" s="118">
        <f t="shared" si="61"/>
        <v>590.33879999999999</v>
      </c>
      <c r="N1213" s="119"/>
      <c r="O1213" s="119"/>
      <c r="P1213" s="116">
        <f t="shared" si="62"/>
        <v>3869.9987999999998</v>
      </c>
      <c r="Q1213" s="135" t="s">
        <v>3245</v>
      </c>
      <c r="R1213" s="135" t="s">
        <v>3245</v>
      </c>
      <c r="S1213" s="114" t="s">
        <v>634</v>
      </c>
      <c r="T1213" s="114" t="s">
        <v>3283</v>
      </c>
      <c r="U1213" s="114">
        <v>84439990</v>
      </c>
      <c r="V1213" s="120"/>
      <c r="W1213" s="21" t="s">
        <v>1317</v>
      </c>
      <c r="X1213" s="21"/>
      <c r="Y1213" s="121">
        <v>1</v>
      </c>
      <c r="Z1213" s="123"/>
      <c r="AA1213" s="120"/>
      <c r="AB1213" s="120"/>
      <c r="AC1213" s="120"/>
      <c r="AD1213" s="120"/>
    </row>
    <row r="1214" spans="1:30" x14ac:dyDescent="0.25">
      <c r="A1214" s="113">
        <v>46189</v>
      </c>
      <c r="B1214" s="113">
        <v>46191</v>
      </c>
      <c r="C1214" s="114" t="s">
        <v>1693</v>
      </c>
      <c r="D1214" s="114" t="s">
        <v>2553</v>
      </c>
      <c r="E1214" s="149" t="s">
        <v>1461</v>
      </c>
      <c r="F1214" s="29" t="s">
        <v>1461</v>
      </c>
      <c r="G1214" s="115">
        <v>16</v>
      </c>
      <c r="H1214" s="115">
        <v>12</v>
      </c>
      <c r="I1214" s="115">
        <f>Table223[[#This Row],[Qty]]-Table223[[#This Row],[Issue Qty]]</f>
        <v>4</v>
      </c>
      <c r="J1214" s="116">
        <v>7125</v>
      </c>
      <c r="K1214" s="126">
        <f t="shared" si="60"/>
        <v>114000</v>
      </c>
      <c r="L1214" s="82">
        <v>0.05</v>
      </c>
      <c r="M1214" s="118">
        <f t="shared" si="61"/>
        <v>5700</v>
      </c>
      <c r="N1214" s="119"/>
      <c r="O1214" s="119"/>
      <c r="P1214" s="116">
        <f t="shared" si="62"/>
        <v>119700</v>
      </c>
      <c r="Q1214" s="135" t="s">
        <v>3242</v>
      </c>
      <c r="R1214" s="135" t="s">
        <v>3242</v>
      </c>
      <c r="S1214" s="114" t="s">
        <v>1420</v>
      </c>
      <c r="T1214" s="114" t="s">
        <v>3284</v>
      </c>
      <c r="U1214" s="114">
        <v>88073020</v>
      </c>
      <c r="V1214" s="120"/>
      <c r="W1214" s="21" t="s">
        <v>52</v>
      </c>
      <c r="X1214" s="21" t="s">
        <v>1656</v>
      </c>
      <c r="Y1214" s="121">
        <f>10+2</f>
        <v>12</v>
      </c>
      <c r="Z1214" s="123" t="s">
        <v>3372</v>
      </c>
      <c r="AA1214" s="120"/>
      <c r="AB1214" s="120"/>
      <c r="AC1214" s="120"/>
      <c r="AD1214" s="120"/>
    </row>
    <row r="1215" spans="1:30" x14ac:dyDescent="0.25">
      <c r="A1215" s="113">
        <v>46191</v>
      </c>
      <c r="B1215" s="113">
        <v>46191</v>
      </c>
      <c r="C1215" s="114" t="s">
        <v>54</v>
      </c>
      <c r="D1215" s="114" t="s">
        <v>3290</v>
      </c>
      <c r="E1215" s="149" t="s">
        <v>3273</v>
      </c>
      <c r="F1215" s="29" t="s">
        <v>3273</v>
      </c>
      <c r="G1215" s="115">
        <v>10</v>
      </c>
      <c r="H1215" s="115">
        <v>10</v>
      </c>
      <c r="I1215" s="115">
        <f>Table223[[#This Row],[Qty]]-Table223[[#This Row],[Issue Qty]]</f>
        <v>0</v>
      </c>
      <c r="J1215" s="116">
        <v>1566</v>
      </c>
      <c r="K1215" s="126">
        <f t="shared" si="60"/>
        <v>15660</v>
      </c>
      <c r="L1215" s="82">
        <v>0.18</v>
      </c>
      <c r="M1215" s="118">
        <f t="shared" si="61"/>
        <v>2818.7999999999997</v>
      </c>
      <c r="N1215" s="119"/>
      <c r="O1215" s="119"/>
      <c r="P1215" s="116">
        <f t="shared" si="62"/>
        <v>18478.8</v>
      </c>
      <c r="Q1215" s="135" t="s">
        <v>3242</v>
      </c>
      <c r="R1215" s="135" t="s">
        <v>3242</v>
      </c>
      <c r="S1215" s="114" t="s">
        <v>1511</v>
      </c>
      <c r="T1215" s="114">
        <v>6760000056</v>
      </c>
      <c r="U1215" s="114">
        <v>68151090</v>
      </c>
      <c r="V1215" s="120"/>
      <c r="W1215" s="21" t="s">
        <v>3248</v>
      </c>
      <c r="X1215" s="21" t="s">
        <v>3183</v>
      </c>
      <c r="Y1215" s="121">
        <v>10</v>
      </c>
      <c r="Z1215" s="123"/>
      <c r="AA1215" s="120"/>
      <c r="AB1215" s="120"/>
      <c r="AC1215" s="120"/>
      <c r="AD1215" s="120"/>
    </row>
    <row r="1216" spans="1:30" x14ac:dyDescent="0.25">
      <c r="A1216" s="113">
        <v>46191</v>
      </c>
      <c r="B1216" s="113">
        <v>46191</v>
      </c>
      <c r="C1216" s="114" t="s">
        <v>54</v>
      </c>
      <c r="D1216" s="114" t="s">
        <v>3291</v>
      </c>
      <c r="E1216" s="149" t="s">
        <v>3274</v>
      </c>
      <c r="F1216" s="29" t="s">
        <v>3274</v>
      </c>
      <c r="G1216" s="115">
        <v>10</v>
      </c>
      <c r="H1216" s="115">
        <v>10</v>
      </c>
      <c r="I1216" s="115">
        <f>Table223[[#This Row],[Qty]]-Table223[[#This Row],[Issue Qty]]</f>
        <v>0</v>
      </c>
      <c r="J1216" s="116">
        <v>1261.8</v>
      </c>
      <c r="K1216" s="126">
        <f t="shared" si="60"/>
        <v>12618</v>
      </c>
      <c r="L1216" s="82">
        <v>0.18</v>
      </c>
      <c r="M1216" s="118">
        <f t="shared" si="61"/>
        <v>2271.2399999999998</v>
      </c>
      <c r="N1216" s="119"/>
      <c r="O1216" s="119"/>
      <c r="P1216" s="116">
        <f t="shared" si="62"/>
        <v>14889.24</v>
      </c>
      <c r="Q1216" s="135" t="s">
        <v>3242</v>
      </c>
      <c r="R1216" s="135" t="s">
        <v>3242</v>
      </c>
      <c r="S1216" s="114" t="s">
        <v>1511</v>
      </c>
      <c r="T1216" s="114">
        <v>6760000056</v>
      </c>
      <c r="U1216" s="114">
        <v>68151090</v>
      </c>
      <c r="V1216" s="120"/>
      <c r="W1216" s="21" t="s">
        <v>3248</v>
      </c>
      <c r="X1216" s="21"/>
      <c r="Y1216" s="121">
        <v>10</v>
      </c>
      <c r="Z1216" s="123"/>
      <c r="AA1216" s="120"/>
      <c r="AB1216" s="120"/>
      <c r="AC1216" s="120"/>
      <c r="AD1216" s="120"/>
    </row>
    <row r="1217" spans="1:30" x14ac:dyDescent="0.25">
      <c r="A1217" s="113">
        <v>46191</v>
      </c>
      <c r="B1217" s="113">
        <v>46191</v>
      </c>
      <c r="C1217" s="114" t="s">
        <v>54</v>
      </c>
      <c r="D1217" s="114" t="s">
        <v>3292</v>
      </c>
      <c r="E1217" s="149" t="s">
        <v>3275</v>
      </c>
      <c r="F1217" s="29" t="s">
        <v>3275</v>
      </c>
      <c r="G1217" s="115">
        <v>20</v>
      </c>
      <c r="H1217" s="115">
        <v>20</v>
      </c>
      <c r="I1217" s="115">
        <f>Table223[[#This Row],[Qty]]-Table223[[#This Row],[Issue Qty]]</f>
        <v>0</v>
      </c>
      <c r="J1217" s="116">
        <v>1449.9</v>
      </c>
      <c r="K1217" s="126">
        <f t="shared" si="60"/>
        <v>28998</v>
      </c>
      <c r="L1217" s="82">
        <v>0.18</v>
      </c>
      <c r="M1217" s="118">
        <f t="shared" si="61"/>
        <v>5219.6399999999994</v>
      </c>
      <c r="N1217" s="119"/>
      <c r="O1217" s="119"/>
      <c r="P1217" s="116">
        <f t="shared" si="62"/>
        <v>34217.64</v>
      </c>
      <c r="Q1217" s="135" t="s">
        <v>3242</v>
      </c>
      <c r="R1217" s="135" t="s">
        <v>3242</v>
      </c>
      <c r="S1217" s="114" t="s">
        <v>1511</v>
      </c>
      <c r="T1217" s="114">
        <v>6760000056</v>
      </c>
      <c r="U1217" s="114">
        <v>68151090</v>
      </c>
      <c r="V1217" s="120"/>
      <c r="W1217" s="21" t="s">
        <v>3248</v>
      </c>
      <c r="X1217" s="21"/>
      <c r="Y1217" s="121">
        <v>20</v>
      </c>
      <c r="Z1217" s="123" t="s">
        <v>3303</v>
      </c>
      <c r="AA1217" s="120"/>
      <c r="AB1217" s="120"/>
      <c r="AC1217" s="120"/>
      <c r="AD1217" s="120"/>
    </row>
    <row r="1218" spans="1:30" x14ac:dyDescent="0.25">
      <c r="A1218" s="113">
        <v>46205</v>
      </c>
      <c r="B1218" s="113">
        <v>46193</v>
      </c>
      <c r="C1218" s="114" t="s">
        <v>3200</v>
      </c>
      <c r="D1218" s="114" t="s">
        <v>3340</v>
      </c>
      <c r="E1218" s="149" t="s">
        <v>3337</v>
      </c>
      <c r="F1218" s="29" t="s">
        <v>3276</v>
      </c>
      <c r="G1218" s="115">
        <v>10</v>
      </c>
      <c r="H1218" s="115">
        <v>10</v>
      </c>
      <c r="I1218" s="115">
        <f>Table223[[#This Row],[Qty]]-Table223[[#This Row],[Issue Qty]]</f>
        <v>0</v>
      </c>
      <c r="J1218" s="116">
        <v>48</v>
      </c>
      <c r="K1218" s="126">
        <f t="shared" si="60"/>
        <v>480</v>
      </c>
      <c r="L1218" s="82">
        <v>0.05</v>
      </c>
      <c r="M1218" s="118">
        <f t="shared" si="61"/>
        <v>24</v>
      </c>
      <c r="N1218" s="119"/>
      <c r="O1218" s="119"/>
      <c r="P1218" s="116">
        <f t="shared" si="62"/>
        <v>504</v>
      </c>
      <c r="Q1218" s="135" t="s">
        <v>3242</v>
      </c>
      <c r="R1218" s="135" t="s">
        <v>3242</v>
      </c>
      <c r="S1218" s="114" t="s">
        <v>444</v>
      </c>
      <c r="T1218" s="114" t="s">
        <v>3339</v>
      </c>
      <c r="U1218" s="114">
        <v>8807300</v>
      </c>
      <c r="V1218" s="120"/>
      <c r="W1218" s="21" t="s">
        <v>420</v>
      </c>
      <c r="X1218" s="21"/>
      <c r="Y1218" s="121">
        <v>10</v>
      </c>
      <c r="Z1218" s="123" t="s">
        <v>3303</v>
      </c>
      <c r="AA1218" s="120"/>
      <c r="AB1218" s="120"/>
      <c r="AC1218" s="120"/>
      <c r="AD1218" s="120"/>
    </row>
    <row r="1219" spans="1:30" x14ac:dyDescent="0.25">
      <c r="A1219" s="113">
        <v>46205</v>
      </c>
      <c r="B1219" s="113">
        <v>46193</v>
      </c>
      <c r="C1219" s="114" t="s">
        <v>3200</v>
      </c>
      <c r="D1219" s="114" t="s">
        <v>3341</v>
      </c>
      <c r="E1219" s="149" t="s">
        <v>3338</v>
      </c>
      <c r="F1219" s="29"/>
      <c r="G1219" s="115">
        <v>10</v>
      </c>
      <c r="H1219" s="69">
        <v>1</v>
      </c>
      <c r="I1219" s="115">
        <f>Table223[[#This Row],[Qty]]-Table223[[#This Row],[Issue Qty]]</f>
        <v>9</v>
      </c>
      <c r="J1219" s="116">
        <v>48</v>
      </c>
      <c r="K1219" s="126">
        <f t="shared" si="60"/>
        <v>480</v>
      </c>
      <c r="L1219" s="82">
        <v>0.05</v>
      </c>
      <c r="M1219" s="118">
        <f t="shared" si="61"/>
        <v>24</v>
      </c>
      <c r="N1219" s="119"/>
      <c r="O1219" s="119"/>
      <c r="P1219" s="116">
        <f t="shared" si="62"/>
        <v>504</v>
      </c>
      <c r="Q1219" s="135" t="s">
        <v>3242</v>
      </c>
      <c r="R1219" s="135" t="s">
        <v>3242</v>
      </c>
      <c r="S1219" s="114" t="s">
        <v>444</v>
      </c>
      <c r="T1219" s="114" t="s">
        <v>3339</v>
      </c>
      <c r="U1219" s="114">
        <v>8807300</v>
      </c>
      <c r="V1219" s="120"/>
      <c r="W1219" s="21" t="s">
        <v>420</v>
      </c>
      <c r="X1219" s="121"/>
      <c r="Y1219" s="121">
        <v>1</v>
      </c>
      <c r="Z1219" s="123" t="s">
        <v>3303</v>
      </c>
      <c r="AA1219" s="120"/>
      <c r="AB1219" s="120"/>
      <c r="AC1219" s="120"/>
      <c r="AD1219" s="120"/>
    </row>
    <row r="1220" spans="1:30" x14ac:dyDescent="0.25">
      <c r="A1220" s="113">
        <v>46205</v>
      </c>
      <c r="B1220" s="113">
        <v>46193</v>
      </c>
      <c r="C1220" s="114" t="s">
        <v>1683</v>
      </c>
      <c r="D1220" s="114" t="s">
        <v>2179</v>
      </c>
      <c r="E1220" s="149" t="s">
        <v>972</v>
      </c>
      <c r="F1220" s="29" t="s">
        <v>972</v>
      </c>
      <c r="G1220" s="115">
        <v>30</v>
      </c>
      <c r="H1220" s="115">
        <v>9</v>
      </c>
      <c r="I1220" s="115">
        <f>Table223[[#This Row],[Qty]]-Table223[[#This Row],[Issue Qty]]</f>
        <v>21</v>
      </c>
      <c r="J1220" s="116">
        <v>84</v>
      </c>
      <c r="K1220" s="126">
        <f>G1220*J1220</f>
        <v>2520</v>
      </c>
      <c r="L1220" s="82">
        <v>0.18</v>
      </c>
      <c r="M1220" s="118">
        <f>K1220*L1220</f>
        <v>453.59999999999997</v>
      </c>
      <c r="N1220" s="119"/>
      <c r="O1220" s="135">
        <v>0.4</v>
      </c>
      <c r="P1220" s="116">
        <f>K1220+M1220+N1220+O1220</f>
        <v>2974</v>
      </c>
      <c r="Q1220" s="135" t="s">
        <v>3245</v>
      </c>
      <c r="R1220" s="135" t="s">
        <v>3245</v>
      </c>
      <c r="S1220" s="114" t="s">
        <v>444</v>
      </c>
      <c r="T1220" s="114" t="s">
        <v>3339</v>
      </c>
      <c r="U1220" s="114">
        <v>8807300</v>
      </c>
      <c r="V1220" s="120"/>
      <c r="W1220" s="21" t="s">
        <v>78</v>
      </c>
      <c r="X1220" s="21"/>
      <c r="Y1220" s="121">
        <v>9</v>
      </c>
      <c r="Z1220" s="123" t="s">
        <v>3303</v>
      </c>
      <c r="AA1220" s="120"/>
      <c r="AB1220" s="120"/>
      <c r="AC1220" s="120"/>
      <c r="AD1220" s="120"/>
    </row>
    <row r="1221" spans="1:30" x14ac:dyDescent="0.25">
      <c r="A1221" s="113">
        <v>46193</v>
      </c>
      <c r="B1221" s="113">
        <v>46193</v>
      </c>
      <c r="C1221" s="114" t="s">
        <v>54</v>
      </c>
      <c r="D1221" s="114" t="s">
        <v>3293</v>
      </c>
      <c r="E1221" s="149" t="s">
        <v>3275</v>
      </c>
      <c r="F1221" s="29" t="s">
        <v>3275</v>
      </c>
      <c r="G1221" s="115">
        <v>20</v>
      </c>
      <c r="H1221" s="115">
        <v>20</v>
      </c>
      <c r="I1221" s="115">
        <f>Table223[[#This Row],[Qty]]-Table223[[#This Row],[Issue Qty]]</f>
        <v>0</v>
      </c>
      <c r="J1221" s="116">
        <v>1449.9</v>
      </c>
      <c r="K1221" s="126">
        <f t="shared" si="60"/>
        <v>28998</v>
      </c>
      <c r="L1221" s="82">
        <v>0.18</v>
      </c>
      <c r="M1221" s="118">
        <f t="shared" si="61"/>
        <v>5219.6399999999994</v>
      </c>
      <c r="N1221" s="119"/>
      <c r="O1221" s="119"/>
      <c r="P1221" s="116">
        <f t="shared" si="62"/>
        <v>34217.64</v>
      </c>
      <c r="Q1221" s="135" t="s">
        <v>3242</v>
      </c>
      <c r="R1221" s="135" t="s">
        <v>3242</v>
      </c>
      <c r="S1221" s="114" t="s">
        <v>1511</v>
      </c>
      <c r="T1221" s="114">
        <v>6760000057</v>
      </c>
      <c r="U1221" s="114">
        <v>68151090</v>
      </c>
      <c r="V1221" s="120"/>
      <c r="W1221" s="21" t="s">
        <v>3248</v>
      </c>
      <c r="X1221" s="21"/>
      <c r="Y1221" s="121"/>
      <c r="Z1221" s="123" t="s">
        <v>3303</v>
      </c>
      <c r="AA1221" s="120"/>
      <c r="AB1221" s="120"/>
      <c r="AC1221" s="120"/>
      <c r="AD1221" s="120"/>
    </row>
    <row r="1222" spans="1:30" x14ac:dyDescent="0.25">
      <c r="A1222" s="113">
        <v>46193</v>
      </c>
      <c r="B1222" s="113">
        <v>46193</v>
      </c>
      <c r="C1222" s="114" t="s">
        <v>54</v>
      </c>
      <c r="D1222" s="114" t="s">
        <v>3293</v>
      </c>
      <c r="E1222" s="149" t="s">
        <v>3277</v>
      </c>
      <c r="F1222" s="29" t="s">
        <v>3277</v>
      </c>
      <c r="G1222" s="115">
        <v>20</v>
      </c>
      <c r="H1222" s="115">
        <v>20</v>
      </c>
      <c r="I1222" s="115">
        <f>Table223[[#This Row],[Qty]]-Table223[[#This Row],[Issue Qty]]</f>
        <v>0</v>
      </c>
      <c r="J1222" s="116">
        <v>1507.5</v>
      </c>
      <c r="K1222" s="126">
        <f t="shared" si="60"/>
        <v>30150</v>
      </c>
      <c r="L1222" s="82">
        <v>0.18</v>
      </c>
      <c r="M1222" s="118">
        <f t="shared" si="61"/>
        <v>5427</v>
      </c>
      <c r="N1222" s="119"/>
      <c r="O1222" s="119"/>
      <c r="P1222" s="116">
        <f t="shared" si="62"/>
        <v>35577</v>
      </c>
      <c r="Q1222" s="135" t="s">
        <v>3242</v>
      </c>
      <c r="R1222" s="135" t="s">
        <v>3242</v>
      </c>
      <c r="S1222" s="114" t="s">
        <v>1511</v>
      </c>
      <c r="T1222" s="114">
        <v>6760000057</v>
      </c>
      <c r="U1222" s="114">
        <v>68151090</v>
      </c>
      <c r="V1222" s="120"/>
      <c r="W1222" s="21" t="s">
        <v>3248</v>
      </c>
      <c r="X1222" s="21" t="s">
        <v>3183</v>
      </c>
      <c r="Y1222" s="121">
        <v>4</v>
      </c>
      <c r="Z1222" s="123" t="s">
        <v>3303</v>
      </c>
      <c r="AA1222" s="120"/>
      <c r="AB1222" s="120"/>
      <c r="AC1222" s="120"/>
      <c r="AD1222" s="120"/>
    </row>
    <row r="1223" spans="1:30" ht="45" x14ac:dyDescent="0.25">
      <c r="A1223" s="113">
        <v>46192</v>
      </c>
      <c r="B1223" s="113">
        <v>46193</v>
      </c>
      <c r="C1223" s="114" t="s">
        <v>1688</v>
      </c>
      <c r="D1223" s="114" t="s">
        <v>3294</v>
      </c>
      <c r="E1223" s="149" t="s">
        <v>3278</v>
      </c>
      <c r="F1223" s="29" t="s">
        <v>3278</v>
      </c>
      <c r="G1223" s="115">
        <v>10</v>
      </c>
      <c r="H1223" s="115">
        <v>10</v>
      </c>
      <c r="I1223" s="115">
        <f>Table223[[#This Row],[Qty]]-Table223[[#This Row],[Issue Qty]]</f>
        <v>0</v>
      </c>
      <c r="J1223" s="116">
        <v>36000</v>
      </c>
      <c r="K1223" s="126">
        <f t="shared" si="60"/>
        <v>360000</v>
      </c>
      <c r="L1223" s="82">
        <v>0.05</v>
      </c>
      <c r="M1223" s="118">
        <f t="shared" si="61"/>
        <v>18000</v>
      </c>
      <c r="N1223" s="119"/>
      <c r="O1223" s="119"/>
      <c r="P1223" s="116">
        <f t="shared" si="62"/>
        <v>378000</v>
      </c>
      <c r="Q1223" s="135" t="s">
        <v>3242</v>
      </c>
      <c r="R1223" s="135" t="s">
        <v>3242</v>
      </c>
      <c r="S1223" s="114" t="s">
        <v>1420</v>
      </c>
      <c r="T1223" s="114" t="s">
        <v>3285</v>
      </c>
      <c r="U1223" s="114">
        <v>88073020</v>
      </c>
      <c r="V1223" s="120"/>
      <c r="W1223" s="21" t="s">
        <v>3031</v>
      </c>
      <c r="X1223" s="21"/>
      <c r="Y1223" s="121">
        <v>10</v>
      </c>
      <c r="Z1223" s="123" t="s">
        <v>3303</v>
      </c>
      <c r="AA1223" s="120"/>
      <c r="AB1223" s="120"/>
      <c r="AC1223" s="120"/>
      <c r="AD1223" s="137" t="s">
        <v>3311</v>
      </c>
    </row>
    <row r="1224" spans="1:30" x14ac:dyDescent="0.25">
      <c r="A1224" s="113">
        <v>46192</v>
      </c>
      <c r="B1224" s="113">
        <v>46193</v>
      </c>
      <c r="C1224" s="114" t="s">
        <v>54</v>
      </c>
      <c r="D1224" s="114" t="s">
        <v>3217</v>
      </c>
      <c r="E1224" s="149" t="s">
        <v>3218</v>
      </c>
      <c r="F1224" s="29" t="s">
        <v>3218</v>
      </c>
      <c r="G1224" s="115">
        <v>56</v>
      </c>
      <c r="H1224" s="115">
        <f>2+18+14</f>
        <v>34</v>
      </c>
      <c r="I1224" s="115">
        <f>Table223[[#This Row],[Qty]]-Table223[[#This Row],[Issue Qty]]</f>
        <v>22</v>
      </c>
      <c r="J1224" s="116">
        <v>4865</v>
      </c>
      <c r="K1224" s="126">
        <f t="shared" si="60"/>
        <v>272440</v>
      </c>
      <c r="L1224" s="82">
        <v>0.05</v>
      </c>
      <c r="M1224" s="118">
        <f t="shared" si="61"/>
        <v>13622</v>
      </c>
      <c r="N1224" s="119"/>
      <c r="O1224" s="119"/>
      <c r="P1224" s="116">
        <f t="shared" si="62"/>
        <v>286062</v>
      </c>
      <c r="Q1224" s="135" t="s">
        <v>3245</v>
      </c>
      <c r="R1224" s="135" t="s">
        <v>3245</v>
      </c>
      <c r="S1224" s="114" t="s">
        <v>1420</v>
      </c>
      <c r="T1224" s="114" t="s">
        <v>3286</v>
      </c>
      <c r="U1224" s="114">
        <v>88073020</v>
      </c>
      <c r="V1224" s="120"/>
      <c r="W1224" s="21" t="s">
        <v>126</v>
      </c>
      <c r="X1224" s="21"/>
      <c r="Y1224" s="121">
        <v>34</v>
      </c>
      <c r="Z1224" s="123" t="s">
        <v>3303</v>
      </c>
      <c r="AA1224" s="120"/>
      <c r="AB1224" s="120"/>
      <c r="AC1224" s="120"/>
      <c r="AD1224" s="120"/>
    </row>
    <row r="1225" spans="1:30" x14ac:dyDescent="0.25">
      <c r="A1225" s="113">
        <v>46193</v>
      </c>
      <c r="B1225" s="113">
        <v>46193</v>
      </c>
      <c r="C1225" s="114" t="s">
        <v>54</v>
      </c>
      <c r="D1225" s="114" t="s">
        <v>3295</v>
      </c>
      <c r="E1225" s="149" t="s">
        <v>3279</v>
      </c>
      <c r="F1225" s="29" t="s">
        <v>3279</v>
      </c>
      <c r="G1225" s="115">
        <v>20</v>
      </c>
      <c r="H1225" s="115">
        <v>20</v>
      </c>
      <c r="I1225" s="115">
        <f>Table223[[#This Row],[Qty]]-Table223[[#This Row],[Issue Qty]]</f>
        <v>0</v>
      </c>
      <c r="J1225" s="116">
        <v>2115</v>
      </c>
      <c r="K1225" s="126">
        <f t="shared" si="60"/>
        <v>42300</v>
      </c>
      <c r="L1225" s="82">
        <v>0.18</v>
      </c>
      <c r="M1225" s="118">
        <f t="shared" si="61"/>
        <v>7614</v>
      </c>
      <c r="N1225" s="119"/>
      <c r="O1225" s="119"/>
      <c r="P1225" s="116">
        <f t="shared" si="62"/>
        <v>49914</v>
      </c>
      <c r="Q1225" s="135" t="s">
        <v>3242</v>
      </c>
      <c r="R1225" s="135" t="s">
        <v>3242</v>
      </c>
      <c r="S1225" s="114" t="s">
        <v>1511</v>
      </c>
      <c r="T1225" s="114">
        <v>6760000060</v>
      </c>
      <c r="U1225" s="114">
        <v>68151090</v>
      </c>
      <c r="V1225" s="120"/>
      <c r="W1225" s="21" t="s">
        <v>3180</v>
      </c>
      <c r="X1225" s="21" t="s">
        <v>3183</v>
      </c>
      <c r="Y1225" s="121">
        <v>20</v>
      </c>
      <c r="Z1225" s="123" t="s">
        <v>3303</v>
      </c>
      <c r="AA1225" s="120"/>
      <c r="AB1225" s="120"/>
      <c r="AC1225" s="120"/>
      <c r="AD1225" s="120"/>
    </row>
    <row r="1226" spans="1:30" x14ac:dyDescent="0.25">
      <c r="A1226" s="113">
        <v>46193</v>
      </c>
      <c r="B1226" s="113">
        <v>46193</v>
      </c>
      <c r="C1226" s="114" t="s">
        <v>54</v>
      </c>
      <c r="D1226" s="114" t="s">
        <v>3296</v>
      </c>
      <c r="E1226" s="114" t="s">
        <v>3280</v>
      </c>
      <c r="F1226" s="29" t="s">
        <v>3280</v>
      </c>
      <c r="G1226" s="115">
        <v>12</v>
      </c>
      <c r="H1226" s="115"/>
      <c r="I1226" s="115">
        <f>Table223[[#This Row],[Qty]]-Table223[[#This Row],[Issue Qty]]</f>
        <v>12</v>
      </c>
      <c r="J1226" s="116">
        <v>3180</v>
      </c>
      <c r="K1226" s="126">
        <f t="shared" si="60"/>
        <v>38160</v>
      </c>
      <c r="L1226" s="82">
        <v>0.18</v>
      </c>
      <c r="M1226" s="118">
        <f t="shared" si="61"/>
        <v>6868.8</v>
      </c>
      <c r="N1226" s="119"/>
      <c r="O1226" s="119"/>
      <c r="P1226" s="116">
        <f t="shared" si="62"/>
        <v>45028.800000000003</v>
      </c>
      <c r="Q1226" s="1" t="s">
        <v>2887</v>
      </c>
      <c r="R1226" s="135" t="s">
        <v>2816</v>
      </c>
      <c r="S1226" s="114" t="s">
        <v>1511</v>
      </c>
      <c r="T1226" s="114">
        <v>6760000059</v>
      </c>
      <c r="U1226" s="114">
        <v>68151090</v>
      </c>
      <c r="V1226" s="120"/>
      <c r="W1226" s="21" t="s">
        <v>3180</v>
      </c>
      <c r="X1226" s="21"/>
      <c r="Y1226" s="121"/>
      <c r="Z1226" s="123"/>
      <c r="AA1226" s="120"/>
      <c r="AB1226" s="120"/>
      <c r="AC1226" s="120"/>
      <c r="AD1226" s="120"/>
    </row>
    <row r="1227" spans="1:30" x14ac:dyDescent="0.25">
      <c r="A1227" s="113">
        <v>46193</v>
      </c>
      <c r="B1227" s="113">
        <v>46193</v>
      </c>
      <c r="C1227" s="114" t="s">
        <v>54</v>
      </c>
      <c r="D1227" s="114" t="s">
        <v>3297</v>
      </c>
      <c r="E1227" s="114" t="s">
        <v>3281</v>
      </c>
      <c r="F1227" s="29" t="s">
        <v>3281</v>
      </c>
      <c r="G1227" s="115">
        <v>4</v>
      </c>
      <c r="H1227" s="115">
        <v>2</v>
      </c>
      <c r="I1227" s="115">
        <f>Table223[[#This Row],[Qty]]-Table223[[#This Row],[Issue Qty]]</f>
        <v>2</v>
      </c>
      <c r="J1227" s="116">
        <v>3420</v>
      </c>
      <c r="K1227" s="126">
        <f t="shared" si="60"/>
        <v>13680</v>
      </c>
      <c r="L1227" s="82">
        <v>0.18</v>
      </c>
      <c r="M1227" s="118">
        <f t="shared" si="61"/>
        <v>2462.4</v>
      </c>
      <c r="N1227" s="119"/>
      <c r="O1227" s="119"/>
      <c r="P1227" s="116">
        <f t="shared" si="62"/>
        <v>16142.4</v>
      </c>
      <c r="Q1227" s="1" t="s">
        <v>2887</v>
      </c>
      <c r="R1227" s="135" t="s">
        <v>2816</v>
      </c>
      <c r="S1227" s="114" t="s">
        <v>1511</v>
      </c>
      <c r="T1227" s="114">
        <v>6760000059</v>
      </c>
      <c r="U1227" s="114">
        <v>68151090</v>
      </c>
      <c r="V1227" s="120"/>
      <c r="W1227" s="21" t="s">
        <v>3180</v>
      </c>
      <c r="X1227" s="115"/>
      <c r="Y1227" s="121"/>
      <c r="Z1227" s="123"/>
      <c r="AA1227" s="120"/>
      <c r="AB1227" s="120"/>
      <c r="AC1227" s="120"/>
      <c r="AD1227" s="120"/>
    </row>
    <row r="1228" spans="1:30" x14ac:dyDescent="0.25">
      <c r="A1228" s="113">
        <v>46193</v>
      </c>
      <c r="B1228" s="113">
        <v>46193</v>
      </c>
      <c r="C1228" s="114" t="s">
        <v>54</v>
      </c>
      <c r="D1228" s="114" t="s">
        <v>3298</v>
      </c>
      <c r="E1228" s="114" t="s">
        <v>3282</v>
      </c>
      <c r="F1228" s="129" t="s">
        <v>3282</v>
      </c>
      <c r="G1228" s="115">
        <v>2</v>
      </c>
      <c r="H1228" s="115"/>
      <c r="I1228" s="115">
        <f>Table223[[#This Row],[Qty]]-Table223[[#This Row],[Issue Qty]]</f>
        <v>2</v>
      </c>
      <c r="J1228" s="116">
        <v>2820</v>
      </c>
      <c r="K1228" s="126">
        <f t="shared" si="60"/>
        <v>5640</v>
      </c>
      <c r="L1228" s="82">
        <v>0.18</v>
      </c>
      <c r="M1228" s="118">
        <f t="shared" si="61"/>
        <v>1015.1999999999999</v>
      </c>
      <c r="N1228" s="119"/>
      <c r="O1228" s="119"/>
      <c r="P1228" s="116">
        <f t="shared" si="62"/>
        <v>6655.2</v>
      </c>
      <c r="Q1228" s="1" t="s">
        <v>2887</v>
      </c>
      <c r="R1228" s="135" t="s">
        <v>2816</v>
      </c>
      <c r="S1228" s="114" t="s">
        <v>1511</v>
      </c>
      <c r="T1228" s="114">
        <v>6760000059</v>
      </c>
      <c r="U1228" s="114">
        <v>68151090</v>
      </c>
      <c r="V1228" s="120"/>
      <c r="W1228" s="21" t="s">
        <v>3180</v>
      </c>
      <c r="X1228" s="115"/>
      <c r="Y1228" s="121"/>
      <c r="Z1228" s="123"/>
      <c r="AA1228" s="120"/>
      <c r="AB1228" s="120"/>
      <c r="AC1228" s="120"/>
      <c r="AD1228" s="120"/>
    </row>
    <row r="1229" spans="1:30" x14ac:dyDescent="0.25">
      <c r="A1229" s="98">
        <v>46193</v>
      </c>
      <c r="B1229" s="98">
        <v>46195</v>
      </c>
      <c r="C1229" s="85" t="s">
        <v>3200</v>
      </c>
      <c r="D1229" s="85" t="s">
        <v>3220</v>
      </c>
      <c r="E1229" s="151" t="s">
        <v>3221</v>
      </c>
      <c r="F1229" s="85" t="s">
        <v>3221</v>
      </c>
      <c r="G1229" s="73">
        <v>10</v>
      </c>
      <c r="H1229" s="73">
        <v>9</v>
      </c>
      <c r="I1229" s="73">
        <f>Table223[[#This Row],[Qty]]-Table223[[#This Row],[Issue Qty]]</f>
        <v>1</v>
      </c>
      <c r="J1229" s="67">
        <v>9000</v>
      </c>
      <c r="K1229" s="66">
        <f t="shared" si="60"/>
        <v>90000</v>
      </c>
      <c r="L1229" s="82">
        <v>0.18</v>
      </c>
      <c r="M1229" s="68">
        <f t="shared" si="61"/>
        <v>16200</v>
      </c>
      <c r="N1229" s="101"/>
      <c r="O1229" s="101"/>
      <c r="P1229" s="67">
        <f t="shared" si="62"/>
        <v>106200</v>
      </c>
      <c r="Q1229" s="147" t="s">
        <v>3242</v>
      </c>
      <c r="R1229" s="147" t="s">
        <v>3242</v>
      </c>
      <c r="S1229" s="85" t="s">
        <v>3299</v>
      </c>
      <c r="T1229" s="85" t="s">
        <v>3300</v>
      </c>
      <c r="U1229" s="85">
        <v>39239090</v>
      </c>
      <c r="V1229" s="131"/>
      <c r="W1229" s="21" t="s">
        <v>1569</v>
      </c>
      <c r="X1229" s="107"/>
      <c r="Y1229" s="132"/>
      <c r="Z1229" s="133"/>
      <c r="AA1229" s="131"/>
      <c r="AB1229" s="131"/>
      <c r="AC1229" s="131"/>
      <c r="AD1229" s="131"/>
    </row>
    <row r="1230" spans="1:30" x14ac:dyDescent="0.25">
      <c r="A1230" s="113">
        <v>46195</v>
      </c>
      <c r="B1230" s="113">
        <v>46195</v>
      </c>
      <c r="C1230" s="114" t="s">
        <v>54</v>
      </c>
      <c r="D1230" s="114" t="s">
        <v>3057</v>
      </c>
      <c r="E1230" s="114" t="s">
        <v>3112</v>
      </c>
      <c r="F1230" s="114" t="s">
        <v>3112</v>
      </c>
      <c r="G1230" s="115">
        <v>1</v>
      </c>
      <c r="H1230" s="115"/>
      <c r="I1230" s="115">
        <f>Table223[[#This Row],[Qty]]-Table223[[#This Row],[Issue Qty]]</f>
        <v>1</v>
      </c>
      <c r="J1230" s="116">
        <v>2454</v>
      </c>
      <c r="K1230" s="126">
        <f t="shared" si="60"/>
        <v>2454</v>
      </c>
      <c r="L1230" s="82">
        <v>0.18</v>
      </c>
      <c r="M1230" s="118">
        <f t="shared" si="61"/>
        <v>441.71999999999997</v>
      </c>
      <c r="N1230" s="119"/>
      <c r="O1230" s="119"/>
      <c r="P1230" s="116">
        <f t="shared" si="62"/>
        <v>2895.72</v>
      </c>
      <c r="Q1230" s="1" t="s">
        <v>2887</v>
      </c>
      <c r="R1230" s="135" t="s">
        <v>2816</v>
      </c>
      <c r="S1230" s="114" t="s">
        <v>1511</v>
      </c>
      <c r="T1230" s="114">
        <v>6760000061</v>
      </c>
      <c r="U1230" s="114">
        <v>68151090</v>
      </c>
      <c r="V1230" s="120"/>
      <c r="W1230" s="21" t="s">
        <v>3165</v>
      </c>
      <c r="X1230" s="21" t="s">
        <v>3183</v>
      </c>
      <c r="Y1230" s="121">
        <v>1</v>
      </c>
      <c r="Z1230" s="123" t="s">
        <v>3373</v>
      </c>
      <c r="AA1230" s="120"/>
      <c r="AB1230" s="120"/>
      <c r="AC1230" s="120"/>
      <c r="AD1230" s="120"/>
    </row>
    <row r="1231" spans="1:30" x14ac:dyDescent="0.25">
      <c r="A1231" s="113">
        <v>46195</v>
      </c>
      <c r="B1231" s="113">
        <v>46195</v>
      </c>
      <c r="C1231" s="114" t="s">
        <v>54</v>
      </c>
      <c r="D1231" s="114" t="s">
        <v>3293</v>
      </c>
      <c r="E1231" s="149" t="s">
        <v>3277</v>
      </c>
      <c r="F1231" s="114" t="s">
        <v>3277</v>
      </c>
      <c r="G1231" s="115">
        <v>20</v>
      </c>
      <c r="H1231" s="115">
        <v>20</v>
      </c>
      <c r="I1231" s="115">
        <f>Table223[[#This Row],[Qty]]-Table223[[#This Row],[Issue Qty]]</f>
        <v>0</v>
      </c>
      <c r="J1231" s="116">
        <v>1507.5</v>
      </c>
      <c r="K1231" s="126">
        <f t="shared" si="60"/>
        <v>30150</v>
      </c>
      <c r="L1231" s="82">
        <v>0.18</v>
      </c>
      <c r="M1231" s="118">
        <f t="shared" si="61"/>
        <v>5427</v>
      </c>
      <c r="N1231" s="119"/>
      <c r="O1231" s="119"/>
      <c r="P1231" s="116">
        <f t="shared" si="62"/>
        <v>35577</v>
      </c>
      <c r="Q1231" s="135" t="s">
        <v>3242</v>
      </c>
      <c r="R1231" s="135" t="s">
        <v>3242</v>
      </c>
      <c r="S1231" s="114" t="s">
        <v>1511</v>
      </c>
      <c r="T1231" s="114">
        <v>6760000062</v>
      </c>
      <c r="U1231" s="114">
        <v>68151090</v>
      </c>
      <c r="V1231" s="120"/>
      <c r="W1231" s="21" t="s">
        <v>3180</v>
      </c>
      <c r="X1231" s="122"/>
      <c r="Y1231" s="121">
        <v>20</v>
      </c>
      <c r="Z1231" s="123" t="s">
        <v>3303</v>
      </c>
      <c r="AA1231" s="120"/>
      <c r="AB1231" s="120"/>
      <c r="AC1231" s="120"/>
      <c r="AD1231" s="120"/>
    </row>
    <row r="1232" spans="1:30" x14ac:dyDescent="0.25">
      <c r="A1232" s="98">
        <v>46197</v>
      </c>
      <c r="B1232" s="98">
        <v>46197</v>
      </c>
      <c r="C1232" s="114" t="s">
        <v>3200</v>
      </c>
      <c r="D1232" s="114" t="s">
        <v>3306</v>
      </c>
      <c r="E1232" s="151" t="s">
        <v>3305</v>
      </c>
      <c r="F1232" s="85" t="s">
        <v>3305</v>
      </c>
      <c r="G1232" s="115">
        <v>10</v>
      </c>
      <c r="H1232" s="134">
        <v>8</v>
      </c>
      <c r="I1232" s="134">
        <f>Table223[[#This Row],[Qty]]-Table223[[#This Row],[Issue Qty]]</f>
        <v>2</v>
      </c>
      <c r="J1232" s="116">
        <v>2300</v>
      </c>
      <c r="K1232" s="126">
        <f t="shared" si="60"/>
        <v>23000</v>
      </c>
      <c r="L1232" s="82">
        <v>0.18</v>
      </c>
      <c r="M1232" s="118">
        <f t="shared" si="61"/>
        <v>4140</v>
      </c>
      <c r="N1232" s="101"/>
      <c r="O1232" s="101"/>
      <c r="P1232" s="116">
        <f t="shared" si="62"/>
        <v>27140</v>
      </c>
      <c r="Q1232" s="135" t="s">
        <v>3242</v>
      </c>
      <c r="R1232" s="135" t="s">
        <v>3242</v>
      </c>
      <c r="S1232" s="114" t="s">
        <v>3307</v>
      </c>
      <c r="T1232" s="114">
        <v>14</v>
      </c>
      <c r="U1232" s="114">
        <v>4202</v>
      </c>
      <c r="V1232" s="131"/>
      <c r="W1232" s="21" t="s">
        <v>1569</v>
      </c>
      <c r="X1232" s="107"/>
      <c r="Y1232" s="132"/>
      <c r="Z1232" s="133"/>
      <c r="AA1232" s="131"/>
      <c r="AB1232" s="131"/>
      <c r="AC1232" s="131"/>
      <c r="AD1232" s="131"/>
    </row>
    <row r="1233" spans="1:30" ht="30" x14ac:dyDescent="0.25">
      <c r="A1233" s="98">
        <v>46198</v>
      </c>
      <c r="B1233" s="98">
        <v>46198</v>
      </c>
      <c r="C1233" s="85" t="s">
        <v>1693</v>
      </c>
      <c r="D1233" s="85" t="s">
        <v>3308</v>
      </c>
      <c r="E1233" s="114" t="s">
        <v>3309</v>
      </c>
      <c r="F1233" s="114" t="s">
        <v>3309</v>
      </c>
      <c r="G1233" s="115">
        <v>1</v>
      </c>
      <c r="H1233" s="134">
        <v>1</v>
      </c>
      <c r="I1233" s="134">
        <f>Table223[[#This Row],[Qty]]-Table223[[#This Row],[Issue Qty]]</f>
        <v>0</v>
      </c>
      <c r="J1233" s="116">
        <v>3912</v>
      </c>
      <c r="K1233" s="126">
        <f t="shared" si="60"/>
        <v>3912</v>
      </c>
      <c r="L1233" s="117">
        <v>0.18</v>
      </c>
      <c r="M1233" s="118">
        <f t="shared" si="61"/>
        <v>704.16</v>
      </c>
      <c r="N1233" s="135">
        <f>32.4+180</f>
        <v>212.4</v>
      </c>
      <c r="O1233" s="101"/>
      <c r="P1233" s="116">
        <f t="shared" si="62"/>
        <v>4828.5599999999995</v>
      </c>
      <c r="Q1233" s="135" t="s">
        <v>3243</v>
      </c>
      <c r="R1233" s="135" t="s">
        <v>3243</v>
      </c>
      <c r="S1233" s="135" t="s">
        <v>792</v>
      </c>
      <c r="T1233" s="135" t="s">
        <v>3310</v>
      </c>
      <c r="U1233" s="135">
        <v>850110</v>
      </c>
      <c r="V1233" s="131"/>
      <c r="W1233" s="21" t="s">
        <v>22</v>
      </c>
      <c r="X1233" s="107"/>
      <c r="Y1233" s="132">
        <v>1</v>
      </c>
      <c r="Z1233" s="133" t="s">
        <v>3411</v>
      </c>
      <c r="AA1233" s="131" t="s">
        <v>3412</v>
      </c>
      <c r="AB1233" s="131"/>
      <c r="AC1233" s="131"/>
      <c r="AD1233" s="136"/>
    </row>
    <row r="1234" spans="1:30" ht="30" x14ac:dyDescent="0.25">
      <c r="A1234" s="113">
        <v>46200</v>
      </c>
      <c r="B1234" s="113">
        <v>46200</v>
      </c>
      <c r="C1234" s="114" t="s">
        <v>3200</v>
      </c>
      <c r="D1234" s="114" t="s">
        <v>3317</v>
      </c>
      <c r="E1234" s="114" t="s">
        <v>3318</v>
      </c>
      <c r="F1234" s="114" t="s">
        <v>3318</v>
      </c>
      <c r="G1234" s="115">
        <v>1</v>
      </c>
      <c r="H1234" s="115"/>
      <c r="I1234" s="115">
        <f>Table223[[#This Row],[Qty]]-Table223[[#This Row],[Issue Qty]]</f>
        <v>1</v>
      </c>
      <c r="J1234" s="116">
        <v>10315</v>
      </c>
      <c r="K1234" s="126">
        <f t="shared" si="60"/>
        <v>10315</v>
      </c>
      <c r="L1234" s="117">
        <v>0.18</v>
      </c>
      <c r="M1234" s="118">
        <f t="shared" si="61"/>
        <v>1856.6999999999998</v>
      </c>
      <c r="N1234" s="119"/>
      <c r="O1234" s="119"/>
      <c r="P1234" s="116">
        <f t="shared" si="62"/>
        <v>12171.7</v>
      </c>
      <c r="Q1234" s="135" t="s">
        <v>1408</v>
      </c>
      <c r="R1234" s="135" t="s">
        <v>1408</v>
      </c>
      <c r="S1234" s="135" t="s">
        <v>3323</v>
      </c>
      <c r="T1234" s="135">
        <v>826101938</v>
      </c>
      <c r="U1234" s="135">
        <v>82055990</v>
      </c>
      <c r="V1234" s="120"/>
      <c r="W1234" s="21" t="s">
        <v>699</v>
      </c>
      <c r="X1234" s="122"/>
      <c r="Y1234" s="121"/>
      <c r="Z1234" s="123"/>
      <c r="AA1234" s="120"/>
      <c r="AB1234" s="120"/>
      <c r="AC1234" s="120"/>
      <c r="AD1234" s="120"/>
    </row>
    <row r="1235" spans="1:30" ht="30" x14ac:dyDescent="0.25">
      <c r="A1235" s="113">
        <v>46200</v>
      </c>
      <c r="B1235" s="113">
        <v>46200</v>
      </c>
      <c r="C1235" s="114" t="s">
        <v>3200</v>
      </c>
      <c r="D1235" s="114" t="s">
        <v>3319</v>
      </c>
      <c r="E1235" s="114" t="s">
        <v>3320</v>
      </c>
      <c r="F1235" s="114" t="s">
        <v>3320</v>
      </c>
      <c r="G1235" s="115">
        <v>10</v>
      </c>
      <c r="H1235" s="115"/>
      <c r="I1235" s="115">
        <f>Table223[[#This Row],[Qty]]-Table223[[#This Row],[Issue Qty]]</f>
        <v>10</v>
      </c>
      <c r="J1235" s="116">
        <v>103</v>
      </c>
      <c r="K1235" s="126">
        <f t="shared" si="60"/>
        <v>1030</v>
      </c>
      <c r="L1235" s="117">
        <v>0.18</v>
      </c>
      <c r="M1235" s="118">
        <f t="shared" si="61"/>
        <v>185.4</v>
      </c>
      <c r="N1235" s="119"/>
      <c r="O1235" s="119"/>
      <c r="P1235" s="116">
        <f t="shared" si="62"/>
        <v>1215.4000000000001</v>
      </c>
      <c r="Q1235" s="135" t="s">
        <v>1408</v>
      </c>
      <c r="R1235" s="135" t="s">
        <v>1408</v>
      </c>
      <c r="S1235" s="135" t="s">
        <v>3323</v>
      </c>
      <c r="T1235" s="135">
        <v>826101938</v>
      </c>
      <c r="U1235" s="135">
        <v>39269099</v>
      </c>
      <c r="V1235" s="120"/>
      <c r="W1235" s="21" t="s">
        <v>699</v>
      </c>
      <c r="X1235" s="122"/>
      <c r="Y1235" s="121"/>
      <c r="Z1235" s="123"/>
      <c r="AA1235" s="120"/>
      <c r="AB1235" s="120"/>
      <c r="AC1235" s="120"/>
      <c r="AD1235" s="120"/>
    </row>
    <row r="1236" spans="1:30" ht="45" x14ac:dyDescent="0.25">
      <c r="A1236" s="113">
        <v>46200</v>
      </c>
      <c r="B1236" s="113">
        <v>46200</v>
      </c>
      <c r="C1236" s="114" t="s">
        <v>3200</v>
      </c>
      <c r="D1236" s="114" t="s">
        <v>3321</v>
      </c>
      <c r="E1236" s="114" t="s">
        <v>3322</v>
      </c>
      <c r="F1236" s="114" t="s">
        <v>3322</v>
      </c>
      <c r="G1236" s="115">
        <v>1</v>
      </c>
      <c r="H1236" s="115"/>
      <c r="I1236" s="195">
        <f>Table223[[#This Row],[Qty]]-Table223[[#This Row],[Issue Qty]]</f>
        <v>1</v>
      </c>
      <c r="J1236" s="116">
        <v>1642</v>
      </c>
      <c r="K1236" s="126">
        <f t="shared" si="60"/>
        <v>1642</v>
      </c>
      <c r="L1236" s="117">
        <v>0.18</v>
      </c>
      <c r="M1236" s="118">
        <f t="shared" si="61"/>
        <v>295.56</v>
      </c>
      <c r="N1236" s="119"/>
      <c r="O1236" s="119"/>
      <c r="P1236" s="116">
        <f t="shared" si="62"/>
        <v>1937.56</v>
      </c>
      <c r="Q1236" s="135" t="s">
        <v>1408</v>
      </c>
      <c r="R1236" s="135" t="s">
        <v>1408</v>
      </c>
      <c r="S1236" s="135" t="s">
        <v>3323</v>
      </c>
      <c r="T1236" s="135">
        <v>826101938</v>
      </c>
      <c r="U1236" s="135">
        <v>35069190</v>
      </c>
      <c r="V1236" s="120"/>
      <c r="W1236" s="121" t="s">
        <v>699</v>
      </c>
      <c r="X1236" s="122"/>
      <c r="Y1236" s="121"/>
      <c r="Z1236" s="123"/>
      <c r="AA1236" s="120"/>
      <c r="AB1236" s="120"/>
      <c r="AC1236" s="120"/>
      <c r="AD1236" s="120"/>
    </row>
    <row r="1237" spans="1:30" x14ac:dyDescent="0.25">
      <c r="A1237" s="113">
        <v>46205</v>
      </c>
      <c r="B1237" s="113">
        <v>46205</v>
      </c>
      <c r="C1237" s="114" t="s">
        <v>1693</v>
      </c>
      <c r="D1237" s="114" t="s">
        <v>3329</v>
      </c>
      <c r="E1237" s="114" t="s">
        <v>3330</v>
      </c>
      <c r="F1237" s="114" t="s">
        <v>3330</v>
      </c>
      <c r="G1237" s="115">
        <v>20</v>
      </c>
      <c r="H1237" s="195">
        <v>1</v>
      </c>
      <c r="I1237" s="195">
        <f>Table223[[#This Row],[Qty]]-Table223[[#This Row],[Issue Qty]]</f>
        <v>19</v>
      </c>
      <c r="J1237" s="116">
        <v>8.4700000000000006</v>
      </c>
      <c r="K1237" s="126">
        <f t="shared" ref="K1237:K1243" si="63">G1237*J1237</f>
        <v>169.4</v>
      </c>
      <c r="L1237" s="117">
        <v>0.18</v>
      </c>
      <c r="M1237" s="118">
        <f t="shared" ref="M1237:M1243" si="64">K1237*L1237</f>
        <v>30.492000000000001</v>
      </c>
      <c r="N1237" s="198"/>
      <c r="O1237" s="200">
        <v>0.1</v>
      </c>
      <c r="P1237" s="197">
        <f t="shared" ref="P1237:P1243" si="65">K1237+M1237+N1237+O1237</f>
        <v>199.99199999999999</v>
      </c>
      <c r="Q1237" s="135" t="s">
        <v>890</v>
      </c>
      <c r="R1237" s="135" t="s">
        <v>890</v>
      </c>
      <c r="S1237" s="200" t="s">
        <v>3331</v>
      </c>
      <c r="T1237" s="200" t="s">
        <v>3332</v>
      </c>
      <c r="U1237" s="200">
        <v>85321000</v>
      </c>
      <c r="V1237" s="194"/>
      <c r="W1237" s="201" t="s">
        <v>38</v>
      </c>
      <c r="X1237" s="196"/>
      <c r="Y1237" s="201">
        <v>1</v>
      </c>
      <c r="Z1237" s="202" t="s">
        <v>145</v>
      </c>
      <c r="AA1237" s="194"/>
      <c r="AB1237" s="194"/>
      <c r="AC1237" s="194"/>
      <c r="AD1237" s="194"/>
    </row>
    <row r="1238" spans="1:30" x14ac:dyDescent="0.25">
      <c r="A1238" s="192">
        <v>46205</v>
      </c>
      <c r="B1238" s="192">
        <v>46206</v>
      </c>
      <c r="C1238" s="186" t="s">
        <v>1688</v>
      </c>
      <c r="D1238" s="186" t="s">
        <v>3420</v>
      </c>
      <c r="E1238" s="114" t="s">
        <v>3419</v>
      </c>
      <c r="F1238" s="193" t="s">
        <v>3377</v>
      </c>
      <c r="G1238" s="115">
        <v>1</v>
      </c>
      <c r="H1238" s="196"/>
      <c r="I1238" s="195">
        <f t="shared" ref="I1238:I1243" si="66">G1238-H1238</f>
        <v>1</v>
      </c>
      <c r="J1238" s="116">
        <v>57876.12</v>
      </c>
      <c r="K1238" s="126">
        <f t="shared" si="63"/>
        <v>57876.12</v>
      </c>
      <c r="L1238" s="117">
        <v>0.18</v>
      </c>
      <c r="M1238" s="118">
        <f t="shared" si="64"/>
        <v>10417.7016</v>
      </c>
      <c r="N1238" s="194"/>
      <c r="O1238" s="194"/>
      <c r="P1238" s="197">
        <f t="shared" si="65"/>
        <v>68293.821599999996</v>
      </c>
      <c r="Q1238" s="135" t="s">
        <v>2816</v>
      </c>
      <c r="R1238" s="135" t="s">
        <v>2816</v>
      </c>
      <c r="S1238" s="199" t="s">
        <v>893</v>
      </c>
      <c r="T1238" s="199" t="s">
        <v>3383</v>
      </c>
      <c r="U1238" s="200">
        <v>85340000</v>
      </c>
      <c r="V1238" s="186"/>
      <c r="W1238" s="201" t="s">
        <v>2808</v>
      </c>
      <c r="X1238" s="196"/>
      <c r="Y1238" s="201"/>
      <c r="Z1238" s="202"/>
      <c r="AA1238" s="194"/>
      <c r="AB1238" s="194"/>
      <c r="AC1238" s="194"/>
      <c r="AD1238" s="194"/>
    </row>
    <row r="1239" spans="1:30" x14ac:dyDescent="0.25">
      <c r="A1239" s="192">
        <v>46207</v>
      </c>
      <c r="B1239" s="192">
        <v>46209</v>
      </c>
      <c r="C1239" s="186" t="s">
        <v>1693</v>
      </c>
      <c r="D1239" s="186" t="s">
        <v>2339</v>
      </c>
      <c r="E1239" s="186" t="s">
        <v>1203</v>
      </c>
      <c r="F1239" s="186" t="s">
        <v>1203</v>
      </c>
      <c r="G1239" s="115">
        <v>1</v>
      </c>
      <c r="H1239" s="196"/>
      <c r="I1239" s="195">
        <f t="shared" si="66"/>
        <v>1</v>
      </c>
      <c r="J1239" s="197">
        <v>12247</v>
      </c>
      <c r="K1239" s="126">
        <f t="shared" si="63"/>
        <v>12247</v>
      </c>
      <c r="L1239" s="117">
        <v>0.05</v>
      </c>
      <c r="M1239" s="118">
        <f t="shared" si="64"/>
        <v>612.35</v>
      </c>
      <c r="N1239" s="194"/>
      <c r="O1239" s="199">
        <v>153.4</v>
      </c>
      <c r="P1239" s="197">
        <f t="shared" si="65"/>
        <v>13012.75</v>
      </c>
      <c r="Q1239" s="200" t="s">
        <v>145</v>
      </c>
      <c r="R1239" s="200" t="s">
        <v>145</v>
      </c>
      <c r="S1239" s="199" t="s">
        <v>1060</v>
      </c>
      <c r="T1239" s="199" t="s">
        <v>3384</v>
      </c>
      <c r="U1239" s="199">
        <v>88073020</v>
      </c>
      <c r="V1239" s="186"/>
      <c r="W1239" s="201" t="s">
        <v>244</v>
      </c>
      <c r="X1239" s="196"/>
      <c r="Y1239" s="201"/>
      <c r="Z1239" s="202"/>
      <c r="AA1239" s="194"/>
      <c r="AB1239" s="194"/>
      <c r="AC1239" s="194"/>
      <c r="AD1239" s="194"/>
    </row>
    <row r="1240" spans="1:30" x14ac:dyDescent="0.25">
      <c r="A1240" s="192" t="s">
        <v>1644</v>
      </c>
      <c r="B1240" s="192">
        <v>46209</v>
      </c>
      <c r="C1240" s="186" t="s">
        <v>1683</v>
      </c>
      <c r="D1240" s="186" t="s">
        <v>1644</v>
      </c>
      <c r="E1240" s="203" t="s">
        <v>3378</v>
      </c>
      <c r="F1240" s="186" t="s">
        <v>3378</v>
      </c>
      <c r="G1240" s="115">
        <v>2</v>
      </c>
      <c r="H1240" s="196"/>
      <c r="I1240" s="195">
        <f t="shared" si="66"/>
        <v>2</v>
      </c>
      <c r="J1240" s="197">
        <v>0</v>
      </c>
      <c r="K1240" s="126">
        <f t="shared" si="63"/>
        <v>0</v>
      </c>
      <c r="L1240" s="117">
        <v>0</v>
      </c>
      <c r="M1240" s="118">
        <f t="shared" si="64"/>
        <v>0</v>
      </c>
      <c r="N1240" s="194"/>
      <c r="O1240" s="194"/>
      <c r="P1240" s="197">
        <f t="shared" si="65"/>
        <v>0</v>
      </c>
      <c r="Q1240" s="200" t="s">
        <v>607</v>
      </c>
      <c r="R1240" s="200" t="s">
        <v>607</v>
      </c>
      <c r="S1240" s="199" t="s">
        <v>3385</v>
      </c>
      <c r="T1240" s="199" t="s">
        <v>1644</v>
      </c>
      <c r="U1240" s="199" t="s">
        <v>1644</v>
      </c>
      <c r="V1240" s="194"/>
      <c r="W1240" s="201"/>
      <c r="X1240" s="196"/>
      <c r="Y1240" s="201"/>
      <c r="Z1240" s="202"/>
      <c r="AA1240" s="194"/>
      <c r="AB1240" s="194"/>
      <c r="AC1240" s="194"/>
      <c r="AD1240" s="194"/>
    </row>
    <row r="1241" spans="1:30" x14ac:dyDescent="0.25">
      <c r="A1241" s="192">
        <v>46207</v>
      </c>
      <c r="B1241" s="192">
        <v>46210</v>
      </c>
      <c r="C1241" s="186" t="s">
        <v>54</v>
      </c>
      <c r="D1241" s="186" t="s">
        <v>2542</v>
      </c>
      <c r="E1241" s="186" t="s">
        <v>1446</v>
      </c>
      <c r="F1241" s="186" t="s">
        <v>1446</v>
      </c>
      <c r="G1241" s="115">
        <v>2</v>
      </c>
      <c r="H1241" s="8">
        <v>1</v>
      </c>
      <c r="I1241" s="195">
        <f t="shared" si="66"/>
        <v>1</v>
      </c>
      <c r="J1241" s="197">
        <v>4238.95</v>
      </c>
      <c r="K1241" s="126">
        <f t="shared" si="63"/>
        <v>8477.9</v>
      </c>
      <c r="L1241" s="117">
        <v>0.05</v>
      </c>
      <c r="M1241" s="118">
        <f t="shared" si="64"/>
        <v>423.89499999999998</v>
      </c>
      <c r="N1241" s="194"/>
      <c r="O1241" s="194"/>
      <c r="P1241" s="197">
        <f t="shared" si="65"/>
        <v>8901.7950000000001</v>
      </c>
      <c r="Q1241" s="200" t="s">
        <v>145</v>
      </c>
      <c r="R1241" s="200" t="s">
        <v>145</v>
      </c>
      <c r="S1241" s="199" t="s">
        <v>634</v>
      </c>
      <c r="T1241" s="199" t="s">
        <v>3386</v>
      </c>
      <c r="U1241" s="199">
        <v>88071000</v>
      </c>
      <c r="V1241" s="194"/>
      <c r="W1241" s="201" t="s">
        <v>126</v>
      </c>
      <c r="X1241" s="196"/>
      <c r="Y1241" s="201"/>
      <c r="Z1241" s="202"/>
      <c r="AA1241" s="194"/>
      <c r="AB1241" s="194"/>
      <c r="AC1241" s="194"/>
      <c r="AD1241" s="194"/>
    </row>
    <row r="1242" spans="1:30" x14ac:dyDescent="0.25">
      <c r="A1242" s="192">
        <v>46217</v>
      </c>
      <c r="B1242" s="192">
        <v>46217</v>
      </c>
      <c r="C1242" s="186" t="s">
        <v>1683</v>
      </c>
      <c r="D1242" s="186" t="s">
        <v>3379</v>
      </c>
      <c r="E1242" s="186" t="s">
        <v>3380</v>
      </c>
      <c r="F1242" s="186" t="s">
        <v>3380</v>
      </c>
      <c r="G1242" s="115">
        <v>1</v>
      </c>
      <c r="H1242" s="196"/>
      <c r="I1242" s="195">
        <f t="shared" si="66"/>
        <v>1</v>
      </c>
      <c r="J1242" s="197">
        <v>90</v>
      </c>
      <c r="K1242" s="126">
        <f t="shared" si="63"/>
        <v>90</v>
      </c>
      <c r="L1242" s="117">
        <v>0.18</v>
      </c>
      <c r="M1242" s="118">
        <f t="shared" si="64"/>
        <v>16.2</v>
      </c>
      <c r="N1242" s="194"/>
      <c r="O1242" s="194"/>
      <c r="P1242" s="197">
        <f t="shared" si="65"/>
        <v>106.2</v>
      </c>
      <c r="Q1242" s="200" t="s">
        <v>1408</v>
      </c>
      <c r="R1242" s="200" t="s">
        <v>1408</v>
      </c>
      <c r="S1242" s="199" t="s">
        <v>3331</v>
      </c>
      <c r="T1242" s="199" t="s">
        <v>3387</v>
      </c>
      <c r="U1242" s="199">
        <v>85431010</v>
      </c>
      <c r="V1242" s="194"/>
      <c r="W1242" s="201" t="s">
        <v>38</v>
      </c>
      <c r="X1242" s="196"/>
      <c r="Y1242" s="201"/>
      <c r="Z1242" s="202"/>
      <c r="AA1242" s="194"/>
      <c r="AB1242" s="194"/>
      <c r="AC1242" s="194"/>
      <c r="AD1242" s="194"/>
    </row>
    <row r="1243" spans="1:30" x14ac:dyDescent="0.25">
      <c r="A1243" s="192">
        <v>46217</v>
      </c>
      <c r="B1243" s="192">
        <v>46217</v>
      </c>
      <c r="C1243" s="186" t="s">
        <v>1683</v>
      </c>
      <c r="D1243" s="186" t="s">
        <v>3381</v>
      </c>
      <c r="E1243" s="186" t="s">
        <v>3382</v>
      </c>
      <c r="F1243" s="186" t="s">
        <v>3382</v>
      </c>
      <c r="G1243" s="115">
        <v>1</v>
      </c>
      <c r="H1243" s="196"/>
      <c r="I1243" s="195">
        <f t="shared" si="66"/>
        <v>1</v>
      </c>
      <c r="J1243" s="197">
        <v>70</v>
      </c>
      <c r="K1243" s="126">
        <f t="shared" si="63"/>
        <v>70</v>
      </c>
      <c r="L1243" s="117">
        <v>0.18</v>
      </c>
      <c r="M1243" s="118">
        <f t="shared" si="64"/>
        <v>12.6</v>
      </c>
      <c r="N1243" s="194"/>
      <c r="O1243" s="194"/>
      <c r="P1243" s="197">
        <f t="shared" si="65"/>
        <v>82.6</v>
      </c>
      <c r="Q1243" s="200" t="s">
        <v>1408</v>
      </c>
      <c r="R1243" s="200" t="s">
        <v>1408</v>
      </c>
      <c r="S1243" s="199" t="s">
        <v>3331</v>
      </c>
      <c r="T1243" s="199" t="s">
        <v>3387</v>
      </c>
      <c r="U1243" s="199">
        <v>85431010</v>
      </c>
      <c r="V1243" s="194"/>
      <c r="W1243" s="201" t="s">
        <v>38</v>
      </c>
      <c r="X1243" s="196"/>
      <c r="Y1243" s="201"/>
      <c r="Z1243" s="202"/>
      <c r="AA1243" s="194"/>
      <c r="AB1243" s="194"/>
      <c r="AC1243" s="194"/>
      <c r="AD1243" s="194"/>
    </row>
  </sheetData>
  <conditionalFormatting sqref="C1238:C1243">
    <cfRule type="expression" dxfId="0" priority="1">
      <formula>$R$8:$R$648="Sample"</formula>
    </cfRule>
  </conditionalFormatting>
  <dataValidations count="1">
    <dataValidation type="list" allowBlank="1" showErrorMessage="1" error="The value entered violates data validation rules set in cell" prompt="undefined" sqref="C178:C180 C182 C186:C187 C189:C190 C192 C194:C199 C203:C205 C207:C213 C227:C231 C240:C273 C275:C281 C296:C309 C617:C623 C626 C629:C634 C636 C638:C642 C645 C649:C650 C652:C655 C657 C659:C660 C662:C663 C665 C671 C674 C676:C678 C682:C685 C687:C689 C695:C697 C704 C706 C708:C709 C711:C712 C714:C717 C719:C722 C726:C728 C730:C731 C734:C735 C737 C741 C745 C748 C750:C751 C755 C757:C758 C760:C762 C764 C766 C771:C773 C778:C785 C788 C790:C791 C793 C797:C798 C801 C809:C812 C814:C816 C818 C822 C836:C837 C839:C847 C850:C854 C856 C859 C863:C866 C869:C872 C944:C945 C233:C238 C607:C615 C700:C701" xr:uid="{91B5EBEE-C155-4472-852E-6E8FD431A30E}">
      <formula1>"Airframe,Payload,Communication,Electricals,Electronics,Accessories,Tools"</formula1>
      <formula2>0</formula2>
    </dataValidation>
  </dataValidations>
  <hyperlinks>
    <hyperlink ref="AD1223" r:id="rId1" xr:uid="{F274C798-1FEA-4C8E-A5E6-A77F65782F24}"/>
  </hyperlinks>
  <pageMargins left="0.7" right="0.7" top="0.75" bottom="0.75" header="0.3" footer="0.3"/>
  <pageSetup paperSize="9" orientation="landscape"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5FD-583C-4145-99BB-A43B25490900}">
  <dimension ref="C3:D6"/>
  <sheetViews>
    <sheetView workbookViewId="0">
      <selection activeCell="F10" sqref="F10"/>
    </sheetView>
  </sheetViews>
  <sheetFormatPr defaultRowHeight="15" x14ac:dyDescent="0.25"/>
  <cols>
    <col min="4" max="4" width="38.28515625" bestFit="1" customWidth="1"/>
  </cols>
  <sheetData>
    <row r="3" spans="3:4" x14ac:dyDescent="0.25">
      <c r="C3" s="239"/>
      <c r="D3" t="s">
        <v>3483</v>
      </c>
    </row>
    <row r="4" spans="3:4" x14ac:dyDescent="0.25">
      <c r="C4" s="240"/>
      <c r="D4" t="s">
        <v>3485</v>
      </c>
    </row>
    <row r="5" spans="3:4" x14ac:dyDescent="0.25">
      <c r="C5" s="241"/>
      <c r="D5" t="s">
        <v>3484</v>
      </c>
    </row>
    <row r="6" spans="3:4" x14ac:dyDescent="0.25">
      <c r="C6" s="256"/>
      <c r="D6" t="s">
        <v>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Verification</vt:lpstr>
      <vt:lpstr>Stock -Copy 27.7.26</vt:lpstr>
      <vt:lpstr>Colour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cp:lastPrinted>2026-09-10T11:43:07Z</cp:lastPrinted>
  <dcterms:created xsi:type="dcterms:W3CDTF">2026-02-21T06:43:53Z</dcterms:created>
  <dcterms:modified xsi:type="dcterms:W3CDTF">2026-09-25T05:20:28Z</dcterms:modified>
</cp:coreProperties>
</file>